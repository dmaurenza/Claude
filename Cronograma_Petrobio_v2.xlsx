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Geral" sheetId="2" state="visible" r:id="rId2"/>
    <sheet name="Painel" sheetId="3" state="visible" r:id="rId3"/>
    <sheet name="Clarice" sheetId="4" state="visible" r:id="rId4"/>
    <sheet name="Luisa" sheetId="5" state="visible" r:id="rId5"/>
    <sheet name="Lui" sheetId="6" state="visible" r:id="rId6"/>
    <sheet name="Thaís" sheetId="7" state="visible" r:id="rId7"/>
    <sheet name="Daniel" sheetId="8" state="visible" r:id="rId8"/>
    <sheet name="Fernando" sheetId="9" state="visible" r:id="rId9"/>
    <sheet name="Stephanie" sheetId="10" state="visible" r:id="rId10"/>
    <sheet name="Fox" sheetId="11" state="visible" r:id="rId11"/>
    <sheet name="Bruna" sheetId="12" state="visible" r:id="rId12"/>
    <sheet name="Stella" sheetId="13" state="visible" r:id="rId13"/>
    <sheet name="Igor" sheetId="14" state="visible" r:id="rId14"/>
    <sheet name="Listas" sheetId="15" state="visible" r:id="rId15"/>
  </sheets>
  <definedNames>
    <definedName name="lst_Equipe">OFFSET(Listas!$A$4,0,0,COUNTA(Listas!$A$4:$A$60),1)</definedName>
    <definedName name="lst_Status">OFFSET(Listas!$B$4,0,0,COUNTA(Listas!$B$4:$B$30),1)</definedName>
    <definedName name="lst_Frentes">OFFSET(Listas!$C$4,0,0,COUNTA(Listas!$C$4:$C$60),1)</definedName>
    <definedName name="lst_Atividades">OFFSET(Listas!$D$4,0,0,MAX(1,COUNTIF(Listas!$D$4:$D$597,"?*")),1)</definedName>
    <definedName name="_xlnm._FilterDatabase" localSheetId="1" hidden="1">'Geral'!$A$6:$S$600</definedName>
    <definedName name="_xlnm._FilterDatabase" localSheetId="3" hidden="1">'Clarice'!$A$5:$J$300</definedName>
    <definedName name="_xlnm._FilterDatabase" localSheetId="4" hidden="1">'Luisa'!$A$5:$J$300</definedName>
    <definedName name="_xlnm._FilterDatabase" localSheetId="5" hidden="1">'Lui'!$A$5:$J$300</definedName>
    <definedName name="_xlnm._FilterDatabase" localSheetId="6" hidden="1">'Thaís'!$A$5:$J$300</definedName>
    <definedName name="_xlnm._FilterDatabase" localSheetId="7" hidden="1">'Daniel'!$A$5:$J$300</definedName>
    <definedName name="_xlnm._FilterDatabase" localSheetId="8" hidden="1">'Fernando'!$A$5:$J$300</definedName>
    <definedName name="_xlnm._FilterDatabase" localSheetId="9" hidden="1">'Stephanie'!$A$5:$J$300</definedName>
    <definedName name="_xlnm._FilterDatabase" localSheetId="10" hidden="1">'Fox'!$A$5:$J$300</definedName>
    <definedName name="_xlnm._FilterDatabase" localSheetId="11" hidden="1">'Bruna'!$A$5:$J$300</definedName>
    <definedName name="_xlnm._FilterDatabase" localSheetId="12" hidden="1">'Stella'!$A$5:$J$300</definedName>
    <definedName name="_xlnm._FilterDatabase" localSheetId="13" hidden="1">'Igor'!$A$5:$J$300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dd/mm"/>
    <numFmt numFmtId="167" formatCode="mmm/yy"/>
    <numFmt numFmtId="168" formatCode="dd/mm/yy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sz val="10"/>
    </font>
    <font>
      <name val="Arial"/>
      <color rgb="FF0000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FF595959"/>
      <sz val="9"/>
    </font>
    <font>
      <name val="Arial"/>
      <b val="1"/>
      <color rgb="FF0000FF"/>
      <sz val="10"/>
    </font>
    <font>
      <name val="Arial"/>
      <b val="1"/>
      <sz val="8"/>
    </font>
    <font>
      <name val="Arial"/>
      <b val="1"/>
      <color rgb="001F3864"/>
      <sz val="9"/>
    </font>
    <font>
      <name val="Arial"/>
      <i val="1"/>
      <color rgb="FF595959"/>
      <sz val="8"/>
    </font>
    <font>
      <name val="Arial"/>
      <b val="1"/>
      <color rgb="FFFFFFFF"/>
      <sz val="11"/>
    </font>
    <font>
      <name val="Arial"/>
      <color rgb="FF7F7F7F"/>
      <sz val="8"/>
    </font>
    <font>
      <name val="Arial"/>
      <i val="1"/>
      <color rgb="FF7F6000"/>
      <sz val="10"/>
    </font>
    <font>
      <name val="Arial"/>
      <sz val="9"/>
    </font>
    <font>
      <name val="Arial"/>
      <b val="1"/>
      <color rgb="001F3864"/>
      <sz val="12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0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16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right"/>
    </xf>
    <xf numFmtId="165" fontId="7" fillId="3" borderId="0" pivotButton="0" quotePrefix="0" xfId="0"/>
    <xf numFmtId="0" fontId="10" fillId="0" borderId="0" applyAlignment="1" pivotButton="0" quotePrefix="0" xfId="0">
      <alignment horizontal="right"/>
    </xf>
    <xf numFmtId="167" fontId="9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8" fillId="2" borderId="1" applyAlignment="1" pivotButton="0" quotePrefix="0" xfId="0">
      <alignment horizontal="center" vertical="center" textRotation="90"/>
    </xf>
    <xf numFmtId="0" fontId="11" fillId="4" borderId="0" pivotButton="0" quotePrefix="0" xfId="0"/>
    <xf numFmtId="168" fontId="11" fillId="4" borderId="0" pivotButton="0" quotePrefix="0" xfId="0"/>
    <xf numFmtId="0" fontId="4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168" fontId="13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168" fontId="4" fillId="6" borderId="1" applyAlignment="1" pivotButton="0" quotePrefix="0" xfId="0">
      <alignment horizontal="center" vertical="top"/>
    </xf>
    <xf numFmtId="0" fontId="1" fillId="5" borderId="0" pivotButton="0" quotePrefix="0" xfId="0"/>
    <xf numFmtId="168" fontId="1" fillId="5" borderId="0" pivotButton="0" quotePrefix="0" xfId="0"/>
    <xf numFmtId="0" fontId="14" fillId="6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top"/>
    </xf>
    <xf numFmtId="168" fontId="4" fillId="6" borderId="0" applyAlignment="1" pivotButton="0" quotePrefix="0" xfId="0">
      <alignment horizontal="center" vertical="top"/>
    </xf>
    <xf numFmtId="0" fontId="2" fillId="0" borderId="0" pivotButton="0" quotePrefix="0" xfId="0"/>
    <xf numFmtId="165" fontId="4" fillId="0" borderId="0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0" fontId="15" fillId="0" borderId="0" pivotButton="0" quotePrefix="0" xfId="0"/>
    <xf numFmtId="0" fontId="4" fillId="0" borderId="1" pivotButton="0" quotePrefix="0" xfId="0"/>
    <xf numFmtId="9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4" fillId="6" borderId="1" applyAlignment="1" pivotButton="0" quotePrefix="0" xfId="0">
      <alignment vertical="top"/>
    </xf>
    <xf numFmtId="168" fontId="4" fillId="6" borderId="1" applyAlignment="1" pivotButton="0" quotePrefix="0" xfId="0">
      <alignment vertical="top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5B9BD5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7E6E6"/>
        </patternFill>
      </fill>
    </dxf>
    <dxf>
      <font>
        <b val="1"/>
        <color rgb="FF9C0006"/>
      </font>
      <fill>
        <patternFill patternType="solid">
          <fgColor rgb="00FF7C80"/>
        </patternFill>
      </fill>
    </dxf>
    <dxf>
      <font>
        <b val="1"/>
        <color rgb="FF9C0006"/>
      </font>
      <fill>
        <patternFill patternType="solid">
          <fgColor rgb="00FFC7CE"/>
        </patternFill>
      </fill>
    </dxf>
    <dxf>
      <font>
        <b val="1"/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Cronograma Petrobio: como usar este arquivo</t>
        </is>
      </c>
    </row>
    <row r="2">
      <c r="A2" s="2" t="inlineStr"/>
    </row>
    <row r="3">
      <c r="A3" s="3" t="inlineStr">
        <is>
          <t>Abas</t>
        </is>
      </c>
    </row>
    <row r="4">
      <c r="A4" s="2" t="inlineStr">
        <is>
          <t>Geral: cronograma oficial por frente e subfrente. Cada atividade tem um ID único (ex.: EC-012).</t>
        </is>
      </c>
    </row>
    <row r="5">
      <c r="A5" s="2" t="inlineStr">
        <is>
          <t>Painel: contagem automática por pessoa, por status e por frente, com tarefas atrasadas.</t>
        </is>
      </c>
    </row>
    <row r="6">
      <c r="A6" s="2" t="inlineStr">
        <is>
          <t>Abas individuais (uma por pessoa): cada um lista e atualiza as próprias tarefas.</t>
        </is>
      </c>
    </row>
    <row r="7">
      <c r="A7" s="2" t="inlineStr">
        <is>
          <t>Listas: nomes da equipe, status e frentes usados nas listas suspensas.</t>
        </is>
      </c>
    </row>
    <row r="8">
      <c r="A8" s="2" t="inlineStr"/>
    </row>
    <row r="9">
      <c r="A9" s="3" t="inlineStr">
        <is>
          <t>Como funciona a atualização automática</t>
        </is>
      </c>
    </row>
    <row r="10">
      <c r="A10" s="2" t="inlineStr">
        <is>
          <t>1. Na sua aba, escolha na coluna A a atividade da Geral à qual sua tarefa pertence (lista suspensa "ID · descrição").</t>
        </is>
      </c>
    </row>
    <row r="11">
      <c r="A11" s="2" t="inlineStr">
        <is>
          <t>2. Escreva sua tarefa na coluna E (ou deixe em branco se sua parte é a própria atividade) e escolha o status.</t>
        </is>
      </c>
    </row>
    <row r="12">
      <c r="A12" s="2" t="inlineStr">
        <is>
          <t>3. Na Geral, a atividade mostra automaticamente: quem está envolvido (Equipe), quantas tarefas individuais foram concluídas e o texto de cada uma (Detalhamento individual).</t>
        </is>
      </c>
    </row>
    <row r="13">
      <c r="A13" s="2" t="inlineStr">
        <is>
          <t>4. O status oficial da atividade na Geral (coluna I) continua sendo preenchido pela coordenação/ponto focal.</t>
        </is>
      </c>
    </row>
    <row r="14">
      <c r="A14" s="2" t="inlineStr"/>
    </row>
    <row r="15">
      <c r="A15" s="3" t="inlineStr">
        <is>
          <t>Incluir uma atividade nova na Geral</t>
        </is>
      </c>
    </row>
    <row r="16">
      <c r="A16" s="2" t="inlineStr">
        <is>
          <t>Insira uma linha dentro da frente, selecione a linha nova junto com a de cima e use Ctrl+D (copia as fórmulas). Depois apague os dados copiados e preencha, criando um ID novo na coluna A (prefixo da frente + número seguinte). IDs repetidos ficam vermelhos. Não altere o ID de uma atividade que já esteja nas abas individuais.</t>
        </is>
      </c>
    </row>
    <row r="17">
      <c r="A17" s="2" t="inlineStr">
        <is>
          <t>Prefixos: ART = Artigo | EC = Aplicação da EC | DM = Aplicação da DM | SBM = Aplicação da SBM | P3 = Relatório produto 3 | P4 = Relatório produto 4</t>
        </is>
      </c>
    </row>
    <row r="18">
      <c r="A18" s="2" t="inlineStr"/>
    </row>
    <row r="19">
      <c r="A19" s="3" t="inlineStr">
        <is>
          <t>Gantt</t>
        </is>
      </c>
    </row>
    <row r="20">
      <c r="A20" s="2" t="inlineStr">
        <is>
          <t>As barras são desenhadas por uma única regra de formatação condicional a partir das colunas "Início vigente" e "Fim vigente". Vigente = data replanejada, se existir; senão, a data original. Para mudar o período exibido, altere a data amarela "Início do Gantt" (T3 da Geral). O Gantt mostra 42 semanas.</t>
        </is>
      </c>
    </row>
    <row r="21">
      <c r="A21" s="2" t="inlineStr"/>
    </row>
    <row r="22">
      <c r="A22" s="3" t="inlineStr">
        <is>
          <t>Migração a partir da planilha antiga (conferir)</t>
        </is>
      </c>
    </row>
    <row r="23">
      <c r="A23" s="2" t="inlineStr">
        <is>
          <t>Base: aba "Detalhamento_Jun,Jul,Ago". As 16 abas ocultas não foram trazidas (o arquivo original continua intacto).</t>
        </is>
      </c>
    </row>
    <row r="24">
      <c r="A24" s="2" t="inlineStr">
        <is>
          <t>Datas em itálico foram estimadas a partir das marcações do Gantt antigo: células com "x" (azul) = Data inicial/final; células pintadas de laranja/vermelho = replanejado. A regra foi validada com a única linha que tinha datas digitadas (EC "Rodar as análises no R (UTGCA)"). Quando havia marcações com intervalos, usei da primeira à última semana.</t>
        </is>
      </c>
    </row>
    <row r="25">
      <c r="A25" s="2" t="inlineStr">
        <is>
          <t>"Ponto focal" saiu da coluna Equipe e foi para a coluna F. Nas tarefas, o ponto focal é herdado da subfrente (ou da frente).</t>
        </is>
      </c>
    </row>
    <row r="26">
      <c r="A26" s="2" t="inlineStr">
        <is>
          <t>Nomes padronizados: Luisa/Luísa = Luisa; Luí/Lui/Luiz = Lui; Clarice/Clarice Matos/Clarice Braúna = Clarice; "Igor (pdfs IA)" = Igor.</t>
        </is>
      </c>
    </row>
    <row r="27">
      <c r="A27" s="2" t="inlineStr">
        <is>
          <t>"Toda a equipe" foi distribuído para todas as abas. "Petrobras" e "a definir" ficaram em "Outros envolvidos" (sem aba).</t>
        </is>
      </c>
    </row>
    <row r="28">
      <c r="A28" s="2" t="inlineStr">
        <is>
          <t>Um status fora do padrão ("atualizar, deve ficar junto com a fauna terrestre") virou "Pausado" e o texto foi para Observações.</t>
        </is>
      </c>
    </row>
    <row r="29">
      <c r="A29" s="2" t="inlineStr">
        <is>
          <t>A subfrente sem nome da SBM (antiga linha 209, só com "Ponto focal: Luisa") aparece como "(subfrente sem título no original)".</t>
        </is>
      </c>
    </row>
    <row r="30">
      <c r="A30" s="2" t="inlineStr"/>
    </row>
    <row r="31">
      <c r="A31" s="3" t="inlineStr">
        <is>
          <t>Limitações</t>
        </is>
      </c>
    </row>
    <row r="32">
      <c r="A32" s="2" t="inlineStr">
        <is>
          <t>Para incluir ou remover uma pessoa é preciso ajustar as fórmulas das colunas G, J e S da Geral e do Painel. Não apague uma aba individual sem isso.</t>
        </is>
      </c>
    </row>
    <row r="33">
      <c r="A33" s="2" t="inlineStr">
        <is>
          <t>Em pasta de rede (VPN) o Excel não permite edição simultânea: enquanto uma pessoa edita, as outras abrem como somente leitura.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BI600"/>
  <sheetViews>
    <sheetView zoomScale="9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52" customWidth="1" min="5" max="5"/>
    <col width="12" customWidth="1" min="6" max="6"/>
    <col width="22" customWidth="1" min="7" max="7"/>
    <col width="12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30" customWidth="1" min="18" max="18"/>
    <col width="48" customWidth="1" min="19" max="19"/>
    <col outlineLevel="1" width="3.2" customWidth="1" min="20" max="20"/>
    <col outlineLevel="1" width="3.2" customWidth="1" min="21" max="21"/>
    <col outlineLevel="1" width="3.2" customWidth="1" min="22" max="22"/>
    <col outlineLevel="1" width="3.2" customWidth="1" min="23" max="23"/>
    <col outlineLevel="1" width="3.2" customWidth="1" min="24" max="24"/>
    <col outlineLevel="1" width="3.2" customWidth="1" min="25" max="25"/>
    <col outlineLevel="1" width="3.2" customWidth="1" min="26" max="26"/>
    <col outlineLevel="1" width="3.2" customWidth="1" min="27" max="27"/>
    <col outlineLevel="1" width="3.2" customWidth="1" min="28" max="28"/>
    <col outlineLevel="1" width="3.2" customWidth="1" min="29" max="29"/>
    <col outlineLevel="1" width="3.2" customWidth="1" min="30" max="30"/>
    <col outlineLevel="1" width="3.2" customWidth="1" min="31" max="31"/>
    <col outlineLevel="1" width="3.2" customWidth="1" min="32" max="32"/>
    <col outlineLevel="1" width="3.2" customWidth="1" min="33" max="33"/>
    <col outlineLevel="1" width="3.2" customWidth="1" min="34" max="34"/>
    <col outlineLevel="1" width="3.2" customWidth="1" min="35" max="35"/>
    <col outlineLevel="1" width="3.2" customWidth="1" min="36" max="36"/>
    <col outlineLevel="1" width="3.2" customWidth="1" min="37" max="37"/>
    <col outlineLevel="1" width="3.2" customWidth="1" min="38" max="38"/>
    <col outlineLevel="1" width="3.2" customWidth="1" min="39" max="39"/>
    <col outlineLevel="1" width="3.2" customWidth="1" min="40" max="40"/>
    <col outlineLevel="1" width="3.2" customWidth="1" min="41" max="41"/>
    <col outlineLevel="1" width="3.2" customWidth="1" min="42" max="42"/>
    <col outlineLevel="1" width="3.2" customWidth="1" min="43" max="43"/>
    <col outlineLevel="1" width="3.2" customWidth="1" min="44" max="44"/>
    <col outlineLevel="1" width="3.2" customWidth="1" min="45" max="45"/>
    <col outlineLevel="1" width="3.2" customWidth="1" min="46" max="46"/>
    <col outlineLevel="1" width="3.2" customWidth="1" min="47" max="47"/>
    <col outlineLevel="1" width="3.2" customWidth="1" min="48" max="48"/>
    <col outlineLevel="1" width="3.2" customWidth="1" min="49" max="49"/>
    <col outlineLevel="1" width="3.2" customWidth="1" min="50" max="50"/>
    <col outlineLevel="1" width="3.2" customWidth="1" min="51" max="51"/>
    <col outlineLevel="1" width="3.2" customWidth="1" min="52" max="52"/>
    <col outlineLevel="1" width="3.2" customWidth="1" min="53" max="53"/>
    <col outlineLevel="1" width="3.2" customWidth="1" min="54" max="54"/>
    <col outlineLevel="1" width="3.2" customWidth="1" min="55" max="55"/>
    <col outlineLevel="1" width="3.2" customWidth="1" min="56" max="56"/>
    <col outlineLevel="1" width="3.2" customWidth="1" min="57" max="57"/>
    <col outlineLevel="1" width="3.2" customWidth="1" min="58" max="58"/>
    <col outlineLevel="1" width="3.2" customWidth="1" min="59" max="59"/>
    <col outlineLevel="1" width="3.2" customWidth="1" min="60" max="60"/>
    <col outlineLevel="1" width="3.2" customWidth="1" min="61" max="61"/>
  </cols>
  <sheetData>
    <row r="1">
      <c r="A1" s="1" t="inlineStr">
        <is>
          <t>Cronograma Petrobio: visão geral por frente</t>
        </is>
      </c>
    </row>
    <row r="2">
      <c r="A2" s="4" t="inlineStr">
        <is>
          <t>Preencha as colunas brancas. Colunas cinzas são automáticas (não digite nelas). Nova atividade: insira uma linha, copie a linha de cima (Ctrl+D) e crie um ID novo e único na coluna A. Datas em itálico foram estimadas a partir do Gantt antigo; confira.</t>
        </is>
      </c>
    </row>
    <row r="3">
      <c r="S3" s="5" t="inlineStr">
        <is>
          <t>Início do Gantt:</t>
        </is>
      </c>
      <c r="T3" s="6" t="n">
        <v>46097</v>
      </c>
    </row>
    <row r="5">
      <c r="S5" s="7" t="inlineStr">
        <is>
          <t>Gantt semanal (agrupado: clique em "−/+" acima das colunas para recolher)</t>
        </is>
      </c>
      <c r="T5" s="8">
        <f>T6</f>
        <v/>
      </c>
      <c r="U5" s="8">
        <f>IF(MONTH(U6)&lt;&gt;MONTH(T6),U6,"")</f>
        <v/>
      </c>
      <c r="V5" s="8">
        <f>IF(MONTH(V6)&lt;&gt;MONTH(U6),V6,"")</f>
        <v/>
      </c>
      <c r="W5" s="8">
        <f>IF(MONTH(W6)&lt;&gt;MONTH(V6),W6,"")</f>
        <v/>
      </c>
      <c r="X5" s="8">
        <f>IF(MONTH(X6)&lt;&gt;MONTH(W6),X6,"")</f>
        <v/>
      </c>
      <c r="Y5" s="8">
        <f>IF(MONTH(Y6)&lt;&gt;MONTH(X6),Y6,"")</f>
        <v/>
      </c>
      <c r="Z5" s="8">
        <f>IF(MONTH(Z6)&lt;&gt;MONTH(Y6),Z6,"")</f>
        <v/>
      </c>
      <c r="AA5" s="8">
        <f>IF(MONTH(AA6)&lt;&gt;MONTH(Z6),AA6,"")</f>
        <v/>
      </c>
      <c r="AB5" s="8">
        <f>IF(MONTH(AB6)&lt;&gt;MONTH(AA6),AB6,"")</f>
        <v/>
      </c>
      <c r="AC5" s="8">
        <f>IF(MONTH(AC6)&lt;&gt;MONTH(AB6),AC6,"")</f>
        <v/>
      </c>
      <c r="AD5" s="8">
        <f>IF(MONTH(AD6)&lt;&gt;MONTH(AC6),AD6,"")</f>
        <v/>
      </c>
      <c r="AE5" s="8">
        <f>IF(MONTH(AE6)&lt;&gt;MONTH(AD6),AE6,"")</f>
        <v/>
      </c>
      <c r="AF5" s="8">
        <f>IF(MONTH(AF6)&lt;&gt;MONTH(AE6),AF6,"")</f>
        <v/>
      </c>
      <c r="AG5" s="8">
        <f>IF(MONTH(AG6)&lt;&gt;MONTH(AF6),AG6,"")</f>
        <v/>
      </c>
      <c r="AH5" s="8">
        <f>IF(MONTH(AH6)&lt;&gt;MONTH(AG6),AH6,"")</f>
        <v/>
      </c>
      <c r="AI5" s="8">
        <f>IF(MONTH(AI6)&lt;&gt;MONTH(AH6),AI6,"")</f>
        <v/>
      </c>
      <c r="AJ5" s="8">
        <f>IF(MONTH(AJ6)&lt;&gt;MONTH(AI6),AJ6,"")</f>
        <v/>
      </c>
      <c r="AK5" s="8">
        <f>IF(MONTH(AK6)&lt;&gt;MONTH(AJ6),AK6,"")</f>
        <v/>
      </c>
      <c r="AL5" s="8">
        <f>IF(MONTH(AL6)&lt;&gt;MONTH(AK6),AL6,"")</f>
        <v/>
      </c>
      <c r="AM5" s="8">
        <f>IF(MONTH(AM6)&lt;&gt;MONTH(AL6),AM6,"")</f>
        <v/>
      </c>
      <c r="AN5" s="8">
        <f>IF(MONTH(AN6)&lt;&gt;MONTH(AM6),AN6,"")</f>
        <v/>
      </c>
      <c r="AO5" s="8">
        <f>IF(MONTH(AO6)&lt;&gt;MONTH(AN6),AO6,"")</f>
        <v/>
      </c>
      <c r="AP5" s="8">
        <f>IF(MONTH(AP6)&lt;&gt;MONTH(AO6),AP6,"")</f>
        <v/>
      </c>
      <c r="AQ5" s="8">
        <f>IF(MONTH(AQ6)&lt;&gt;MONTH(AP6),AQ6,"")</f>
        <v/>
      </c>
      <c r="AR5" s="8">
        <f>IF(MONTH(AR6)&lt;&gt;MONTH(AQ6),AR6,"")</f>
        <v/>
      </c>
      <c r="AS5" s="8">
        <f>IF(MONTH(AS6)&lt;&gt;MONTH(AR6),AS6,"")</f>
        <v/>
      </c>
      <c r="AT5" s="8">
        <f>IF(MONTH(AT6)&lt;&gt;MONTH(AS6),AT6,"")</f>
        <v/>
      </c>
      <c r="AU5" s="8">
        <f>IF(MONTH(AU6)&lt;&gt;MONTH(AT6),AU6,"")</f>
        <v/>
      </c>
      <c r="AV5" s="8">
        <f>IF(MONTH(AV6)&lt;&gt;MONTH(AU6),AV6,"")</f>
        <v/>
      </c>
      <c r="AW5" s="8">
        <f>IF(MONTH(AW6)&lt;&gt;MONTH(AV6),AW6,"")</f>
        <v/>
      </c>
      <c r="AX5" s="8">
        <f>IF(MONTH(AX6)&lt;&gt;MONTH(AW6),AX6,"")</f>
        <v/>
      </c>
      <c r="AY5" s="8">
        <f>IF(MONTH(AY6)&lt;&gt;MONTH(AX6),AY6,"")</f>
        <v/>
      </c>
      <c r="AZ5" s="8">
        <f>IF(MONTH(AZ6)&lt;&gt;MONTH(AY6),AZ6,"")</f>
        <v/>
      </c>
      <c r="BA5" s="8">
        <f>IF(MONTH(BA6)&lt;&gt;MONTH(AZ6),BA6,"")</f>
        <v/>
      </c>
      <c r="BB5" s="8">
        <f>IF(MONTH(BB6)&lt;&gt;MONTH(BA6),BB6,"")</f>
        <v/>
      </c>
      <c r="BC5" s="8">
        <f>IF(MONTH(BC6)&lt;&gt;MONTH(BB6),BC6,"")</f>
        <v/>
      </c>
      <c r="BD5" s="8">
        <f>IF(MONTH(BD6)&lt;&gt;MONTH(BC6),BD6,"")</f>
        <v/>
      </c>
      <c r="BE5" s="8">
        <f>IF(MONTH(BE6)&lt;&gt;MONTH(BD6),BE6,"")</f>
        <v/>
      </c>
      <c r="BF5" s="8">
        <f>IF(MONTH(BF6)&lt;&gt;MONTH(BE6),BF6,"")</f>
        <v/>
      </c>
      <c r="BG5" s="8">
        <f>IF(MONTH(BG6)&lt;&gt;MONTH(BF6),BG6,"")</f>
        <v/>
      </c>
      <c r="BH5" s="8">
        <f>IF(MONTH(BH6)&lt;&gt;MONTH(BG6),BH6,"")</f>
        <v/>
      </c>
      <c r="BI5" s="8">
        <f>IF(MONTH(BI6)&lt;&gt;MONTH(BH6),BI6,"")</f>
        <v/>
      </c>
    </row>
    <row r="6" ht="54" customHeight="1">
      <c r="A6" s="9" t="inlineStr">
        <is>
          <t>ID</t>
        </is>
      </c>
      <c r="B6" s="9" t="inlineStr">
        <is>
          <t>Etapa</t>
        </is>
      </c>
      <c r="C6" s="9" t="inlineStr">
        <is>
          <t>Frente</t>
        </is>
      </c>
      <c r="D6" s="9" t="inlineStr">
        <is>
          <t>Subfrente</t>
        </is>
      </c>
      <c r="E6" s="9" t="inlineStr">
        <is>
          <t>Atividade</t>
        </is>
      </c>
      <c r="F6" s="9" t="inlineStr">
        <is>
          <t>Ponto focal</t>
        </is>
      </c>
      <c r="G6" s="9" t="inlineStr">
        <is>
          <t>Equipe (automático)</t>
        </is>
      </c>
      <c r="H6" s="9" t="inlineStr">
        <is>
          <t>Outros envolvidos</t>
        </is>
      </c>
      <c r="I6" s="9" t="inlineStr">
        <is>
          <t>Status</t>
        </is>
      </c>
      <c r="J6" s="9" t="inlineStr">
        <is>
          <t>Concluídas / tarefas individuais (automático)</t>
        </is>
      </c>
      <c r="K6" s="9" t="inlineStr">
        <is>
          <t>Data inicial</t>
        </is>
      </c>
      <c r="L6" s="9" t="inlineStr">
        <is>
          <t>Data final</t>
        </is>
      </c>
      <c r="M6" s="9" t="inlineStr">
        <is>
          <t>Início replanejado</t>
        </is>
      </c>
      <c r="N6" s="9" t="inlineStr">
        <is>
          <t>Fim replanejado</t>
        </is>
      </c>
      <c r="O6" s="9" t="inlineStr">
        <is>
          <t>Data de entrega</t>
        </is>
      </c>
      <c r="P6" s="9" t="inlineStr">
        <is>
          <t>Início vigente (automático)</t>
        </is>
      </c>
      <c r="Q6" s="9" t="inlineStr">
        <is>
          <t>Fim vigente (automático)</t>
        </is>
      </c>
      <c r="R6" s="9" t="inlineStr">
        <is>
          <t>Observações</t>
        </is>
      </c>
      <c r="S6" s="9" t="inlineStr">
        <is>
          <t>Detalhamento individual (automático)</t>
        </is>
      </c>
      <c r="T6" s="10">
        <f>T$3-WEEKDAY(T$3,3)</f>
        <v/>
      </c>
      <c r="U6" s="10">
        <f>T6+7</f>
        <v/>
      </c>
      <c r="V6" s="10">
        <f>U6+7</f>
        <v/>
      </c>
      <c r="W6" s="10">
        <f>V6+7</f>
        <v/>
      </c>
      <c r="X6" s="10">
        <f>W6+7</f>
        <v/>
      </c>
      <c r="Y6" s="10">
        <f>X6+7</f>
        <v/>
      </c>
      <c r="Z6" s="10">
        <f>Y6+7</f>
        <v/>
      </c>
      <c r="AA6" s="10">
        <f>Z6+7</f>
        <v/>
      </c>
      <c r="AB6" s="10">
        <f>AA6+7</f>
        <v/>
      </c>
      <c r="AC6" s="10">
        <f>AB6+7</f>
        <v/>
      </c>
      <c r="AD6" s="10">
        <f>AC6+7</f>
        <v/>
      </c>
      <c r="AE6" s="10">
        <f>AD6+7</f>
        <v/>
      </c>
      <c r="AF6" s="10">
        <f>AE6+7</f>
        <v/>
      </c>
      <c r="AG6" s="10">
        <f>AF6+7</f>
        <v/>
      </c>
      <c r="AH6" s="10">
        <f>AG6+7</f>
        <v/>
      </c>
      <c r="AI6" s="10">
        <f>AH6+7</f>
        <v/>
      </c>
      <c r="AJ6" s="10">
        <f>AI6+7</f>
        <v/>
      </c>
      <c r="AK6" s="10">
        <f>AJ6+7</f>
        <v/>
      </c>
      <c r="AL6" s="10">
        <f>AK6+7</f>
        <v/>
      </c>
      <c r="AM6" s="10">
        <f>AL6+7</f>
        <v/>
      </c>
      <c r="AN6" s="10">
        <f>AM6+7</f>
        <v/>
      </c>
      <c r="AO6" s="10">
        <f>AN6+7</f>
        <v/>
      </c>
      <c r="AP6" s="10">
        <f>AO6+7</f>
        <v/>
      </c>
      <c r="AQ6" s="10">
        <f>AP6+7</f>
        <v/>
      </c>
      <c r="AR6" s="10">
        <f>AQ6+7</f>
        <v/>
      </c>
      <c r="AS6" s="10">
        <f>AR6+7</f>
        <v/>
      </c>
      <c r="AT6" s="10">
        <f>AS6+7</f>
        <v/>
      </c>
      <c r="AU6" s="10">
        <f>AT6+7</f>
        <v/>
      </c>
      <c r="AV6" s="10">
        <f>AU6+7</f>
        <v/>
      </c>
      <c r="AW6" s="10">
        <f>AV6+7</f>
        <v/>
      </c>
      <c r="AX6" s="10">
        <f>AW6+7</f>
        <v/>
      </c>
      <c r="AY6" s="10">
        <f>AX6+7</f>
        <v/>
      </c>
      <c r="AZ6" s="10">
        <f>AY6+7</f>
        <v/>
      </c>
      <c r="BA6" s="10">
        <f>AZ6+7</f>
        <v/>
      </c>
      <c r="BB6" s="10">
        <f>BA6+7</f>
        <v/>
      </c>
      <c r="BC6" s="10">
        <f>BB6+7</f>
        <v/>
      </c>
      <c r="BD6" s="10">
        <f>BC6+7</f>
        <v/>
      </c>
      <c r="BE6" s="10">
        <f>BD6+7</f>
        <v/>
      </c>
      <c r="BF6" s="10">
        <f>BE6+7</f>
        <v/>
      </c>
      <c r="BG6" s="10">
        <f>BF6+7</f>
        <v/>
      </c>
      <c r="BH6" s="10">
        <f>BG6+7</f>
        <v/>
      </c>
      <c r="BI6" s="10">
        <f>BH6+7</f>
        <v/>
      </c>
    </row>
    <row r="7" ht="20" customHeight="1">
      <c r="A7" s="11" t="n"/>
      <c r="B7" s="11" t="inlineStr">
        <is>
          <t>Extra - Artigo</t>
        </is>
      </c>
      <c r="C7" s="11" t="inlineStr">
        <is>
          <t>1. Elaboração do artigo sobre a caixa de ferramentas</t>
        </is>
      </c>
      <c r="D7" s="11" t="n"/>
      <c r="E7" s="11" t="inlineStr">
        <is>
          <t>1. Elaboração do artigo sobre a caixa de ferramentas</t>
        </is>
      </c>
      <c r="F7" s="11" t="inlineStr">
        <is>
          <t>Thaís</t>
        </is>
      </c>
      <c r="G7" s="11">
        <f>IF($A7="","",_xlfn.TEXTJOIN("; ",TRUE,IF(COUNTIF('Clarice'!$B$6:$B$300,$A7)&gt;0,"Clarice",""),IF(COUNTIF('Luisa'!$B$6:$B$300,$A7)&gt;0,"Luisa",""),IF(COUNTIF('Lui'!$B$6:$B$300,$A7)&gt;0,"Lui",""),IF(COUNTIF('Thaís'!$B$6:$B$300,$A7)&gt;0,"Thaís",""),IF(COUNTIF('Daniel'!$B$6:$B$300,$A7)&gt;0,"Daniel",""),IF(COUNTIF('Fernando'!$B$6:$B$300,$A7)&gt;0,"Fernando",""),IF(COUNTIF('Stephanie'!$B$6:$B$300,$A7)&gt;0,"Stephanie",""),IF(COUNTIF('Fox'!$B$6:$B$300,$A7)&gt;0,"Fox",""),IF(COUNTIF('Bruna'!$B$6:$B$300,$A7)&gt;0,"Bruna",""),IF(COUNTIF('Stella'!$B$6:$B$300,$A7)&gt;0,"Stella",""),IF(COUNTIF('Igor'!$B$6:$B$300,$A7)&gt;0,"Igor","")))</f>
        <v/>
      </c>
      <c r="H7" s="11" t="n"/>
      <c r="I7" s="11" t="n"/>
      <c r="J7" s="11">
        <f>IF(OR($A7="",(COUNTIF('Clarice'!$B$6:$B$300,$A7)+COUNTIF('Luisa'!$B$6:$B$300,$A7)+COUNTIF('Lui'!$B$6:$B$300,$A7)+COUNTIF('Thaís'!$B$6:$B$300,$A7)+COUNTIF('Daniel'!$B$6:$B$300,$A7)+COUNTIF('Fernando'!$B$6:$B$300,$A7)+COUNTIF('Stephanie'!$B$6:$B$300,$A7)+COUNTIF('Fox'!$B$6:$B$300,$A7)+COUNTIF('Bruna'!$B$6:$B$300,$A7)+COUNTIF('Stella'!$B$6:$B$300,$A7)+COUNTIF('Igor'!$B$6:$B$300,$A7))=0),"",(COUNTIFS('Clarice'!$B$6:$B$300,$A7,'Clarice'!$F$6:$F$300,"Concluído")+COUNTIFS('Luisa'!$B$6:$B$300,$A7,'Luisa'!$F$6:$F$300,"Concluído")+COUNTIFS('Lui'!$B$6:$B$300,$A7,'Lui'!$F$6:$F$300,"Concluído")+COUNTIFS('Thaís'!$B$6:$B$300,$A7,'Thaís'!$F$6:$F$300,"Concluído")+COUNTIFS('Daniel'!$B$6:$B$300,$A7,'Daniel'!$F$6:$F$300,"Concluído")+COUNTIFS('Fernando'!$B$6:$B$300,$A7,'Fernando'!$F$6:$F$300,"Concluído")+COUNTIFS('Stephanie'!$B$6:$B$300,$A7,'Stephanie'!$F$6:$F$300,"Concluído")+COUNTIFS('Fox'!$B$6:$B$300,$A7,'Fox'!$F$6:$F$300,"Concluído")+COUNTIFS('Bruna'!$B$6:$B$300,$A7,'Bruna'!$F$6:$F$300,"Concluído")+COUNTIFS('Stella'!$B$6:$B$300,$A7,'Stella'!$F$6:$F$300,"Concluído")+COUNTIFS('Igor'!$B$6:$B$300,$A7,'Igor'!$F$6:$F$300,"Concluído"))&amp;" / "&amp;(COUNTIF('Clarice'!$B$6:$B$300,$A7)+COUNTIF('Luisa'!$B$6:$B$300,$A7)+COUNTIF('Lui'!$B$6:$B$300,$A7)+COUNTIF('Thaís'!$B$6:$B$300,$A7)+COUNTIF('Daniel'!$B$6:$B$300,$A7)+COUNTIF('Fernando'!$B$6:$B$300,$A7)+COUNTIF('Stephanie'!$B$6:$B$300,$A7)+COUNTIF('Fox'!$B$6:$B$300,$A7)+COUNTIF('Bruna'!$B$6:$B$300,$A7)+COUNTIF('Stella'!$B$6:$B$300,$A7)+COUNTIF('Igor'!$B$6:$B$300,$A7)))</f>
        <v/>
      </c>
      <c r="K7" s="11" t="n"/>
      <c r="L7" s="11" t="n"/>
      <c r="M7" s="11" t="n"/>
      <c r="N7" s="11" t="n"/>
      <c r="O7" s="11" t="n"/>
      <c r="P7" s="12">
        <f>IF($A7="","",IF(M7&lt;&gt;"",M7,IF(K7&lt;&gt;"",K7,"")))</f>
        <v/>
      </c>
      <c r="Q7" s="12">
        <f>IF($A7="","",IF(N7&lt;&gt;"",N7,IF(L7&lt;&gt;"",L7,"")))</f>
        <v/>
      </c>
      <c r="R7" s="11" t="n"/>
      <c r="S7" s="11">
        <f t="array" ref="S7">IF($A7="","",_xlfn.TEXTJOIN(CHAR(10),TRUE,IF('Clarice'!$B$6:$B$300=$A7,"Clarice"&amp;IF('Clarice'!$E$6:$E$300="",""," : "&amp;'Clarice'!$E$6:$E$300)&amp;" ["&amp;'Clarice'!$F$6:$F$300&amp;"]",""),IF('Luisa'!$B$6:$B$300=$A7,"Luisa"&amp;IF('Luisa'!$E$6:$E$300="",""," : "&amp;'Luisa'!$E$6:$E$300)&amp;" ["&amp;'Luisa'!$F$6:$F$300&amp;"]",""),IF('Lui'!$B$6:$B$300=$A7,"Lui"&amp;IF('Lui'!$E$6:$E$300="",""," : "&amp;'Lui'!$E$6:$E$300)&amp;" ["&amp;'Lui'!$F$6:$F$300&amp;"]",""),IF('Thaís'!$B$6:$B$300=$A7,"Thaís"&amp;IF('Thaís'!$E$6:$E$300="",""," : "&amp;'Thaís'!$E$6:$E$300)&amp;" ["&amp;'Thaís'!$F$6:$F$300&amp;"]",""),IF('Daniel'!$B$6:$B$300=$A7,"Daniel"&amp;IF('Daniel'!$E$6:$E$300="",""," : "&amp;'Daniel'!$E$6:$E$300)&amp;" ["&amp;'Daniel'!$F$6:$F$300&amp;"]",""),IF('Fernando'!$B$6:$B$300=$A7,"Fernando"&amp;IF('Fernando'!$E$6:$E$300="",""," : "&amp;'Fernando'!$E$6:$E$300)&amp;" ["&amp;'Fernando'!$F$6:$F$300&amp;"]",""),IF('Stephanie'!$B$6:$B$300=$A7,"Stephanie"&amp;IF('Stephanie'!$E$6:$E$300="",""," : "&amp;'Stephanie'!$E$6:$E$300)&amp;" ["&amp;'Stephanie'!$F$6:$F$300&amp;"]",""),IF('Fox'!$B$6:$B$300=$A7,"Fox"&amp;IF('Fox'!$E$6:$E$300="",""," : "&amp;'Fox'!$E$6:$E$300)&amp;" ["&amp;'Fox'!$F$6:$F$300&amp;"]",""),IF('Bruna'!$B$6:$B$300=$A7,"Bruna"&amp;IF('Bruna'!$E$6:$E$300="",""," : "&amp;'Bruna'!$E$6:$E$300)&amp;" ["&amp;'Bruna'!$F$6:$F$300&amp;"]",""),IF('Stella'!$B$6:$B$300=$A7,"Stella"&amp;IF('Stella'!$E$6:$E$300="",""," : "&amp;'Stella'!$E$6:$E$300)&amp;" ["&amp;'Stella'!$F$6:$F$300&amp;"]",""),IF('Igor'!$B$6:$B$300=$A7,"Igor"&amp;IF('Igor'!$E$6:$E$300="",""," : "&amp;'Igor'!$E$6:$E$300)&amp;" ["&amp;'Igor'!$F$6:$F$300&amp;"]","")))</f>
        <v/>
      </c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</row>
    <row r="8" ht="140.5" customHeight="1">
      <c r="A8" s="13" t="inlineStr">
        <is>
          <t>ART-001</t>
        </is>
      </c>
      <c r="B8" s="14" t="inlineStr">
        <is>
          <t>Extra - Artigo</t>
        </is>
      </c>
      <c r="C8" s="14" t="inlineStr">
        <is>
          <t>1. Elaboração do artigo sobre a caixa de ferramentas</t>
        </is>
      </c>
      <c r="D8" s="14" t="n"/>
      <c r="E8" s="15" t="inlineStr">
        <is>
          <t>Definir o escopo do artigo</t>
        </is>
      </c>
      <c r="F8" s="13" t="inlineStr">
        <is>
          <t>Thaís</t>
        </is>
      </c>
      <c r="G8" s="16">
        <f>IF($A8="","",_xlfn.TEXTJOIN("; ",TRUE,IF(COUNTIF('Clarice'!$B$6:$B$300,$A8)&gt;0,"Clarice",""),IF(COUNTIF('Luisa'!$B$6:$B$300,$A8)&gt;0,"Luisa",""),IF(COUNTIF('Lui'!$B$6:$B$300,$A8)&gt;0,"Lui",""),IF(COUNTIF('Thaís'!$B$6:$B$300,$A8)&gt;0,"Thaís",""),IF(COUNTIF('Daniel'!$B$6:$B$300,$A8)&gt;0,"Daniel",""),IF(COUNTIF('Fernando'!$B$6:$B$300,$A8)&gt;0,"Fernando",""),IF(COUNTIF('Stephanie'!$B$6:$B$300,$A8)&gt;0,"Stephanie",""),IF(COUNTIF('Fox'!$B$6:$B$300,$A8)&gt;0,"Fox",""),IF(COUNTIF('Bruna'!$B$6:$B$300,$A8)&gt;0,"Bruna",""),IF(COUNTIF('Stella'!$B$6:$B$300,$A8)&gt;0,"Stella",""),IF(COUNTIF('Igor'!$B$6:$B$300,$A8)&gt;0,"Igor","")))</f>
        <v/>
      </c>
      <c r="H8" s="13" t="n"/>
      <c r="I8" s="13" t="inlineStr">
        <is>
          <t>Concluído</t>
        </is>
      </c>
      <c r="J8" s="17">
        <f>IF(OR($A8="",(COUNTIF('Clarice'!$B$6:$B$300,$A8)+COUNTIF('Luisa'!$B$6:$B$300,$A8)+COUNTIF('Lui'!$B$6:$B$300,$A8)+COUNTIF('Thaís'!$B$6:$B$300,$A8)+COUNTIF('Daniel'!$B$6:$B$300,$A8)+COUNTIF('Fernando'!$B$6:$B$300,$A8)+COUNTIF('Stephanie'!$B$6:$B$300,$A8)+COUNTIF('Fox'!$B$6:$B$300,$A8)+COUNTIF('Bruna'!$B$6:$B$300,$A8)+COUNTIF('Stella'!$B$6:$B$300,$A8)+COUNTIF('Igor'!$B$6:$B$300,$A8))=0),"",(COUNTIFS('Clarice'!$B$6:$B$300,$A8,'Clarice'!$F$6:$F$300,"Concluído")+COUNTIFS('Luisa'!$B$6:$B$300,$A8,'Luisa'!$F$6:$F$300,"Concluído")+COUNTIFS('Lui'!$B$6:$B$300,$A8,'Lui'!$F$6:$F$300,"Concluído")+COUNTIFS('Thaís'!$B$6:$B$300,$A8,'Thaís'!$F$6:$F$300,"Concluído")+COUNTIFS('Daniel'!$B$6:$B$300,$A8,'Daniel'!$F$6:$F$300,"Concluído")+COUNTIFS('Fernando'!$B$6:$B$300,$A8,'Fernando'!$F$6:$F$300,"Concluído")+COUNTIFS('Stephanie'!$B$6:$B$300,$A8,'Stephanie'!$F$6:$F$300,"Concluído")+COUNTIFS('Fox'!$B$6:$B$300,$A8,'Fox'!$F$6:$F$300,"Concluído")+COUNTIFS('Bruna'!$B$6:$B$300,$A8,'Bruna'!$F$6:$F$300,"Concluído")+COUNTIFS('Stella'!$B$6:$B$300,$A8,'Stella'!$F$6:$F$300,"Concluído")+COUNTIFS('Igor'!$B$6:$B$300,$A8,'Igor'!$F$6:$F$300,"Concluído"))&amp;" / "&amp;(COUNTIF('Clarice'!$B$6:$B$300,$A8)+COUNTIF('Luisa'!$B$6:$B$300,$A8)+COUNTIF('Lui'!$B$6:$B$300,$A8)+COUNTIF('Thaís'!$B$6:$B$300,$A8)+COUNTIF('Daniel'!$B$6:$B$300,$A8)+COUNTIF('Fernando'!$B$6:$B$300,$A8)+COUNTIF('Stephanie'!$B$6:$B$300,$A8)+COUNTIF('Fox'!$B$6:$B$300,$A8)+COUNTIF('Bruna'!$B$6:$B$300,$A8)+COUNTIF('Stella'!$B$6:$B$300,$A8)+COUNTIF('Igor'!$B$6:$B$300,$A8)))</f>
        <v/>
      </c>
      <c r="K8" s="18" t="n">
        <v>46097</v>
      </c>
      <c r="L8" s="18" t="n">
        <v>46101</v>
      </c>
      <c r="M8" s="19" t="n"/>
      <c r="N8" s="19" t="n"/>
      <c r="O8" s="19" t="n"/>
      <c r="P8" s="20">
        <f>IF($A8="","",IF(M8&lt;&gt;"",M8,IF(K8&lt;&gt;"",K8,"")))</f>
        <v/>
      </c>
      <c r="Q8" s="20">
        <f>IF($A8="","",IF(N8&lt;&gt;"",N8,IF(L8&lt;&gt;"",L8,"")))</f>
        <v/>
      </c>
      <c r="R8" s="15" t="inlineStr">
        <is>
          <t>[Original: "Toda a equipe"]</t>
        </is>
      </c>
      <c r="S8" s="16">
        <f t="array" ref="S8">IF($A8="","",_xlfn.TEXTJOIN(CHAR(10),TRUE,IF('Clarice'!$B$6:$B$300=$A8,"Clarice"&amp;IF('Clarice'!$E$6:$E$300="",""," : "&amp;'Clarice'!$E$6:$E$300)&amp;" ["&amp;'Clarice'!$F$6:$F$300&amp;"]",""),IF('Luisa'!$B$6:$B$300=$A8,"Luisa"&amp;IF('Luisa'!$E$6:$E$300="",""," : "&amp;'Luisa'!$E$6:$E$300)&amp;" ["&amp;'Luisa'!$F$6:$F$300&amp;"]",""),IF('Lui'!$B$6:$B$300=$A8,"Lui"&amp;IF('Lui'!$E$6:$E$300="",""," : "&amp;'Lui'!$E$6:$E$300)&amp;" ["&amp;'Lui'!$F$6:$F$300&amp;"]",""),IF('Thaís'!$B$6:$B$300=$A8,"Thaís"&amp;IF('Thaís'!$E$6:$E$300="",""," : "&amp;'Thaís'!$E$6:$E$300)&amp;" ["&amp;'Thaís'!$F$6:$F$300&amp;"]",""),IF('Daniel'!$B$6:$B$300=$A8,"Daniel"&amp;IF('Daniel'!$E$6:$E$300="",""," : "&amp;'Daniel'!$E$6:$E$300)&amp;" ["&amp;'Daniel'!$F$6:$F$300&amp;"]",""),IF('Fernando'!$B$6:$B$300=$A8,"Fernando"&amp;IF('Fernando'!$E$6:$E$300="",""," : "&amp;'Fernando'!$E$6:$E$300)&amp;" ["&amp;'Fernando'!$F$6:$F$300&amp;"]",""),IF('Stephanie'!$B$6:$B$300=$A8,"Stephanie"&amp;IF('Stephanie'!$E$6:$E$300="",""," : "&amp;'Stephanie'!$E$6:$E$300)&amp;" ["&amp;'Stephanie'!$F$6:$F$300&amp;"]",""),IF('Fox'!$B$6:$B$300=$A8,"Fox"&amp;IF('Fox'!$E$6:$E$300="",""," : "&amp;'Fox'!$E$6:$E$300)&amp;" ["&amp;'Fox'!$F$6:$F$300&amp;"]",""),IF('Bruna'!$B$6:$B$300=$A8,"Bruna"&amp;IF('Bruna'!$E$6:$E$300="",""," : "&amp;'Bruna'!$E$6:$E$300)&amp;" ["&amp;'Bruna'!$F$6:$F$300&amp;"]",""),IF('Stella'!$B$6:$B$300=$A8,"Stella"&amp;IF('Stella'!$E$6:$E$300="",""," : "&amp;'Stella'!$E$6:$E$300)&amp;" ["&amp;'Stella'!$F$6:$F$300&amp;"]",""),IF('Igor'!$B$6:$B$300=$A8,"Igor"&amp;IF('Igor'!$E$6:$E$300="",""," : "&amp;'Igor'!$E$6:$E$300)&amp;" ["&amp;'Igor'!$F$6:$F$300&amp;"]","")))</f>
        <v/>
      </c>
    </row>
    <row r="9" ht="28" customHeight="1">
      <c r="A9" s="13" t="inlineStr">
        <is>
          <t>ART-002</t>
        </is>
      </c>
      <c r="B9" s="14" t="inlineStr">
        <is>
          <t>Extra - Artigo</t>
        </is>
      </c>
      <c r="C9" s="14" t="inlineStr">
        <is>
          <t>1. Elaboração do artigo sobre a caixa de ferramentas</t>
        </is>
      </c>
      <c r="D9" s="14" t="n"/>
      <c r="E9" s="15" t="inlineStr">
        <is>
          <t>Alinhar com a Petrobras o escopo do artigo</t>
        </is>
      </c>
      <c r="F9" s="13" t="inlineStr">
        <is>
          <t>Thaís</t>
        </is>
      </c>
      <c r="G9" s="16">
        <f>IF($A9="","",_xlfn.TEXTJOIN("; ",TRUE,IF(COUNTIF('Clarice'!$B$6:$B$300,$A9)&gt;0,"Clarice",""),IF(COUNTIF('Luisa'!$B$6:$B$300,$A9)&gt;0,"Luisa",""),IF(COUNTIF('Lui'!$B$6:$B$300,$A9)&gt;0,"Lui",""),IF(COUNTIF('Thaís'!$B$6:$B$300,$A9)&gt;0,"Thaís",""),IF(COUNTIF('Daniel'!$B$6:$B$300,$A9)&gt;0,"Daniel",""),IF(COUNTIF('Fernando'!$B$6:$B$300,$A9)&gt;0,"Fernando",""),IF(COUNTIF('Stephanie'!$B$6:$B$300,$A9)&gt;0,"Stephanie",""),IF(COUNTIF('Fox'!$B$6:$B$300,$A9)&gt;0,"Fox",""),IF(COUNTIF('Bruna'!$B$6:$B$300,$A9)&gt;0,"Bruna",""),IF(COUNTIF('Stella'!$B$6:$B$300,$A9)&gt;0,"Stella",""),IF(COUNTIF('Igor'!$B$6:$B$300,$A9)&gt;0,"Igor","")))</f>
        <v/>
      </c>
      <c r="H9" s="13" t="n"/>
      <c r="I9" s="13" t="inlineStr">
        <is>
          <t>Concluído</t>
        </is>
      </c>
      <c r="J9" s="17">
        <f>IF(OR($A9="",(COUNTIF('Clarice'!$B$6:$B$300,$A9)+COUNTIF('Luisa'!$B$6:$B$300,$A9)+COUNTIF('Lui'!$B$6:$B$300,$A9)+COUNTIF('Thaís'!$B$6:$B$300,$A9)+COUNTIF('Daniel'!$B$6:$B$300,$A9)+COUNTIF('Fernando'!$B$6:$B$300,$A9)+COUNTIF('Stephanie'!$B$6:$B$300,$A9)+COUNTIF('Fox'!$B$6:$B$300,$A9)+COUNTIF('Bruna'!$B$6:$B$300,$A9)+COUNTIF('Stella'!$B$6:$B$300,$A9)+COUNTIF('Igor'!$B$6:$B$300,$A9))=0),"",(COUNTIFS('Clarice'!$B$6:$B$300,$A9,'Clarice'!$F$6:$F$300,"Concluído")+COUNTIFS('Luisa'!$B$6:$B$300,$A9,'Luisa'!$F$6:$F$300,"Concluído")+COUNTIFS('Lui'!$B$6:$B$300,$A9,'Lui'!$F$6:$F$300,"Concluído")+COUNTIFS('Thaís'!$B$6:$B$300,$A9,'Thaís'!$F$6:$F$300,"Concluído")+COUNTIFS('Daniel'!$B$6:$B$300,$A9,'Daniel'!$F$6:$F$300,"Concluído")+COUNTIFS('Fernando'!$B$6:$B$300,$A9,'Fernando'!$F$6:$F$300,"Concluído")+COUNTIFS('Stephanie'!$B$6:$B$300,$A9,'Stephanie'!$F$6:$F$300,"Concluído")+COUNTIFS('Fox'!$B$6:$B$300,$A9,'Fox'!$F$6:$F$300,"Concluído")+COUNTIFS('Bruna'!$B$6:$B$300,$A9,'Bruna'!$F$6:$F$300,"Concluído")+COUNTIFS('Stella'!$B$6:$B$300,$A9,'Stella'!$F$6:$F$300,"Concluído")+COUNTIFS('Igor'!$B$6:$B$300,$A9,'Igor'!$F$6:$F$300,"Concluído"))&amp;" / "&amp;(COUNTIF('Clarice'!$B$6:$B$300,$A9)+COUNTIF('Luisa'!$B$6:$B$300,$A9)+COUNTIF('Lui'!$B$6:$B$300,$A9)+COUNTIF('Thaís'!$B$6:$B$300,$A9)+COUNTIF('Daniel'!$B$6:$B$300,$A9)+COUNTIF('Fernando'!$B$6:$B$300,$A9)+COUNTIF('Stephanie'!$B$6:$B$300,$A9)+COUNTIF('Fox'!$B$6:$B$300,$A9)+COUNTIF('Bruna'!$B$6:$B$300,$A9)+COUNTIF('Stella'!$B$6:$B$300,$A9)+COUNTIF('Igor'!$B$6:$B$300,$A9)))</f>
        <v/>
      </c>
      <c r="K9" s="18" t="n">
        <v>46097</v>
      </c>
      <c r="L9" s="18" t="n">
        <v>46101</v>
      </c>
      <c r="M9" s="19" t="n"/>
      <c r="N9" s="19" t="n"/>
      <c r="O9" s="19" t="n"/>
      <c r="P9" s="20">
        <f>IF($A9="","",IF(M9&lt;&gt;"",M9,IF(K9&lt;&gt;"",K9,"")))</f>
        <v/>
      </c>
      <c r="Q9" s="20">
        <f>IF($A9="","",IF(N9&lt;&gt;"",N9,IF(L9&lt;&gt;"",L9,"")))</f>
        <v/>
      </c>
      <c r="R9" s="15" t="n"/>
      <c r="S9" s="16">
        <f t="array" ref="S9">IF($A9="","",_xlfn.TEXTJOIN(CHAR(10),TRUE,IF('Clarice'!$B$6:$B$300=$A9,"Clarice"&amp;IF('Clarice'!$E$6:$E$300="",""," : "&amp;'Clarice'!$E$6:$E$300)&amp;" ["&amp;'Clarice'!$F$6:$F$300&amp;"]",""),IF('Luisa'!$B$6:$B$300=$A9,"Luisa"&amp;IF('Luisa'!$E$6:$E$300="",""," : "&amp;'Luisa'!$E$6:$E$300)&amp;" ["&amp;'Luisa'!$F$6:$F$300&amp;"]",""),IF('Lui'!$B$6:$B$300=$A9,"Lui"&amp;IF('Lui'!$E$6:$E$300="",""," : "&amp;'Lui'!$E$6:$E$300)&amp;" ["&amp;'Lui'!$F$6:$F$300&amp;"]",""),IF('Thaís'!$B$6:$B$300=$A9,"Thaís"&amp;IF('Thaís'!$E$6:$E$300="",""," : "&amp;'Thaís'!$E$6:$E$300)&amp;" ["&amp;'Thaís'!$F$6:$F$300&amp;"]",""),IF('Daniel'!$B$6:$B$300=$A9,"Daniel"&amp;IF('Daniel'!$E$6:$E$300="",""," : "&amp;'Daniel'!$E$6:$E$300)&amp;" ["&amp;'Daniel'!$F$6:$F$300&amp;"]",""),IF('Fernando'!$B$6:$B$300=$A9,"Fernando"&amp;IF('Fernando'!$E$6:$E$300="",""," : "&amp;'Fernando'!$E$6:$E$300)&amp;" ["&amp;'Fernando'!$F$6:$F$300&amp;"]",""),IF('Stephanie'!$B$6:$B$300=$A9,"Stephanie"&amp;IF('Stephanie'!$E$6:$E$300="",""," : "&amp;'Stephanie'!$E$6:$E$300)&amp;" ["&amp;'Stephanie'!$F$6:$F$300&amp;"]",""),IF('Fox'!$B$6:$B$300=$A9,"Fox"&amp;IF('Fox'!$E$6:$E$300="",""," : "&amp;'Fox'!$E$6:$E$300)&amp;" ["&amp;'Fox'!$F$6:$F$300&amp;"]",""),IF('Bruna'!$B$6:$B$300=$A9,"Bruna"&amp;IF('Bruna'!$E$6:$E$300="",""," : "&amp;'Bruna'!$E$6:$E$300)&amp;" ["&amp;'Bruna'!$F$6:$F$300&amp;"]",""),IF('Stella'!$B$6:$B$300=$A9,"Stella"&amp;IF('Stella'!$E$6:$E$300="",""," : "&amp;'Stella'!$E$6:$E$300)&amp;" ["&amp;'Stella'!$F$6:$F$300&amp;"]",""),IF('Igor'!$B$6:$B$300=$A9,"Igor"&amp;IF('Igor'!$E$6:$E$300="",""," : "&amp;'Igor'!$E$6:$E$300)&amp;" ["&amp;'Igor'!$F$6:$F$300&amp;"]","")))</f>
        <v/>
      </c>
    </row>
    <row r="10" ht="40.5" customHeight="1">
      <c r="A10" s="13" t="inlineStr">
        <is>
          <t>ART-003</t>
        </is>
      </c>
      <c r="B10" s="14" t="inlineStr">
        <is>
          <t>Extra - Artigo</t>
        </is>
      </c>
      <c r="C10" s="14" t="inlineStr">
        <is>
          <t>1. Elaboração do artigo sobre a caixa de ferramentas</t>
        </is>
      </c>
      <c r="D10" s="14" t="n"/>
      <c r="E10" s="15" t="inlineStr">
        <is>
          <t>Escrever a versão preliminar</t>
        </is>
      </c>
      <c r="F10" s="13" t="inlineStr">
        <is>
          <t>Thaís</t>
        </is>
      </c>
      <c r="G10" s="16">
        <f>IF($A10="","",_xlfn.TEXTJOIN("; ",TRUE,IF(COUNTIF('Clarice'!$B$6:$B$300,$A10)&gt;0,"Clarice",""),IF(COUNTIF('Luisa'!$B$6:$B$300,$A10)&gt;0,"Luisa",""),IF(COUNTIF('Lui'!$B$6:$B$300,$A10)&gt;0,"Lui",""),IF(COUNTIF('Thaís'!$B$6:$B$300,$A10)&gt;0,"Thaís",""),IF(COUNTIF('Daniel'!$B$6:$B$300,$A10)&gt;0,"Daniel",""),IF(COUNTIF('Fernando'!$B$6:$B$300,$A10)&gt;0,"Fernando",""),IF(COUNTIF('Stephanie'!$B$6:$B$300,$A10)&gt;0,"Stephanie",""),IF(COUNTIF('Fox'!$B$6:$B$300,$A10)&gt;0,"Fox",""),IF(COUNTIF('Bruna'!$B$6:$B$300,$A10)&gt;0,"Bruna",""),IF(COUNTIF('Stella'!$B$6:$B$300,$A10)&gt;0,"Stella",""),IF(COUNTIF('Igor'!$B$6:$B$300,$A10)&gt;0,"Igor","")))</f>
        <v/>
      </c>
      <c r="H10" s="13" t="n"/>
      <c r="I10" s="13" t="inlineStr">
        <is>
          <t>Concluído</t>
        </is>
      </c>
      <c r="J10" s="17">
        <f>IF(OR($A10="",(COUNTIF('Clarice'!$B$6:$B$300,$A10)+COUNTIF('Luisa'!$B$6:$B$300,$A10)+COUNTIF('Lui'!$B$6:$B$300,$A10)+COUNTIF('Thaís'!$B$6:$B$300,$A10)+COUNTIF('Daniel'!$B$6:$B$300,$A10)+COUNTIF('Fernando'!$B$6:$B$300,$A10)+COUNTIF('Stephanie'!$B$6:$B$300,$A10)+COUNTIF('Fox'!$B$6:$B$300,$A10)+COUNTIF('Bruna'!$B$6:$B$300,$A10)+COUNTIF('Stella'!$B$6:$B$300,$A10)+COUNTIF('Igor'!$B$6:$B$300,$A10))=0),"",(COUNTIFS('Clarice'!$B$6:$B$300,$A10,'Clarice'!$F$6:$F$300,"Concluído")+COUNTIFS('Luisa'!$B$6:$B$300,$A10,'Luisa'!$F$6:$F$300,"Concluído")+COUNTIFS('Lui'!$B$6:$B$300,$A10,'Lui'!$F$6:$F$300,"Concluído")+COUNTIFS('Thaís'!$B$6:$B$300,$A10,'Thaís'!$F$6:$F$300,"Concluído")+COUNTIFS('Daniel'!$B$6:$B$300,$A10,'Daniel'!$F$6:$F$300,"Concluído")+COUNTIFS('Fernando'!$B$6:$B$300,$A10,'Fernando'!$F$6:$F$300,"Concluído")+COUNTIFS('Stephanie'!$B$6:$B$300,$A10,'Stephanie'!$F$6:$F$300,"Concluído")+COUNTIFS('Fox'!$B$6:$B$300,$A10,'Fox'!$F$6:$F$300,"Concluído")+COUNTIFS('Bruna'!$B$6:$B$300,$A10,'Bruna'!$F$6:$F$300,"Concluído")+COUNTIFS('Stella'!$B$6:$B$300,$A10,'Stella'!$F$6:$F$300,"Concluído")+COUNTIFS('Igor'!$B$6:$B$300,$A10,'Igor'!$F$6:$F$300,"Concluído"))&amp;" / "&amp;(COUNTIF('Clarice'!$B$6:$B$300,$A10)+COUNTIF('Luisa'!$B$6:$B$300,$A10)+COUNTIF('Lui'!$B$6:$B$300,$A10)+COUNTIF('Thaís'!$B$6:$B$300,$A10)+COUNTIF('Daniel'!$B$6:$B$300,$A10)+COUNTIF('Fernando'!$B$6:$B$300,$A10)+COUNTIF('Stephanie'!$B$6:$B$300,$A10)+COUNTIF('Fox'!$B$6:$B$300,$A10)+COUNTIF('Bruna'!$B$6:$B$300,$A10)+COUNTIF('Stella'!$B$6:$B$300,$A10)+COUNTIF('Igor'!$B$6:$B$300,$A10)))</f>
        <v/>
      </c>
      <c r="K10" s="18" t="n">
        <v>46097</v>
      </c>
      <c r="L10" s="18" t="n">
        <v>46112</v>
      </c>
      <c r="M10" s="19" t="n"/>
      <c r="N10" s="19" t="n"/>
      <c r="O10" s="19" t="n"/>
      <c r="P10" s="20">
        <f>IF($A10="","",IF(M10&lt;&gt;"",M10,IF(K10&lt;&gt;"",K10,"")))</f>
        <v/>
      </c>
      <c r="Q10" s="20">
        <f>IF($A10="","",IF(N10&lt;&gt;"",N10,IF(L10&lt;&gt;"",L10,"")))</f>
        <v/>
      </c>
      <c r="R10" s="15" t="n"/>
      <c r="S10" s="16">
        <f t="array" ref="S10">IF($A10="","",_xlfn.TEXTJOIN(CHAR(10),TRUE,IF('Clarice'!$B$6:$B$300=$A10,"Clarice"&amp;IF('Clarice'!$E$6:$E$300="",""," : "&amp;'Clarice'!$E$6:$E$300)&amp;" ["&amp;'Clarice'!$F$6:$F$300&amp;"]",""),IF('Luisa'!$B$6:$B$300=$A10,"Luisa"&amp;IF('Luisa'!$E$6:$E$300="",""," : "&amp;'Luisa'!$E$6:$E$300)&amp;" ["&amp;'Luisa'!$F$6:$F$300&amp;"]",""),IF('Lui'!$B$6:$B$300=$A10,"Lui"&amp;IF('Lui'!$E$6:$E$300="",""," : "&amp;'Lui'!$E$6:$E$300)&amp;" ["&amp;'Lui'!$F$6:$F$300&amp;"]",""),IF('Thaís'!$B$6:$B$300=$A10,"Thaís"&amp;IF('Thaís'!$E$6:$E$300="",""," : "&amp;'Thaís'!$E$6:$E$300)&amp;" ["&amp;'Thaís'!$F$6:$F$300&amp;"]",""),IF('Daniel'!$B$6:$B$300=$A10,"Daniel"&amp;IF('Daniel'!$E$6:$E$300="",""," : "&amp;'Daniel'!$E$6:$E$300)&amp;" ["&amp;'Daniel'!$F$6:$F$300&amp;"]",""),IF('Fernando'!$B$6:$B$300=$A10,"Fernando"&amp;IF('Fernando'!$E$6:$E$300="",""," : "&amp;'Fernando'!$E$6:$E$300)&amp;" ["&amp;'Fernando'!$F$6:$F$300&amp;"]",""),IF('Stephanie'!$B$6:$B$300=$A10,"Stephanie"&amp;IF('Stephanie'!$E$6:$E$300="",""," : "&amp;'Stephanie'!$E$6:$E$300)&amp;" ["&amp;'Stephanie'!$F$6:$F$300&amp;"]",""),IF('Fox'!$B$6:$B$300=$A10,"Fox"&amp;IF('Fox'!$E$6:$E$300="",""," : "&amp;'Fox'!$E$6:$E$300)&amp;" ["&amp;'Fox'!$F$6:$F$300&amp;"]",""),IF('Bruna'!$B$6:$B$300=$A10,"Bruna"&amp;IF('Bruna'!$E$6:$E$300="",""," : "&amp;'Bruna'!$E$6:$E$300)&amp;" ["&amp;'Bruna'!$F$6:$F$300&amp;"]",""),IF('Stella'!$B$6:$B$300=$A10,"Stella"&amp;IF('Stella'!$E$6:$E$300="",""," : "&amp;'Stella'!$E$6:$E$300)&amp;" ["&amp;'Stella'!$F$6:$F$300&amp;"]",""),IF('Igor'!$B$6:$B$300=$A10,"Igor"&amp;IF('Igor'!$E$6:$E$300="",""," : "&amp;'Igor'!$E$6:$E$300)&amp;" ["&amp;'Igor'!$F$6:$F$300&amp;"]","")))</f>
        <v/>
      </c>
    </row>
    <row r="11" ht="40.5" customHeight="1">
      <c r="A11" s="13" t="inlineStr">
        <is>
          <t>ART-004</t>
        </is>
      </c>
      <c r="B11" s="14" t="inlineStr">
        <is>
          <t>Extra - Artigo</t>
        </is>
      </c>
      <c r="C11" s="14" t="inlineStr">
        <is>
          <t>1. Elaboração do artigo sobre a caixa de ferramentas</t>
        </is>
      </c>
      <c r="D11" s="14" t="n"/>
      <c r="E11" s="15" t="inlineStr">
        <is>
          <t>Preparar tabelas e figuras</t>
        </is>
      </c>
      <c r="F11" s="13" t="inlineStr">
        <is>
          <t>Thaís</t>
        </is>
      </c>
      <c r="G11" s="16">
        <f>IF($A11="","",_xlfn.TEXTJOIN("; ",TRUE,IF(COUNTIF('Clarice'!$B$6:$B$300,$A11)&gt;0,"Clarice",""),IF(COUNTIF('Luisa'!$B$6:$B$300,$A11)&gt;0,"Luisa",""),IF(COUNTIF('Lui'!$B$6:$B$300,$A11)&gt;0,"Lui",""),IF(COUNTIF('Thaís'!$B$6:$B$300,$A11)&gt;0,"Thaís",""),IF(COUNTIF('Daniel'!$B$6:$B$300,$A11)&gt;0,"Daniel",""),IF(COUNTIF('Fernando'!$B$6:$B$300,$A11)&gt;0,"Fernando",""),IF(COUNTIF('Stephanie'!$B$6:$B$300,$A11)&gt;0,"Stephanie",""),IF(COUNTIF('Fox'!$B$6:$B$300,$A11)&gt;0,"Fox",""),IF(COUNTIF('Bruna'!$B$6:$B$300,$A11)&gt;0,"Bruna",""),IF(COUNTIF('Stella'!$B$6:$B$300,$A11)&gt;0,"Stella",""),IF(COUNTIF('Igor'!$B$6:$B$300,$A11)&gt;0,"Igor","")))</f>
        <v/>
      </c>
      <c r="H11" s="13" t="n"/>
      <c r="I11" s="13" t="inlineStr">
        <is>
          <t>Concluído</t>
        </is>
      </c>
      <c r="J11" s="17">
        <f>IF(OR($A11="",(COUNTIF('Clarice'!$B$6:$B$300,$A11)+COUNTIF('Luisa'!$B$6:$B$300,$A11)+COUNTIF('Lui'!$B$6:$B$300,$A11)+COUNTIF('Thaís'!$B$6:$B$300,$A11)+COUNTIF('Daniel'!$B$6:$B$300,$A11)+COUNTIF('Fernando'!$B$6:$B$300,$A11)+COUNTIF('Stephanie'!$B$6:$B$300,$A11)+COUNTIF('Fox'!$B$6:$B$300,$A11)+COUNTIF('Bruna'!$B$6:$B$300,$A11)+COUNTIF('Stella'!$B$6:$B$300,$A11)+COUNTIF('Igor'!$B$6:$B$300,$A11))=0),"",(COUNTIFS('Clarice'!$B$6:$B$300,$A11,'Clarice'!$F$6:$F$300,"Concluído")+COUNTIFS('Luisa'!$B$6:$B$300,$A11,'Luisa'!$F$6:$F$300,"Concluído")+COUNTIFS('Lui'!$B$6:$B$300,$A11,'Lui'!$F$6:$F$300,"Concluído")+COUNTIFS('Thaís'!$B$6:$B$300,$A11,'Thaís'!$F$6:$F$300,"Concluído")+COUNTIFS('Daniel'!$B$6:$B$300,$A11,'Daniel'!$F$6:$F$300,"Concluído")+COUNTIFS('Fernando'!$B$6:$B$300,$A11,'Fernando'!$F$6:$F$300,"Concluído")+COUNTIFS('Stephanie'!$B$6:$B$300,$A11,'Stephanie'!$F$6:$F$300,"Concluído")+COUNTIFS('Fox'!$B$6:$B$300,$A11,'Fox'!$F$6:$F$300,"Concluído")+COUNTIFS('Bruna'!$B$6:$B$300,$A11,'Bruna'!$F$6:$F$300,"Concluído")+COUNTIFS('Stella'!$B$6:$B$300,$A11,'Stella'!$F$6:$F$300,"Concluído")+COUNTIFS('Igor'!$B$6:$B$300,$A11,'Igor'!$F$6:$F$300,"Concluído"))&amp;" / "&amp;(COUNTIF('Clarice'!$B$6:$B$300,$A11)+COUNTIF('Luisa'!$B$6:$B$300,$A11)+COUNTIF('Lui'!$B$6:$B$300,$A11)+COUNTIF('Thaís'!$B$6:$B$300,$A11)+COUNTIF('Daniel'!$B$6:$B$300,$A11)+COUNTIF('Fernando'!$B$6:$B$300,$A11)+COUNTIF('Stephanie'!$B$6:$B$300,$A11)+COUNTIF('Fox'!$B$6:$B$300,$A11)+COUNTIF('Bruna'!$B$6:$B$300,$A11)+COUNTIF('Stella'!$B$6:$B$300,$A11)+COUNTIF('Igor'!$B$6:$B$300,$A11)))</f>
        <v/>
      </c>
      <c r="K11" s="18" t="n">
        <v>46097</v>
      </c>
      <c r="L11" s="18" t="n">
        <v>46112</v>
      </c>
      <c r="M11" s="18" t="n">
        <v>46097</v>
      </c>
      <c r="N11" s="18" t="n">
        <v>46192</v>
      </c>
      <c r="O11" s="19" t="n"/>
      <c r="P11" s="20">
        <f>IF($A11="","",IF(M11&lt;&gt;"",M11,IF(K11&lt;&gt;"",K11,"")))</f>
        <v/>
      </c>
      <c r="Q11" s="20">
        <f>IF($A11="","",IF(N11&lt;&gt;"",N11,IF(L11&lt;&gt;"",L11,"")))</f>
        <v/>
      </c>
      <c r="R11" s="15" t="n"/>
      <c r="S11" s="16">
        <f t="array" ref="S11">IF($A11="","",_xlfn.TEXTJOIN(CHAR(10),TRUE,IF('Clarice'!$B$6:$B$300=$A11,"Clarice"&amp;IF('Clarice'!$E$6:$E$300="",""," : "&amp;'Clarice'!$E$6:$E$300)&amp;" ["&amp;'Clarice'!$F$6:$F$300&amp;"]",""),IF('Luisa'!$B$6:$B$300=$A11,"Luisa"&amp;IF('Luisa'!$E$6:$E$300="",""," : "&amp;'Luisa'!$E$6:$E$300)&amp;" ["&amp;'Luisa'!$F$6:$F$300&amp;"]",""),IF('Lui'!$B$6:$B$300=$A11,"Lui"&amp;IF('Lui'!$E$6:$E$300="",""," : "&amp;'Lui'!$E$6:$E$300)&amp;" ["&amp;'Lui'!$F$6:$F$300&amp;"]",""),IF('Thaís'!$B$6:$B$300=$A11,"Thaís"&amp;IF('Thaís'!$E$6:$E$300="",""," : "&amp;'Thaís'!$E$6:$E$300)&amp;" ["&amp;'Thaís'!$F$6:$F$300&amp;"]",""),IF('Daniel'!$B$6:$B$300=$A11,"Daniel"&amp;IF('Daniel'!$E$6:$E$300="",""," : "&amp;'Daniel'!$E$6:$E$300)&amp;" ["&amp;'Daniel'!$F$6:$F$300&amp;"]",""),IF('Fernando'!$B$6:$B$300=$A11,"Fernando"&amp;IF('Fernando'!$E$6:$E$300="",""," : "&amp;'Fernando'!$E$6:$E$300)&amp;" ["&amp;'Fernando'!$F$6:$F$300&amp;"]",""),IF('Stephanie'!$B$6:$B$300=$A11,"Stephanie"&amp;IF('Stephanie'!$E$6:$E$300="",""," : "&amp;'Stephanie'!$E$6:$E$300)&amp;" ["&amp;'Stephanie'!$F$6:$F$300&amp;"]",""),IF('Fox'!$B$6:$B$300=$A11,"Fox"&amp;IF('Fox'!$E$6:$E$300="",""," : "&amp;'Fox'!$E$6:$E$300)&amp;" ["&amp;'Fox'!$F$6:$F$300&amp;"]",""),IF('Bruna'!$B$6:$B$300=$A11,"Bruna"&amp;IF('Bruna'!$E$6:$E$300="",""," : "&amp;'Bruna'!$E$6:$E$300)&amp;" ["&amp;'Bruna'!$F$6:$F$300&amp;"]",""),IF('Stella'!$B$6:$B$300=$A11,"Stella"&amp;IF('Stella'!$E$6:$E$300="",""," : "&amp;'Stella'!$E$6:$E$300)&amp;" ["&amp;'Stella'!$F$6:$F$300&amp;"]",""),IF('Igor'!$B$6:$B$300=$A11,"Igor"&amp;IF('Igor'!$E$6:$E$300="",""," : "&amp;'Igor'!$E$6:$E$300)&amp;" ["&amp;'Igor'!$F$6:$F$300&amp;"]","")))</f>
        <v/>
      </c>
    </row>
    <row r="12" ht="15.5" customHeight="1">
      <c r="A12" s="13" t="inlineStr">
        <is>
          <t>ART-005</t>
        </is>
      </c>
      <c r="B12" s="14" t="inlineStr">
        <is>
          <t>Extra - Artigo</t>
        </is>
      </c>
      <c r="C12" s="14" t="inlineStr">
        <is>
          <t>1. Elaboração do artigo sobre a caixa de ferramentas</t>
        </is>
      </c>
      <c r="D12" s="14" t="n"/>
      <c r="E12" s="15" t="inlineStr">
        <is>
          <t>Preparar material suplementar</t>
        </is>
      </c>
      <c r="F12" s="13" t="inlineStr">
        <is>
          <t>Thaís</t>
        </is>
      </c>
      <c r="G12" s="16">
        <f>IF($A12="","",_xlfn.TEXTJOIN("; ",TRUE,IF(COUNTIF('Clarice'!$B$6:$B$300,$A12)&gt;0,"Clarice",""),IF(COUNTIF('Luisa'!$B$6:$B$300,$A12)&gt;0,"Luisa",""),IF(COUNTIF('Lui'!$B$6:$B$300,$A12)&gt;0,"Lui",""),IF(COUNTIF('Thaís'!$B$6:$B$300,$A12)&gt;0,"Thaís",""),IF(COUNTIF('Daniel'!$B$6:$B$300,$A12)&gt;0,"Daniel",""),IF(COUNTIF('Fernando'!$B$6:$B$300,$A12)&gt;0,"Fernando",""),IF(COUNTIF('Stephanie'!$B$6:$B$300,$A12)&gt;0,"Stephanie",""),IF(COUNTIF('Fox'!$B$6:$B$300,$A12)&gt;0,"Fox",""),IF(COUNTIF('Bruna'!$B$6:$B$300,$A12)&gt;0,"Bruna",""),IF(COUNTIF('Stella'!$B$6:$B$300,$A12)&gt;0,"Stella",""),IF(COUNTIF('Igor'!$B$6:$B$300,$A12)&gt;0,"Igor","")))</f>
        <v/>
      </c>
      <c r="H12" s="13" t="n"/>
      <c r="I12" s="13" t="inlineStr">
        <is>
          <t>Concluído</t>
        </is>
      </c>
      <c r="J12" s="17">
        <f>IF(OR($A12="",(COUNTIF('Clarice'!$B$6:$B$300,$A12)+COUNTIF('Luisa'!$B$6:$B$300,$A12)+COUNTIF('Lui'!$B$6:$B$300,$A12)+COUNTIF('Thaís'!$B$6:$B$300,$A12)+COUNTIF('Daniel'!$B$6:$B$300,$A12)+COUNTIF('Fernando'!$B$6:$B$300,$A12)+COUNTIF('Stephanie'!$B$6:$B$300,$A12)+COUNTIF('Fox'!$B$6:$B$300,$A12)+COUNTIF('Bruna'!$B$6:$B$300,$A12)+COUNTIF('Stella'!$B$6:$B$300,$A12)+COUNTIF('Igor'!$B$6:$B$300,$A12))=0),"",(COUNTIFS('Clarice'!$B$6:$B$300,$A12,'Clarice'!$F$6:$F$300,"Concluído")+COUNTIFS('Luisa'!$B$6:$B$300,$A12,'Luisa'!$F$6:$F$300,"Concluído")+COUNTIFS('Lui'!$B$6:$B$300,$A12,'Lui'!$F$6:$F$300,"Concluído")+COUNTIFS('Thaís'!$B$6:$B$300,$A12,'Thaís'!$F$6:$F$300,"Concluído")+COUNTIFS('Daniel'!$B$6:$B$300,$A12,'Daniel'!$F$6:$F$300,"Concluído")+COUNTIFS('Fernando'!$B$6:$B$300,$A12,'Fernando'!$F$6:$F$300,"Concluído")+COUNTIFS('Stephanie'!$B$6:$B$300,$A12,'Stephanie'!$F$6:$F$300,"Concluído")+COUNTIFS('Fox'!$B$6:$B$300,$A12,'Fox'!$F$6:$F$300,"Concluído")+COUNTIFS('Bruna'!$B$6:$B$300,$A12,'Bruna'!$F$6:$F$300,"Concluído")+COUNTIFS('Stella'!$B$6:$B$300,$A12,'Stella'!$F$6:$F$300,"Concluído")+COUNTIFS('Igor'!$B$6:$B$300,$A12,'Igor'!$F$6:$F$300,"Concluído"))&amp;" / "&amp;(COUNTIF('Clarice'!$B$6:$B$300,$A12)+COUNTIF('Luisa'!$B$6:$B$300,$A12)+COUNTIF('Lui'!$B$6:$B$300,$A12)+COUNTIF('Thaís'!$B$6:$B$300,$A12)+COUNTIF('Daniel'!$B$6:$B$300,$A12)+COUNTIF('Fernando'!$B$6:$B$300,$A12)+COUNTIF('Stephanie'!$B$6:$B$300,$A12)+COUNTIF('Fox'!$B$6:$B$300,$A12)+COUNTIF('Bruna'!$B$6:$B$300,$A12)+COUNTIF('Stella'!$B$6:$B$300,$A12)+COUNTIF('Igor'!$B$6:$B$300,$A12)))</f>
        <v/>
      </c>
      <c r="K12" s="18" t="n">
        <v>46097</v>
      </c>
      <c r="L12" s="18" t="n">
        <v>46114</v>
      </c>
      <c r="M12" s="18" t="n">
        <v>46097</v>
      </c>
      <c r="N12" s="18" t="n">
        <v>46185</v>
      </c>
      <c r="O12" s="19" t="n"/>
      <c r="P12" s="20">
        <f>IF($A12="","",IF(M12&lt;&gt;"",M12,IF(K12&lt;&gt;"",K12,"")))</f>
        <v/>
      </c>
      <c r="Q12" s="20">
        <f>IF($A12="","",IF(N12&lt;&gt;"",N12,IF(L12&lt;&gt;"",L12,"")))</f>
        <v/>
      </c>
      <c r="R12" s="15" t="n"/>
      <c r="S12" s="16">
        <f t="array" ref="S12">IF($A12="","",_xlfn.TEXTJOIN(CHAR(10),TRUE,IF('Clarice'!$B$6:$B$300=$A12,"Clarice"&amp;IF('Clarice'!$E$6:$E$300="",""," : "&amp;'Clarice'!$E$6:$E$300)&amp;" ["&amp;'Clarice'!$F$6:$F$300&amp;"]",""),IF('Luisa'!$B$6:$B$300=$A12,"Luisa"&amp;IF('Luisa'!$E$6:$E$300="",""," : "&amp;'Luisa'!$E$6:$E$300)&amp;" ["&amp;'Luisa'!$F$6:$F$300&amp;"]",""),IF('Lui'!$B$6:$B$300=$A12,"Lui"&amp;IF('Lui'!$E$6:$E$300="",""," : "&amp;'Lui'!$E$6:$E$300)&amp;" ["&amp;'Lui'!$F$6:$F$300&amp;"]",""),IF('Thaís'!$B$6:$B$300=$A12,"Thaís"&amp;IF('Thaís'!$E$6:$E$300="",""," : "&amp;'Thaís'!$E$6:$E$300)&amp;" ["&amp;'Thaís'!$F$6:$F$300&amp;"]",""),IF('Daniel'!$B$6:$B$300=$A12,"Daniel"&amp;IF('Daniel'!$E$6:$E$300="",""," : "&amp;'Daniel'!$E$6:$E$300)&amp;" ["&amp;'Daniel'!$F$6:$F$300&amp;"]",""),IF('Fernando'!$B$6:$B$300=$A12,"Fernando"&amp;IF('Fernando'!$E$6:$E$300="",""," : "&amp;'Fernando'!$E$6:$E$300)&amp;" ["&amp;'Fernando'!$F$6:$F$300&amp;"]",""),IF('Stephanie'!$B$6:$B$300=$A12,"Stephanie"&amp;IF('Stephanie'!$E$6:$E$300="",""," : "&amp;'Stephanie'!$E$6:$E$300)&amp;" ["&amp;'Stephanie'!$F$6:$F$300&amp;"]",""),IF('Fox'!$B$6:$B$300=$A12,"Fox"&amp;IF('Fox'!$E$6:$E$300="",""," : "&amp;'Fox'!$E$6:$E$300)&amp;" ["&amp;'Fox'!$F$6:$F$300&amp;"]",""),IF('Bruna'!$B$6:$B$300=$A12,"Bruna"&amp;IF('Bruna'!$E$6:$E$300="",""," : "&amp;'Bruna'!$E$6:$E$300)&amp;" ["&amp;'Bruna'!$F$6:$F$300&amp;"]",""),IF('Stella'!$B$6:$B$300=$A12,"Stella"&amp;IF('Stella'!$E$6:$E$300="",""," : "&amp;'Stella'!$E$6:$E$300)&amp;" ["&amp;'Stella'!$F$6:$F$300&amp;"]",""),IF('Igor'!$B$6:$B$300=$A12,"Igor"&amp;IF('Igor'!$E$6:$E$300="",""," : "&amp;'Igor'!$E$6:$E$300)&amp;" ["&amp;'Igor'!$F$6:$F$300&amp;"]","")))</f>
        <v/>
      </c>
    </row>
    <row r="13" ht="53" customHeight="1">
      <c r="A13" s="13" t="inlineStr">
        <is>
          <t>ART-006</t>
        </is>
      </c>
      <c r="B13" s="14" t="inlineStr">
        <is>
          <t>Extra - Artigo</t>
        </is>
      </c>
      <c r="C13" s="14" t="inlineStr">
        <is>
          <t>1. Elaboração do artigo sobre a caixa de ferramentas</t>
        </is>
      </c>
      <c r="D13" s="14" t="n"/>
      <c r="E13" s="15" t="inlineStr">
        <is>
          <t>Revisão pela equipe interna</t>
        </is>
      </c>
      <c r="F13" s="13" t="inlineStr">
        <is>
          <t>Thaís</t>
        </is>
      </c>
      <c r="G13" s="16">
        <f>IF($A13="","",_xlfn.TEXTJOIN("; ",TRUE,IF(COUNTIF('Clarice'!$B$6:$B$300,$A13)&gt;0,"Clarice",""),IF(COUNTIF('Luisa'!$B$6:$B$300,$A13)&gt;0,"Luisa",""),IF(COUNTIF('Lui'!$B$6:$B$300,$A13)&gt;0,"Lui",""),IF(COUNTIF('Thaís'!$B$6:$B$300,$A13)&gt;0,"Thaís",""),IF(COUNTIF('Daniel'!$B$6:$B$300,$A13)&gt;0,"Daniel",""),IF(COUNTIF('Fernando'!$B$6:$B$300,$A13)&gt;0,"Fernando",""),IF(COUNTIF('Stephanie'!$B$6:$B$300,$A13)&gt;0,"Stephanie",""),IF(COUNTIF('Fox'!$B$6:$B$300,$A13)&gt;0,"Fox",""),IF(COUNTIF('Bruna'!$B$6:$B$300,$A13)&gt;0,"Bruna",""),IF(COUNTIF('Stella'!$B$6:$B$300,$A13)&gt;0,"Stella",""),IF(COUNTIF('Igor'!$B$6:$B$300,$A13)&gt;0,"Igor","")))</f>
        <v/>
      </c>
      <c r="H13" s="13" t="n"/>
      <c r="I13" s="13" t="inlineStr">
        <is>
          <t>Concluído</t>
        </is>
      </c>
      <c r="J13" s="17">
        <f>IF(OR($A13="",(COUNTIF('Clarice'!$B$6:$B$300,$A13)+COUNTIF('Luisa'!$B$6:$B$300,$A13)+COUNTIF('Lui'!$B$6:$B$300,$A13)+COUNTIF('Thaís'!$B$6:$B$300,$A13)+COUNTIF('Daniel'!$B$6:$B$300,$A13)+COUNTIF('Fernando'!$B$6:$B$300,$A13)+COUNTIF('Stephanie'!$B$6:$B$300,$A13)+COUNTIF('Fox'!$B$6:$B$300,$A13)+COUNTIF('Bruna'!$B$6:$B$300,$A13)+COUNTIF('Stella'!$B$6:$B$300,$A13)+COUNTIF('Igor'!$B$6:$B$300,$A13))=0),"",(COUNTIFS('Clarice'!$B$6:$B$300,$A13,'Clarice'!$F$6:$F$300,"Concluído")+COUNTIFS('Luisa'!$B$6:$B$300,$A13,'Luisa'!$F$6:$F$300,"Concluído")+COUNTIFS('Lui'!$B$6:$B$300,$A13,'Lui'!$F$6:$F$300,"Concluído")+COUNTIFS('Thaís'!$B$6:$B$300,$A13,'Thaís'!$F$6:$F$300,"Concluído")+COUNTIFS('Daniel'!$B$6:$B$300,$A13,'Daniel'!$F$6:$F$300,"Concluído")+COUNTIFS('Fernando'!$B$6:$B$300,$A13,'Fernando'!$F$6:$F$300,"Concluído")+COUNTIFS('Stephanie'!$B$6:$B$300,$A13,'Stephanie'!$F$6:$F$300,"Concluído")+COUNTIFS('Fox'!$B$6:$B$300,$A13,'Fox'!$F$6:$F$300,"Concluído")+COUNTIFS('Bruna'!$B$6:$B$300,$A13,'Bruna'!$F$6:$F$300,"Concluído")+COUNTIFS('Stella'!$B$6:$B$300,$A13,'Stella'!$F$6:$F$300,"Concluído")+COUNTIFS('Igor'!$B$6:$B$300,$A13,'Igor'!$F$6:$F$300,"Concluído"))&amp;" / "&amp;(COUNTIF('Clarice'!$B$6:$B$300,$A13)+COUNTIF('Luisa'!$B$6:$B$300,$A13)+COUNTIF('Lui'!$B$6:$B$300,$A13)+COUNTIF('Thaís'!$B$6:$B$300,$A13)+COUNTIF('Daniel'!$B$6:$B$300,$A13)+COUNTIF('Fernando'!$B$6:$B$300,$A13)+COUNTIF('Stephanie'!$B$6:$B$300,$A13)+COUNTIF('Fox'!$B$6:$B$300,$A13)+COUNTIF('Bruna'!$B$6:$B$300,$A13)+COUNTIF('Stella'!$B$6:$B$300,$A13)+COUNTIF('Igor'!$B$6:$B$300,$A13)))</f>
        <v/>
      </c>
      <c r="K13" s="18" t="n">
        <v>46111</v>
      </c>
      <c r="L13" s="18" t="n">
        <v>46129</v>
      </c>
      <c r="M13" s="19" t="n"/>
      <c r="N13" s="19" t="n"/>
      <c r="O13" s="19" t="n"/>
      <c r="P13" s="20">
        <f>IF($A13="","",IF(M13&lt;&gt;"",M13,IF(K13&lt;&gt;"",K13,"")))</f>
        <v/>
      </c>
      <c r="Q13" s="20">
        <f>IF($A13="","",IF(N13&lt;&gt;"",N13,IF(L13&lt;&gt;"",L13,"")))</f>
        <v/>
      </c>
      <c r="R13" s="15" t="n"/>
      <c r="S13" s="16">
        <f t="array" ref="S13">IF($A13="","",_xlfn.TEXTJOIN(CHAR(10),TRUE,IF('Clarice'!$B$6:$B$300=$A13,"Clarice"&amp;IF('Clarice'!$E$6:$E$300="",""," : "&amp;'Clarice'!$E$6:$E$300)&amp;" ["&amp;'Clarice'!$F$6:$F$300&amp;"]",""),IF('Luisa'!$B$6:$B$300=$A13,"Luisa"&amp;IF('Luisa'!$E$6:$E$300="",""," : "&amp;'Luisa'!$E$6:$E$300)&amp;" ["&amp;'Luisa'!$F$6:$F$300&amp;"]",""),IF('Lui'!$B$6:$B$300=$A13,"Lui"&amp;IF('Lui'!$E$6:$E$300="",""," : "&amp;'Lui'!$E$6:$E$300)&amp;" ["&amp;'Lui'!$F$6:$F$300&amp;"]",""),IF('Thaís'!$B$6:$B$300=$A13,"Thaís"&amp;IF('Thaís'!$E$6:$E$300="",""," : "&amp;'Thaís'!$E$6:$E$300)&amp;" ["&amp;'Thaís'!$F$6:$F$300&amp;"]",""),IF('Daniel'!$B$6:$B$300=$A13,"Daniel"&amp;IF('Daniel'!$E$6:$E$300="",""," : "&amp;'Daniel'!$E$6:$E$300)&amp;" ["&amp;'Daniel'!$F$6:$F$300&amp;"]",""),IF('Fernando'!$B$6:$B$300=$A13,"Fernando"&amp;IF('Fernando'!$E$6:$E$300="",""," : "&amp;'Fernando'!$E$6:$E$300)&amp;" ["&amp;'Fernando'!$F$6:$F$300&amp;"]",""),IF('Stephanie'!$B$6:$B$300=$A13,"Stephanie"&amp;IF('Stephanie'!$E$6:$E$300="",""," : "&amp;'Stephanie'!$E$6:$E$300)&amp;" ["&amp;'Stephanie'!$F$6:$F$300&amp;"]",""),IF('Fox'!$B$6:$B$300=$A13,"Fox"&amp;IF('Fox'!$E$6:$E$300="",""," : "&amp;'Fox'!$E$6:$E$300)&amp;" ["&amp;'Fox'!$F$6:$F$300&amp;"]",""),IF('Bruna'!$B$6:$B$300=$A13,"Bruna"&amp;IF('Bruna'!$E$6:$E$300="",""," : "&amp;'Bruna'!$E$6:$E$300)&amp;" ["&amp;'Bruna'!$F$6:$F$300&amp;"]",""),IF('Stella'!$B$6:$B$300=$A13,"Stella"&amp;IF('Stella'!$E$6:$E$300="",""," : "&amp;'Stella'!$E$6:$E$300)&amp;" ["&amp;'Stella'!$F$6:$F$300&amp;"]",""),IF('Igor'!$B$6:$B$300=$A13,"Igor"&amp;IF('Igor'!$E$6:$E$300="",""," : "&amp;'Igor'!$E$6:$E$300)&amp;" ["&amp;'Igor'!$F$6:$F$300&amp;"]","")))</f>
        <v/>
      </c>
    </row>
    <row r="14" ht="15.5" customHeight="1">
      <c r="A14" s="13" t="inlineStr">
        <is>
          <t>ART-007</t>
        </is>
      </c>
      <c r="B14" s="14" t="inlineStr">
        <is>
          <t>Extra - Artigo</t>
        </is>
      </c>
      <c r="C14" s="14" t="inlineStr">
        <is>
          <t>1. Elaboração do artigo sobre a caixa de ferramentas</t>
        </is>
      </c>
      <c r="D14" s="14" t="n"/>
      <c r="E14" s="15" t="inlineStr">
        <is>
          <t>Envio do artigo para revisão da Bruna</t>
        </is>
      </c>
      <c r="F14" s="13" t="inlineStr">
        <is>
          <t>Thaís</t>
        </is>
      </c>
      <c r="G14" s="16">
        <f>IF($A14="","",_xlfn.TEXTJOIN("; ",TRUE,IF(COUNTIF('Clarice'!$B$6:$B$300,$A14)&gt;0,"Clarice",""),IF(COUNTIF('Luisa'!$B$6:$B$300,$A14)&gt;0,"Luisa",""),IF(COUNTIF('Lui'!$B$6:$B$300,$A14)&gt;0,"Lui",""),IF(COUNTIF('Thaís'!$B$6:$B$300,$A14)&gt;0,"Thaís",""),IF(COUNTIF('Daniel'!$B$6:$B$300,$A14)&gt;0,"Daniel",""),IF(COUNTIF('Fernando'!$B$6:$B$300,$A14)&gt;0,"Fernando",""),IF(COUNTIF('Stephanie'!$B$6:$B$300,$A14)&gt;0,"Stephanie",""),IF(COUNTIF('Fox'!$B$6:$B$300,$A14)&gt;0,"Fox",""),IF(COUNTIF('Bruna'!$B$6:$B$300,$A14)&gt;0,"Bruna",""),IF(COUNTIF('Stella'!$B$6:$B$300,$A14)&gt;0,"Stella",""),IF(COUNTIF('Igor'!$B$6:$B$300,$A14)&gt;0,"Igor","")))</f>
        <v/>
      </c>
      <c r="H14" s="13" t="n"/>
      <c r="I14" s="13" t="inlineStr">
        <is>
          <t>Concluído</t>
        </is>
      </c>
      <c r="J14" s="17">
        <f>IF(OR($A14="",(COUNTIF('Clarice'!$B$6:$B$300,$A14)+COUNTIF('Luisa'!$B$6:$B$300,$A14)+COUNTIF('Lui'!$B$6:$B$300,$A14)+COUNTIF('Thaís'!$B$6:$B$300,$A14)+COUNTIF('Daniel'!$B$6:$B$300,$A14)+COUNTIF('Fernando'!$B$6:$B$300,$A14)+COUNTIF('Stephanie'!$B$6:$B$300,$A14)+COUNTIF('Fox'!$B$6:$B$300,$A14)+COUNTIF('Bruna'!$B$6:$B$300,$A14)+COUNTIF('Stella'!$B$6:$B$300,$A14)+COUNTIF('Igor'!$B$6:$B$300,$A14))=0),"",(COUNTIFS('Clarice'!$B$6:$B$300,$A14,'Clarice'!$F$6:$F$300,"Concluído")+COUNTIFS('Luisa'!$B$6:$B$300,$A14,'Luisa'!$F$6:$F$300,"Concluído")+COUNTIFS('Lui'!$B$6:$B$300,$A14,'Lui'!$F$6:$F$300,"Concluído")+COUNTIFS('Thaís'!$B$6:$B$300,$A14,'Thaís'!$F$6:$F$300,"Concluído")+COUNTIFS('Daniel'!$B$6:$B$300,$A14,'Daniel'!$F$6:$F$300,"Concluído")+COUNTIFS('Fernando'!$B$6:$B$300,$A14,'Fernando'!$F$6:$F$300,"Concluído")+COUNTIFS('Stephanie'!$B$6:$B$300,$A14,'Stephanie'!$F$6:$F$300,"Concluído")+COUNTIFS('Fox'!$B$6:$B$300,$A14,'Fox'!$F$6:$F$300,"Concluído")+COUNTIFS('Bruna'!$B$6:$B$300,$A14,'Bruna'!$F$6:$F$300,"Concluído")+COUNTIFS('Stella'!$B$6:$B$300,$A14,'Stella'!$F$6:$F$300,"Concluído")+COUNTIFS('Igor'!$B$6:$B$300,$A14,'Igor'!$F$6:$F$300,"Concluído"))&amp;" / "&amp;(COUNTIF('Clarice'!$B$6:$B$300,$A14)+COUNTIF('Luisa'!$B$6:$B$300,$A14)+COUNTIF('Lui'!$B$6:$B$300,$A14)+COUNTIF('Thaís'!$B$6:$B$300,$A14)+COUNTIF('Daniel'!$B$6:$B$300,$A14)+COUNTIF('Fernando'!$B$6:$B$300,$A14)+COUNTIF('Stephanie'!$B$6:$B$300,$A14)+COUNTIF('Fox'!$B$6:$B$300,$A14)+COUNTIF('Bruna'!$B$6:$B$300,$A14)+COUNTIF('Stella'!$B$6:$B$300,$A14)+COUNTIF('Igor'!$B$6:$B$300,$A14)))</f>
        <v/>
      </c>
      <c r="K14" s="19" t="n"/>
      <c r="L14" s="19" t="n"/>
      <c r="M14" s="19" t="n"/>
      <c r="N14" s="19" t="n"/>
      <c r="O14" s="19" t="n">
        <v>46129</v>
      </c>
      <c r="P14" s="20">
        <f>IF($A14="","",IF(M14&lt;&gt;"",M14,IF(K14&lt;&gt;"",K14,"")))</f>
        <v/>
      </c>
      <c r="Q14" s="20">
        <f>IF($A14="","",IF(N14&lt;&gt;"",N14,IF(L14&lt;&gt;"",L14,"")))</f>
        <v/>
      </c>
      <c r="R14" s="15" t="n"/>
      <c r="S14" s="16">
        <f t="array" ref="S14">IF($A14="","",_xlfn.TEXTJOIN(CHAR(10),TRUE,IF('Clarice'!$B$6:$B$300=$A14,"Clarice"&amp;IF('Clarice'!$E$6:$E$300="",""," : "&amp;'Clarice'!$E$6:$E$300)&amp;" ["&amp;'Clarice'!$F$6:$F$300&amp;"]",""),IF('Luisa'!$B$6:$B$300=$A14,"Luisa"&amp;IF('Luisa'!$E$6:$E$300="",""," : "&amp;'Luisa'!$E$6:$E$300)&amp;" ["&amp;'Luisa'!$F$6:$F$300&amp;"]",""),IF('Lui'!$B$6:$B$300=$A14,"Lui"&amp;IF('Lui'!$E$6:$E$300="",""," : "&amp;'Lui'!$E$6:$E$300)&amp;" ["&amp;'Lui'!$F$6:$F$300&amp;"]",""),IF('Thaís'!$B$6:$B$300=$A14,"Thaís"&amp;IF('Thaís'!$E$6:$E$300="",""," : "&amp;'Thaís'!$E$6:$E$300)&amp;" ["&amp;'Thaís'!$F$6:$F$300&amp;"]",""),IF('Daniel'!$B$6:$B$300=$A14,"Daniel"&amp;IF('Daniel'!$E$6:$E$300="",""," : "&amp;'Daniel'!$E$6:$E$300)&amp;" ["&amp;'Daniel'!$F$6:$F$300&amp;"]",""),IF('Fernando'!$B$6:$B$300=$A14,"Fernando"&amp;IF('Fernando'!$E$6:$E$300="",""," : "&amp;'Fernando'!$E$6:$E$300)&amp;" ["&amp;'Fernando'!$F$6:$F$300&amp;"]",""),IF('Stephanie'!$B$6:$B$300=$A14,"Stephanie"&amp;IF('Stephanie'!$E$6:$E$300="",""," : "&amp;'Stephanie'!$E$6:$E$300)&amp;" ["&amp;'Stephanie'!$F$6:$F$300&amp;"]",""),IF('Fox'!$B$6:$B$300=$A14,"Fox"&amp;IF('Fox'!$E$6:$E$300="",""," : "&amp;'Fox'!$E$6:$E$300)&amp;" ["&amp;'Fox'!$F$6:$F$300&amp;"]",""),IF('Bruna'!$B$6:$B$300=$A14,"Bruna"&amp;IF('Bruna'!$E$6:$E$300="",""," : "&amp;'Bruna'!$E$6:$E$300)&amp;" ["&amp;'Bruna'!$F$6:$F$300&amp;"]",""),IF('Stella'!$B$6:$B$300=$A14,"Stella"&amp;IF('Stella'!$E$6:$E$300="",""," : "&amp;'Stella'!$E$6:$E$300)&amp;" ["&amp;'Stella'!$F$6:$F$300&amp;"]",""),IF('Igor'!$B$6:$B$300=$A14,"Igor"&amp;IF('Igor'!$E$6:$E$300="",""," : "&amp;'Igor'!$E$6:$E$300)&amp;" ["&amp;'Igor'!$F$6:$F$300&amp;"]","")))</f>
        <v/>
      </c>
    </row>
    <row r="15" ht="28" customHeight="1">
      <c r="A15" s="13" t="inlineStr">
        <is>
          <t>ART-008</t>
        </is>
      </c>
      <c r="B15" s="14" t="inlineStr">
        <is>
          <t>Extra - Artigo</t>
        </is>
      </c>
      <c r="C15" s="14" t="inlineStr">
        <is>
          <t>1. Elaboração do artigo sobre a caixa de ferramentas</t>
        </is>
      </c>
      <c r="D15" s="14" t="n"/>
      <c r="E15" s="15" t="inlineStr">
        <is>
          <t>Revisar possibibilidade de inclusao de métricas de função</t>
        </is>
      </c>
      <c r="F15" s="13" t="inlineStr">
        <is>
          <t>Thaís</t>
        </is>
      </c>
      <c r="G15" s="16">
        <f>IF($A15="","",_xlfn.TEXTJOIN("; ",TRUE,IF(COUNTIF('Clarice'!$B$6:$B$300,$A15)&gt;0,"Clarice",""),IF(COUNTIF('Luisa'!$B$6:$B$300,$A15)&gt;0,"Luisa",""),IF(COUNTIF('Lui'!$B$6:$B$300,$A15)&gt;0,"Lui",""),IF(COUNTIF('Thaís'!$B$6:$B$300,$A15)&gt;0,"Thaís",""),IF(COUNTIF('Daniel'!$B$6:$B$300,$A15)&gt;0,"Daniel",""),IF(COUNTIF('Fernando'!$B$6:$B$300,$A15)&gt;0,"Fernando",""),IF(COUNTIF('Stephanie'!$B$6:$B$300,$A15)&gt;0,"Stephanie",""),IF(COUNTIF('Fox'!$B$6:$B$300,$A15)&gt;0,"Fox",""),IF(COUNTIF('Bruna'!$B$6:$B$300,$A15)&gt;0,"Bruna",""),IF(COUNTIF('Stella'!$B$6:$B$300,$A15)&gt;0,"Stella",""),IF(COUNTIF('Igor'!$B$6:$B$300,$A15)&gt;0,"Igor","")))</f>
        <v/>
      </c>
      <c r="H15" s="13" t="n"/>
      <c r="I15" s="13" t="inlineStr">
        <is>
          <t>Concluído</t>
        </is>
      </c>
      <c r="J15" s="17">
        <f>IF(OR($A15="",(COUNTIF('Clarice'!$B$6:$B$300,$A15)+COUNTIF('Luisa'!$B$6:$B$300,$A15)+COUNTIF('Lui'!$B$6:$B$300,$A15)+COUNTIF('Thaís'!$B$6:$B$300,$A15)+COUNTIF('Daniel'!$B$6:$B$300,$A15)+COUNTIF('Fernando'!$B$6:$B$300,$A15)+COUNTIF('Stephanie'!$B$6:$B$300,$A15)+COUNTIF('Fox'!$B$6:$B$300,$A15)+COUNTIF('Bruna'!$B$6:$B$300,$A15)+COUNTIF('Stella'!$B$6:$B$300,$A15)+COUNTIF('Igor'!$B$6:$B$300,$A15))=0),"",(COUNTIFS('Clarice'!$B$6:$B$300,$A15,'Clarice'!$F$6:$F$300,"Concluído")+COUNTIFS('Luisa'!$B$6:$B$300,$A15,'Luisa'!$F$6:$F$300,"Concluído")+COUNTIFS('Lui'!$B$6:$B$300,$A15,'Lui'!$F$6:$F$300,"Concluído")+COUNTIFS('Thaís'!$B$6:$B$300,$A15,'Thaís'!$F$6:$F$300,"Concluído")+COUNTIFS('Daniel'!$B$6:$B$300,$A15,'Daniel'!$F$6:$F$300,"Concluído")+COUNTIFS('Fernando'!$B$6:$B$300,$A15,'Fernando'!$F$6:$F$300,"Concluído")+COUNTIFS('Stephanie'!$B$6:$B$300,$A15,'Stephanie'!$F$6:$F$300,"Concluído")+COUNTIFS('Fox'!$B$6:$B$300,$A15,'Fox'!$F$6:$F$300,"Concluído")+COUNTIFS('Bruna'!$B$6:$B$300,$A15,'Bruna'!$F$6:$F$300,"Concluído")+COUNTIFS('Stella'!$B$6:$B$300,$A15,'Stella'!$F$6:$F$300,"Concluído")+COUNTIFS('Igor'!$B$6:$B$300,$A15,'Igor'!$F$6:$F$300,"Concluído"))&amp;" / "&amp;(COUNTIF('Clarice'!$B$6:$B$300,$A15)+COUNTIF('Luisa'!$B$6:$B$300,$A15)+COUNTIF('Lui'!$B$6:$B$300,$A15)+COUNTIF('Thaís'!$B$6:$B$300,$A15)+COUNTIF('Daniel'!$B$6:$B$300,$A15)+COUNTIF('Fernando'!$B$6:$B$300,$A15)+COUNTIF('Stephanie'!$B$6:$B$300,$A15)+COUNTIF('Fox'!$B$6:$B$300,$A15)+COUNTIF('Bruna'!$B$6:$B$300,$A15)+COUNTIF('Stella'!$B$6:$B$300,$A15)+COUNTIF('Igor'!$B$6:$B$300,$A15)))</f>
        <v/>
      </c>
      <c r="K15" s="19" t="n"/>
      <c r="L15" s="19" t="n"/>
      <c r="M15" s="18" t="n">
        <v>46174</v>
      </c>
      <c r="N15" s="18" t="n">
        <v>46178</v>
      </c>
      <c r="O15" s="19" t="n"/>
      <c r="P15" s="20">
        <f>IF($A15="","",IF(M15&lt;&gt;"",M15,IF(K15&lt;&gt;"",K15,"")))</f>
        <v/>
      </c>
      <c r="Q15" s="20">
        <f>IF($A15="","",IF(N15&lt;&gt;"",N15,IF(L15&lt;&gt;"",L15,"")))</f>
        <v/>
      </c>
      <c r="R15" s="15" t="n"/>
      <c r="S15" s="16">
        <f t="array" ref="S15">IF($A15="","",_xlfn.TEXTJOIN(CHAR(10),TRUE,IF('Clarice'!$B$6:$B$300=$A15,"Clarice"&amp;IF('Clarice'!$E$6:$E$300="",""," : "&amp;'Clarice'!$E$6:$E$300)&amp;" ["&amp;'Clarice'!$F$6:$F$300&amp;"]",""),IF('Luisa'!$B$6:$B$300=$A15,"Luisa"&amp;IF('Luisa'!$E$6:$E$300="",""," : "&amp;'Luisa'!$E$6:$E$300)&amp;" ["&amp;'Luisa'!$F$6:$F$300&amp;"]",""),IF('Lui'!$B$6:$B$300=$A15,"Lui"&amp;IF('Lui'!$E$6:$E$300="",""," : "&amp;'Lui'!$E$6:$E$300)&amp;" ["&amp;'Lui'!$F$6:$F$300&amp;"]",""),IF('Thaís'!$B$6:$B$300=$A15,"Thaís"&amp;IF('Thaís'!$E$6:$E$300="",""," : "&amp;'Thaís'!$E$6:$E$300)&amp;" ["&amp;'Thaís'!$F$6:$F$300&amp;"]",""),IF('Daniel'!$B$6:$B$300=$A15,"Daniel"&amp;IF('Daniel'!$E$6:$E$300="",""," : "&amp;'Daniel'!$E$6:$E$300)&amp;" ["&amp;'Daniel'!$F$6:$F$300&amp;"]",""),IF('Fernando'!$B$6:$B$300=$A15,"Fernando"&amp;IF('Fernando'!$E$6:$E$300="",""," : "&amp;'Fernando'!$E$6:$E$300)&amp;" ["&amp;'Fernando'!$F$6:$F$300&amp;"]",""),IF('Stephanie'!$B$6:$B$300=$A15,"Stephanie"&amp;IF('Stephanie'!$E$6:$E$300="",""," : "&amp;'Stephanie'!$E$6:$E$300)&amp;" ["&amp;'Stephanie'!$F$6:$F$300&amp;"]",""),IF('Fox'!$B$6:$B$300=$A15,"Fox"&amp;IF('Fox'!$E$6:$E$300="",""," : "&amp;'Fox'!$E$6:$E$300)&amp;" ["&amp;'Fox'!$F$6:$F$300&amp;"]",""),IF('Bruna'!$B$6:$B$300=$A15,"Bruna"&amp;IF('Bruna'!$E$6:$E$300="",""," : "&amp;'Bruna'!$E$6:$E$300)&amp;" ["&amp;'Bruna'!$F$6:$F$300&amp;"]",""),IF('Stella'!$B$6:$B$300=$A15,"Stella"&amp;IF('Stella'!$E$6:$E$300="",""," : "&amp;'Stella'!$E$6:$E$300)&amp;" ["&amp;'Stella'!$F$6:$F$300&amp;"]",""),IF('Igor'!$B$6:$B$300=$A15,"Igor"&amp;IF('Igor'!$E$6:$E$300="",""," : "&amp;'Igor'!$E$6:$E$300)&amp;" ["&amp;'Igor'!$F$6:$F$300&amp;"]","")))</f>
        <v/>
      </c>
    </row>
    <row r="16" ht="28" customHeight="1">
      <c r="A16" s="13" t="inlineStr">
        <is>
          <t>ART-009</t>
        </is>
      </c>
      <c r="B16" s="14" t="inlineStr">
        <is>
          <t>Extra - Artigo</t>
        </is>
      </c>
      <c r="C16" s="14" t="inlineStr">
        <is>
          <t>1. Elaboração do artigo sobre a caixa de ferramentas</t>
        </is>
      </c>
      <c r="D16" s="14" t="n"/>
      <c r="E16" s="15" t="inlineStr">
        <is>
          <t>Definir a revista</t>
        </is>
      </c>
      <c r="F16" s="13" t="inlineStr">
        <is>
          <t>Thaís</t>
        </is>
      </c>
      <c r="G16" s="16">
        <f>IF($A16="","",_xlfn.TEXTJOIN("; ",TRUE,IF(COUNTIF('Clarice'!$B$6:$B$300,$A16)&gt;0,"Clarice",""),IF(COUNTIF('Luisa'!$B$6:$B$300,$A16)&gt;0,"Luisa",""),IF(COUNTIF('Lui'!$B$6:$B$300,$A16)&gt;0,"Lui",""),IF(COUNTIF('Thaís'!$B$6:$B$300,$A16)&gt;0,"Thaís",""),IF(COUNTIF('Daniel'!$B$6:$B$300,$A16)&gt;0,"Daniel",""),IF(COUNTIF('Fernando'!$B$6:$B$300,$A16)&gt;0,"Fernando",""),IF(COUNTIF('Stephanie'!$B$6:$B$300,$A16)&gt;0,"Stephanie",""),IF(COUNTIF('Fox'!$B$6:$B$300,$A16)&gt;0,"Fox",""),IF(COUNTIF('Bruna'!$B$6:$B$300,$A16)&gt;0,"Bruna",""),IF(COUNTIF('Stella'!$B$6:$B$300,$A16)&gt;0,"Stella",""),IF(COUNTIF('Igor'!$B$6:$B$300,$A16)&gt;0,"Igor","")))</f>
        <v/>
      </c>
      <c r="H16" s="13" t="inlineStr">
        <is>
          <t>Petrobras</t>
        </is>
      </c>
      <c r="I16" s="13" t="inlineStr">
        <is>
          <t>Concluído</t>
        </is>
      </c>
      <c r="J16" s="17">
        <f>IF(OR($A16="",(COUNTIF('Clarice'!$B$6:$B$300,$A16)+COUNTIF('Luisa'!$B$6:$B$300,$A16)+COUNTIF('Lui'!$B$6:$B$300,$A16)+COUNTIF('Thaís'!$B$6:$B$300,$A16)+COUNTIF('Daniel'!$B$6:$B$300,$A16)+COUNTIF('Fernando'!$B$6:$B$300,$A16)+COUNTIF('Stephanie'!$B$6:$B$300,$A16)+COUNTIF('Fox'!$B$6:$B$300,$A16)+COUNTIF('Bruna'!$B$6:$B$300,$A16)+COUNTIF('Stella'!$B$6:$B$300,$A16)+COUNTIF('Igor'!$B$6:$B$300,$A16))=0),"",(COUNTIFS('Clarice'!$B$6:$B$300,$A16,'Clarice'!$F$6:$F$300,"Concluído")+COUNTIFS('Luisa'!$B$6:$B$300,$A16,'Luisa'!$F$6:$F$300,"Concluído")+COUNTIFS('Lui'!$B$6:$B$300,$A16,'Lui'!$F$6:$F$300,"Concluído")+COUNTIFS('Thaís'!$B$6:$B$300,$A16,'Thaís'!$F$6:$F$300,"Concluído")+COUNTIFS('Daniel'!$B$6:$B$300,$A16,'Daniel'!$F$6:$F$300,"Concluído")+COUNTIFS('Fernando'!$B$6:$B$300,$A16,'Fernando'!$F$6:$F$300,"Concluído")+COUNTIFS('Stephanie'!$B$6:$B$300,$A16,'Stephanie'!$F$6:$F$300,"Concluído")+COUNTIFS('Fox'!$B$6:$B$300,$A16,'Fox'!$F$6:$F$300,"Concluído")+COUNTIFS('Bruna'!$B$6:$B$300,$A16,'Bruna'!$F$6:$F$300,"Concluído")+COUNTIFS('Stella'!$B$6:$B$300,$A16,'Stella'!$F$6:$F$300,"Concluído")+COUNTIFS('Igor'!$B$6:$B$300,$A16,'Igor'!$F$6:$F$300,"Concluído"))&amp;" / "&amp;(COUNTIF('Clarice'!$B$6:$B$300,$A16)+COUNTIF('Luisa'!$B$6:$B$300,$A16)+COUNTIF('Lui'!$B$6:$B$300,$A16)+COUNTIF('Thaís'!$B$6:$B$300,$A16)+COUNTIF('Daniel'!$B$6:$B$300,$A16)+COUNTIF('Fernando'!$B$6:$B$300,$A16)+COUNTIF('Stephanie'!$B$6:$B$300,$A16)+COUNTIF('Fox'!$B$6:$B$300,$A16)+COUNTIF('Bruna'!$B$6:$B$300,$A16)+COUNTIF('Stella'!$B$6:$B$300,$A16)+COUNTIF('Igor'!$B$6:$B$300,$A16)))</f>
        <v/>
      </c>
      <c r="K16" s="18" t="n">
        <v>46153</v>
      </c>
      <c r="L16" s="18" t="n">
        <v>46157</v>
      </c>
      <c r="M16" s="18" t="n">
        <v>46153</v>
      </c>
      <c r="N16" s="18" t="n">
        <v>46185</v>
      </c>
      <c r="O16" s="19" t="n"/>
      <c r="P16" s="20">
        <f>IF($A16="","",IF(M16&lt;&gt;"",M16,IF(K16&lt;&gt;"",K16,"")))</f>
        <v/>
      </c>
      <c r="Q16" s="20">
        <f>IF($A16="","",IF(N16&lt;&gt;"",N16,IF(L16&lt;&gt;"",L16,"")))</f>
        <v/>
      </c>
      <c r="R16" s="15" t="n"/>
      <c r="S16" s="16">
        <f t="array" ref="S16">IF($A16="","",_xlfn.TEXTJOIN(CHAR(10),TRUE,IF('Clarice'!$B$6:$B$300=$A16,"Clarice"&amp;IF('Clarice'!$E$6:$E$300="",""," : "&amp;'Clarice'!$E$6:$E$300)&amp;" ["&amp;'Clarice'!$F$6:$F$300&amp;"]",""),IF('Luisa'!$B$6:$B$300=$A16,"Luisa"&amp;IF('Luisa'!$E$6:$E$300="",""," : "&amp;'Luisa'!$E$6:$E$300)&amp;" ["&amp;'Luisa'!$F$6:$F$300&amp;"]",""),IF('Lui'!$B$6:$B$300=$A16,"Lui"&amp;IF('Lui'!$E$6:$E$300="",""," : "&amp;'Lui'!$E$6:$E$300)&amp;" ["&amp;'Lui'!$F$6:$F$300&amp;"]",""),IF('Thaís'!$B$6:$B$300=$A16,"Thaís"&amp;IF('Thaís'!$E$6:$E$300="",""," : "&amp;'Thaís'!$E$6:$E$300)&amp;" ["&amp;'Thaís'!$F$6:$F$300&amp;"]",""),IF('Daniel'!$B$6:$B$300=$A16,"Daniel"&amp;IF('Daniel'!$E$6:$E$300="",""," : "&amp;'Daniel'!$E$6:$E$300)&amp;" ["&amp;'Daniel'!$F$6:$F$300&amp;"]",""),IF('Fernando'!$B$6:$B$300=$A16,"Fernando"&amp;IF('Fernando'!$E$6:$E$300="",""," : "&amp;'Fernando'!$E$6:$E$300)&amp;" ["&amp;'Fernando'!$F$6:$F$300&amp;"]",""),IF('Stephanie'!$B$6:$B$300=$A16,"Stephanie"&amp;IF('Stephanie'!$E$6:$E$300="",""," : "&amp;'Stephanie'!$E$6:$E$300)&amp;" ["&amp;'Stephanie'!$F$6:$F$300&amp;"]",""),IF('Fox'!$B$6:$B$300=$A16,"Fox"&amp;IF('Fox'!$E$6:$E$300="",""," : "&amp;'Fox'!$E$6:$E$300)&amp;" ["&amp;'Fox'!$F$6:$F$300&amp;"]",""),IF('Bruna'!$B$6:$B$300=$A16,"Bruna"&amp;IF('Bruna'!$E$6:$E$300="",""," : "&amp;'Bruna'!$E$6:$E$300)&amp;" ["&amp;'Bruna'!$F$6:$F$300&amp;"]",""),IF('Stella'!$B$6:$B$300=$A16,"Stella"&amp;IF('Stella'!$E$6:$E$300="",""," : "&amp;'Stella'!$E$6:$E$300)&amp;" ["&amp;'Stella'!$F$6:$F$300&amp;"]",""),IF('Igor'!$B$6:$B$300=$A16,"Igor"&amp;IF('Igor'!$E$6:$E$300="",""," : "&amp;'Igor'!$E$6:$E$300)&amp;" ["&amp;'Igor'!$F$6:$F$300&amp;"]","")))</f>
        <v/>
      </c>
    </row>
    <row r="17" ht="15.5" customHeight="1">
      <c r="A17" s="13" t="inlineStr">
        <is>
          <t>ART-010</t>
        </is>
      </c>
      <c r="B17" s="14" t="inlineStr">
        <is>
          <t>Extra - Artigo</t>
        </is>
      </c>
      <c r="C17" s="14" t="inlineStr">
        <is>
          <t>1. Elaboração do artigo sobre a caixa de ferramentas</t>
        </is>
      </c>
      <c r="D17" s="14" t="n"/>
      <c r="E17" s="15" t="inlineStr">
        <is>
          <t>Formatar artigo para a revista</t>
        </is>
      </c>
      <c r="F17" s="13" t="inlineStr">
        <is>
          <t>Thaís</t>
        </is>
      </c>
      <c r="G17" s="16">
        <f>IF($A17="","",_xlfn.TEXTJOIN("; ",TRUE,IF(COUNTIF('Clarice'!$B$6:$B$300,$A17)&gt;0,"Clarice",""),IF(COUNTIF('Luisa'!$B$6:$B$300,$A17)&gt;0,"Luisa",""),IF(COUNTIF('Lui'!$B$6:$B$300,$A17)&gt;0,"Lui",""),IF(COUNTIF('Thaís'!$B$6:$B$300,$A17)&gt;0,"Thaís",""),IF(COUNTIF('Daniel'!$B$6:$B$300,$A17)&gt;0,"Daniel",""),IF(COUNTIF('Fernando'!$B$6:$B$300,$A17)&gt;0,"Fernando",""),IF(COUNTIF('Stephanie'!$B$6:$B$300,$A17)&gt;0,"Stephanie",""),IF(COUNTIF('Fox'!$B$6:$B$300,$A17)&gt;0,"Fox",""),IF(COUNTIF('Bruna'!$B$6:$B$300,$A17)&gt;0,"Bruna",""),IF(COUNTIF('Stella'!$B$6:$B$300,$A17)&gt;0,"Stella",""),IF(COUNTIF('Igor'!$B$6:$B$300,$A17)&gt;0,"Igor","")))</f>
        <v/>
      </c>
      <c r="H17" s="13" t="n"/>
      <c r="I17" s="13" t="inlineStr">
        <is>
          <t>Concluído</t>
        </is>
      </c>
      <c r="J17" s="17">
        <f>IF(OR($A17="",(COUNTIF('Clarice'!$B$6:$B$300,$A17)+COUNTIF('Luisa'!$B$6:$B$300,$A17)+COUNTIF('Lui'!$B$6:$B$300,$A17)+COUNTIF('Thaís'!$B$6:$B$300,$A17)+COUNTIF('Daniel'!$B$6:$B$300,$A17)+COUNTIF('Fernando'!$B$6:$B$300,$A17)+COUNTIF('Stephanie'!$B$6:$B$300,$A17)+COUNTIF('Fox'!$B$6:$B$300,$A17)+COUNTIF('Bruna'!$B$6:$B$300,$A17)+COUNTIF('Stella'!$B$6:$B$300,$A17)+COUNTIF('Igor'!$B$6:$B$300,$A17))=0),"",(COUNTIFS('Clarice'!$B$6:$B$300,$A17,'Clarice'!$F$6:$F$300,"Concluído")+COUNTIFS('Luisa'!$B$6:$B$300,$A17,'Luisa'!$F$6:$F$300,"Concluído")+COUNTIFS('Lui'!$B$6:$B$300,$A17,'Lui'!$F$6:$F$300,"Concluído")+COUNTIFS('Thaís'!$B$6:$B$300,$A17,'Thaís'!$F$6:$F$300,"Concluído")+COUNTIFS('Daniel'!$B$6:$B$300,$A17,'Daniel'!$F$6:$F$300,"Concluído")+COUNTIFS('Fernando'!$B$6:$B$300,$A17,'Fernando'!$F$6:$F$300,"Concluído")+COUNTIFS('Stephanie'!$B$6:$B$300,$A17,'Stephanie'!$F$6:$F$300,"Concluído")+COUNTIFS('Fox'!$B$6:$B$300,$A17,'Fox'!$F$6:$F$300,"Concluído")+COUNTIFS('Bruna'!$B$6:$B$300,$A17,'Bruna'!$F$6:$F$300,"Concluído")+COUNTIFS('Stella'!$B$6:$B$300,$A17,'Stella'!$F$6:$F$300,"Concluído")+COUNTIFS('Igor'!$B$6:$B$300,$A17,'Igor'!$F$6:$F$300,"Concluído"))&amp;" / "&amp;(COUNTIF('Clarice'!$B$6:$B$300,$A17)+COUNTIF('Luisa'!$B$6:$B$300,$A17)+COUNTIF('Lui'!$B$6:$B$300,$A17)+COUNTIF('Thaís'!$B$6:$B$300,$A17)+COUNTIF('Daniel'!$B$6:$B$300,$A17)+COUNTIF('Fernando'!$B$6:$B$300,$A17)+COUNTIF('Stephanie'!$B$6:$B$300,$A17)+COUNTIF('Fox'!$B$6:$B$300,$A17)+COUNTIF('Bruna'!$B$6:$B$300,$A17)+COUNTIF('Stella'!$B$6:$B$300,$A17)+COUNTIF('Igor'!$B$6:$B$300,$A17)))</f>
        <v/>
      </c>
      <c r="K17" s="18" t="n">
        <v>46167</v>
      </c>
      <c r="L17" s="18" t="n">
        <v>46171</v>
      </c>
      <c r="M17" s="18" t="n">
        <v>46167</v>
      </c>
      <c r="N17" s="18" t="n">
        <v>46220</v>
      </c>
      <c r="O17" s="19" t="n"/>
      <c r="P17" s="20">
        <f>IF($A17="","",IF(M17&lt;&gt;"",M17,IF(K17&lt;&gt;"",K17,"")))</f>
        <v/>
      </c>
      <c r="Q17" s="20">
        <f>IF($A17="","",IF(N17&lt;&gt;"",N17,IF(L17&lt;&gt;"",L17,"")))</f>
        <v/>
      </c>
      <c r="R17" s="15" t="n"/>
      <c r="S17" s="16">
        <f t="array" ref="S17">IF($A17="","",_xlfn.TEXTJOIN(CHAR(10),TRUE,IF('Clarice'!$B$6:$B$300=$A17,"Clarice"&amp;IF('Clarice'!$E$6:$E$300="",""," : "&amp;'Clarice'!$E$6:$E$300)&amp;" ["&amp;'Clarice'!$F$6:$F$300&amp;"]",""),IF('Luisa'!$B$6:$B$300=$A17,"Luisa"&amp;IF('Luisa'!$E$6:$E$300="",""," : "&amp;'Luisa'!$E$6:$E$300)&amp;" ["&amp;'Luisa'!$F$6:$F$300&amp;"]",""),IF('Lui'!$B$6:$B$300=$A17,"Lui"&amp;IF('Lui'!$E$6:$E$300="",""," : "&amp;'Lui'!$E$6:$E$300)&amp;" ["&amp;'Lui'!$F$6:$F$300&amp;"]",""),IF('Thaís'!$B$6:$B$300=$A17,"Thaís"&amp;IF('Thaís'!$E$6:$E$300="",""," : "&amp;'Thaís'!$E$6:$E$300)&amp;" ["&amp;'Thaís'!$F$6:$F$300&amp;"]",""),IF('Daniel'!$B$6:$B$300=$A17,"Daniel"&amp;IF('Daniel'!$E$6:$E$300="",""," : "&amp;'Daniel'!$E$6:$E$300)&amp;" ["&amp;'Daniel'!$F$6:$F$300&amp;"]",""),IF('Fernando'!$B$6:$B$300=$A17,"Fernando"&amp;IF('Fernando'!$E$6:$E$300="",""," : "&amp;'Fernando'!$E$6:$E$300)&amp;" ["&amp;'Fernando'!$F$6:$F$300&amp;"]",""),IF('Stephanie'!$B$6:$B$300=$A17,"Stephanie"&amp;IF('Stephanie'!$E$6:$E$300="",""," : "&amp;'Stephanie'!$E$6:$E$300)&amp;" ["&amp;'Stephanie'!$F$6:$F$300&amp;"]",""),IF('Fox'!$B$6:$B$300=$A17,"Fox"&amp;IF('Fox'!$E$6:$E$300="",""," : "&amp;'Fox'!$E$6:$E$300)&amp;" ["&amp;'Fox'!$F$6:$F$300&amp;"]",""),IF('Bruna'!$B$6:$B$300=$A17,"Bruna"&amp;IF('Bruna'!$E$6:$E$300="",""," : "&amp;'Bruna'!$E$6:$E$300)&amp;" ["&amp;'Bruna'!$F$6:$F$300&amp;"]",""),IF('Stella'!$B$6:$B$300=$A17,"Stella"&amp;IF('Stella'!$E$6:$E$300="",""," : "&amp;'Stella'!$E$6:$E$300)&amp;" ["&amp;'Stella'!$F$6:$F$300&amp;"]",""),IF('Igor'!$B$6:$B$300=$A17,"Igor"&amp;IF('Igor'!$E$6:$E$300="",""," : "&amp;'Igor'!$E$6:$E$300)&amp;" ["&amp;'Igor'!$F$6:$F$300&amp;"]","")))</f>
        <v/>
      </c>
    </row>
    <row r="18" ht="15.5" customHeight="1">
      <c r="A18" s="13" t="inlineStr">
        <is>
          <t>ART-011</t>
        </is>
      </c>
      <c r="B18" s="14" t="inlineStr">
        <is>
          <t>Extra - Artigo</t>
        </is>
      </c>
      <c r="C18" s="14" t="inlineStr">
        <is>
          <t>1. Elaboração do artigo sobre a caixa de ferramentas</t>
        </is>
      </c>
      <c r="D18" s="14" t="n"/>
      <c r="E18" s="15" t="inlineStr">
        <is>
          <t>Revisão Bruna</t>
        </is>
      </c>
      <c r="F18" s="13" t="inlineStr">
        <is>
          <t>Thaís</t>
        </is>
      </c>
      <c r="G18" s="16">
        <f>IF($A18="","",_xlfn.TEXTJOIN("; ",TRUE,IF(COUNTIF('Clarice'!$B$6:$B$300,$A18)&gt;0,"Clarice",""),IF(COUNTIF('Luisa'!$B$6:$B$300,$A18)&gt;0,"Luisa",""),IF(COUNTIF('Lui'!$B$6:$B$300,$A18)&gt;0,"Lui",""),IF(COUNTIF('Thaís'!$B$6:$B$300,$A18)&gt;0,"Thaís",""),IF(COUNTIF('Daniel'!$B$6:$B$300,$A18)&gt;0,"Daniel",""),IF(COUNTIF('Fernando'!$B$6:$B$300,$A18)&gt;0,"Fernando",""),IF(COUNTIF('Stephanie'!$B$6:$B$300,$A18)&gt;0,"Stephanie",""),IF(COUNTIF('Fox'!$B$6:$B$300,$A18)&gt;0,"Fox",""),IF(COUNTIF('Bruna'!$B$6:$B$300,$A18)&gt;0,"Bruna",""),IF(COUNTIF('Stella'!$B$6:$B$300,$A18)&gt;0,"Stella",""),IF(COUNTIF('Igor'!$B$6:$B$300,$A18)&gt;0,"Igor","")))</f>
        <v/>
      </c>
      <c r="H18" s="13" t="n"/>
      <c r="I18" s="13" t="inlineStr">
        <is>
          <t>Concluído</t>
        </is>
      </c>
      <c r="J18" s="17">
        <f>IF(OR($A18="",(COUNTIF('Clarice'!$B$6:$B$300,$A18)+COUNTIF('Luisa'!$B$6:$B$300,$A18)+COUNTIF('Lui'!$B$6:$B$300,$A18)+COUNTIF('Thaís'!$B$6:$B$300,$A18)+COUNTIF('Daniel'!$B$6:$B$300,$A18)+COUNTIF('Fernando'!$B$6:$B$300,$A18)+COUNTIF('Stephanie'!$B$6:$B$300,$A18)+COUNTIF('Fox'!$B$6:$B$300,$A18)+COUNTIF('Bruna'!$B$6:$B$300,$A18)+COUNTIF('Stella'!$B$6:$B$300,$A18)+COUNTIF('Igor'!$B$6:$B$300,$A18))=0),"",(COUNTIFS('Clarice'!$B$6:$B$300,$A18,'Clarice'!$F$6:$F$300,"Concluído")+COUNTIFS('Luisa'!$B$6:$B$300,$A18,'Luisa'!$F$6:$F$300,"Concluído")+COUNTIFS('Lui'!$B$6:$B$300,$A18,'Lui'!$F$6:$F$300,"Concluído")+COUNTIFS('Thaís'!$B$6:$B$300,$A18,'Thaís'!$F$6:$F$300,"Concluído")+COUNTIFS('Daniel'!$B$6:$B$300,$A18,'Daniel'!$F$6:$F$300,"Concluído")+COUNTIFS('Fernando'!$B$6:$B$300,$A18,'Fernando'!$F$6:$F$300,"Concluído")+COUNTIFS('Stephanie'!$B$6:$B$300,$A18,'Stephanie'!$F$6:$F$300,"Concluído")+COUNTIFS('Fox'!$B$6:$B$300,$A18,'Fox'!$F$6:$F$300,"Concluído")+COUNTIFS('Bruna'!$B$6:$B$300,$A18,'Bruna'!$F$6:$F$300,"Concluído")+COUNTIFS('Stella'!$B$6:$B$300,$A18,'Stella'!$F$6:$F$300,"Concluído")+COUNTIFS('Igor'!$B$6:$B$300,$A18,'Igor'!$F$6:$F$300,"Concluído"))&amp;" / "&amp;(COUNTIF('Clarice'!$B$6:$B$300,$A18)+COUNTIF('Luisa'!$B$6:$B$300,$A18)+COUNTIF('Lui'!$B$6:$B$300,$A18)+COUNTIF('Thaís'!$B$6:$B$300,$A18)+COUNTIF('Daniel'!$B$6:$B$300,$A18)+COUNTIF('Fernando'!$B$6:$B$300,$A18)+COUNTIF('Stephanie'!$B$6:$B$300,$A18)+COUNTIF('Fox'!$B$6:$B$300,$A18)+COUNTIF('Bruna'!$B$6:$B$300,$A18)+COUNTIF('Stella'!$B$6:$B$300,$A18)+COUNTIF('Igor'!$B$6:$B$300,$A18)))</f>
        <v/>
      </c>
      <c r="K18" s="18" t="n">
        <v>46132</v>
      </c>
      <c r="L18" s="18" t="n">
        <v>46142</v>
      </c>
      <c r="M18" s="18" t="n">
        <v>46132</v>
      </c>
      <c r="N18" s="18" t="n">
        <v>46199</v>
      </c>
      <c r="O18" s="19" t="n"/>
      <c r="P18" s="20">
        <f>IF($A18="","",IF(M18&lt;&gt;"",M18,IF(K18&lt;&gt;"",K18,"")))</f>
        <v/>
      </c>
      <c r="Q18" s="20">
        <f>IF($A18="","",IF(N18&lt;&gt;"",N18,IF(L18&lt;&gt;"",L18,"")))</f>
        <v/>
      </c>
      <c r="R18" s="15" t="n"/>
      <c r="S18" s="16">
        <f t="array" ref="S18">IF($A18="","",_xlfn.TEXTJOIN(CHAR(10),TRUE,IF('Clarice'!$B$6:$B$300=$A18,"Clarice"&amp;IF('Clarice'!$E$6:$E$300="",""," : "&amp;'Clarice'!$E$6:$E$300)&amp;" ["&amp;'Clarice'!$F$6:$F$300&amp;"]",""),IF('Luisa'!$B$6:$B$300=$A18,"Luisa"&amp;IF('Luisa'!$E$6:$E$300="",""," : "&amp;'Luisa'!$E$6:$E$300)&amp;" ["&amp;'Luisa'!$F$6:$F$300&amp;"]",""),IF('Lui'!$B$6:$B$300=$A18,"Lui"&amp;IF('Lui'!$E$6:$E$300="",""," : "&amp;'Lui'!$E$6:$E$300)&amp;" ["&amp;'Lui'!$F$6:$F$300&amp;"]",""),IF('Thaís'!$B$6:$B$300=$A18,"Thaís"&amp;IF('Thaís'!$E$6:$E$300="",""," : "&amp;'Thaís'!$E$6:$E$300)&amp;" ["&amp;'Thaís'!$F$6:$F$300&amp;"]",""),IF('Daniel'!$B$6:$B$300=$A18,"Daniel"&amp;IF('Daniel'!$E$6:$E$300="",""," : "&amp;'Daniel'!$E$6:$E$300)&amp;" ["&amp;'Daniel'!$F$6:$F$300&amp;"]",""),IF('Fernando'!$B$6:$B$300=$A18,"Fernando"&amp;IF('Fernando'!$E$6:$E$300="",""," : "&amp;'Fernando'!$E$6:$E$300)&amp;" ["&amp;'Fernando'!$F$6:$F$300&amp;"]",""),IF('Stephanie'!$B$6:$B$300=$A18,"Stephanie"&amp;IF('Stephanie'!$E$6:$E$300="",""," : "&amp;'Stephanie'!$E$6:$E$300)&amp;" ["&amp;'Stephanie'!$F$6:$F$300&amp;"]",""),IF('Fox'!$B$6:$B$300=$A18,"Fox"&amp;IF('Fox'!$E$6:$E$300="",""," : "&amp;'Fox'!$E$6:$E$300)&amp;" ["&amp;'Fox'!$F$6:$F$300&amp;"]",""),IF('Bruna'!$B$6:$B$300=$A18,"Bruna"&amp;IF('Bruna'!$E$6:$E$300="",""," : "&amp;'Bruna'!$E$6:$E$300)&amp;" ["&amp;'Bruna'!$F$6:$F$300&amp;"]",""),IF('Stella'!$B$6:$B$300=$A18,"Stella"&amp;IF('Stella'!$E$6:$E$300="",""," : "&amp;'Stella'!$E$6:$E$300)&amp;" ["&amp;'Stella'!$F$6:$F$300&amp;"]",""),IF('Igor'!$B$6:$B$300=$A18,"Igor"&amp;IF('Igor'!$E$6:$E$300="",""," : "&amp;'Igor'!$E$6:$E$300)&amp;" ["&amp;'Igor'!$F$6:$F$300&amp;"]","")))</f>
        <v/>
      </c>
    </row>
    <row r="19" ht="28" customHeight="1">
      <c r="A19" s="13" t="inlineStr">
        <is>
          <t>ART-012</t>
        </is>
      </c>
      <c r="B19" s="14" t="inlineStr">
        <is>
          <t>Extra - Artigo</t>
        </is>
      </c>
      <c r="C19" s="14" t="inlineStr">
        <is>
          <t>1. Elaboração do artigo sobre a caixa de ferramentas</t>
        </is>
      </c>
      <c r="D19" s="14" t="n"/>
      <c r="E19" s="15" t="inlineStr">
        <is>
          <t>Incorporar os ajustes da Bruna</t>
        </is>
      </c>
      <c r="F19" s="13" t="inlineStr">
        <is>
          <t>Thaís</t>
        </is>
      </c>
      <c r="G19" s="16">
        <f>IF($A19="","",_xlfn.TEXTJOIN("; ",TRUE,IF(COUNTIF('Clarice'!$B$6:$B$300,$A19)&gt;0,"Clarice",""),IF(COUNTIF('Luisa'!$B$6:$B$300,$A19)&gt;0,"Luisa",""),IF(COUNTIF('Lui'!$B$6:$B$300,$A19)&gt;0,"Lui",""),IF(COUNTIF('Thaís'!$B$6:$B$300,$A19)&gt;0,"Thaís",""),IF(COUNTIF('Daniel'!$B$6:$B$300,$A19)&gt;0,"Daniel",""),IF(COUNTIF('Fernando'!$B$6:$B$300,$A19)&gt;0,"Fernando",""),IF(COUNTIF('Stephanie'!$B$6:$B$300,$A19)&gt;0,"Stephanie",""),IF(COUNTIF('Fox'!$B$6:$B$300,$A19)&gt;0,"Fox",""),IF(COUNTIF('Bruna'!$B$6:$B$300,$A19)&gt;0,"Bruna",""),IF(COUNTIF('Stella'!$B$6:$B$300,$A19)&gt;0,"Stella",""),IF(COUNTIF('Igor'!$B$6:$B$300,$A19)&gt;0,"Igor","")))</f>
        <v/>
      </c>
      <c r="H19" s="13" t="n"/>
      <c r="I19" s="13" t="inlineStr">
        <is>
          <t>Concluído</t>
        </is>
      </c>
      <c r="J19" s="17">
        <f>IF(OR($A19="",(COUNTIF('Clarice'!$B$6:$B$300,$A19)+COUNTIF('Luisa'!$B$6:$B$300,$A19)+COUNTIF('Lui'!$B$6:$B$300,$A19)+COUNTIF('Thaís'!$B$6:$B$300,$A19)+COUNTIF('Daniel'!$B$6:$B$300,$A19)+COUNTIF('Fernando'!$B$6:$B$300,$A19)+COUNTIF('Stephanie'!$B$6:$B$300,$A19)+COUNTIF('Fox'!$B$6:$B$300,$A19)+COUNTIF('Bruna'!$B$6:$B$300,$A19)+COUNTIF('Stella'!$B$6:$B$300,$A19)+COUNTIF('Igor'!$B$6:$B$300,$A19))=0),"",(COUNTIFS('Clarice'!$B$6:$B$300,$A19,'Clarice'!$F$6:$F$300,"Concluído")+COUNTIFS('Luisa'!$B$6:$B$300,$A19,'Luisa'!$F$6:$F$300,"Concluído")+COUNTIFS('Lui'!$B$6:$B$300,$A19,'Lui'!$F$6:$F$300,"Concluído")+COUNTIFS('Thaís'!$B$6:$B$300,$A19,'Thaís'!$F$6:$F$300,"Concluído")+COUNTIFS('Daniel'!$B$6:$B$300,$A19,'Daniel'!$F$6:$F$300,"Concluído")+COUNTIFS('Fernando'!$B$6:$B$300,$A19,'Fernando'!$F$6:$F$300,"Concluído")+COUNTIFS('Stephanie'!$B$6:$B$300,$A19,'Stephanie'!$F$6:$F$300,"Concluído")+COUNTIFS('Fox'!$B$6:$B$300,$A19,'Fox'!$F$6:$F$300,"Concluído")+COUNTIFS('Bruna'!$B$6:$B$300,$A19,'Bruna'!$F$6:$F$300,"Concluído")+COUNTIFS('Stella'!$B$6:$B$300,$A19,'Stella'!$F$6:$F$300,"Concluído")+COUNTIFS('Igor'!$B$6:$B$300,$A19,'Igor'!$F$6:$F$300,"Concluído"))&amp;" / "&amp;(COUNTIF('Clarice'!$B$6:$B$300,$A19)+COUNTIF('Luisa'!$B$6:$B$300,$A19)+COUNTIF('Lui'!$B$6:$B$300,$A19)+COUNTIF('Thaís'!$B$6:$B$300,$A19)+COUNTIF('Daniel'!$B$6:$B$300,$A19)+COUNTIF('Fernando'!$B$6:$B$300,$A19)+COUNTIF('Stephanie'!$B$6:$B$300,$A19)+COUNTIF('Fox'!$B$6:$B$300,$A19)+COUNTIF('Bruna'!$B$6:$B$300,$A19)+COUNTIF('Stella'!$B$6:$B$300,$A19)+COUNTIF('Igor'!$B$6:$B$300,$A19)))</f>
        <v/>
      </c>
      <c r="K19" s="19" t="n"/>
      <c r="L19" s="19" t="n"/>
      <c r="M19" s="18" t="n">
        <v>46202</v>
      </c>
      <c r="N19" s="18" t="n">
        <v>46206</v>
      </c>
      <c r="O19" s="19" t="n"/>
      <c r="P19" s="20">
        <f>IF($A19="","",IF(M19&lt;&gt;"",M19,IF(K19&lt;&gt;"",K19,"")))</f>
        <v/>
      </c>
      <c r="Q19" s="20">
        <f>IF($A19="","",IF(N19&lt;&gt;"",N19,IF(L19&lt;&gt;"",L19,"")))</f>
        <v/>
      </c>
      <c r="R19" s="15" t="n"/>
      <c r="S19" s="16">
        <f t="array" ref="S19">IF($A19="","",_xlfn.TEXTJOIN(CHAR(10),TRUE,IF('Clarice'!$B$6:$B$300=$A19,"Clarice"&amp;IF('Clarice'!$E$6:$E$300="",""," : "&amp;'Clarice'!$E$6:$E$300)&amp;" ["&amp;'Clarice'!$F$6:$F$300&amp;"]",""),IF('Luisa'!$B$6:$B$300=$A19,"Luisa"&amp;IF('Luisa'!$E$6:$E$300="",""," : "&amp;'Luisa'!$E$6:$E$300)&amp;" ["&amp;'Luisa'!$F$6:$F$300&amp;"]",""),IF('Lui'!$B$6:$B$300=$A19,"Lui"&amp;IF('Lui'!$E$6:$E$300="",""," : "&amp;'Lui'!$E$6:$E$300)&amp;" ["&amp;'Lui'!$F$6:$F$300&amp;"]",""),IF('Thaís'!$B$6:$B$300=$A19,"Thaís"&amp;IF('Thaís'!$E$6:$E$300="",""," : "&amp;'Thaís'!$E$6:$E$300)&amp;" ["&amp;'Thaís'!$F$6:$F$300&amp;"]",""),IF('Daniel'!$B$6:$B$300=$A19,"Daniel"&amp;IF('Daniel'!$E$6:$E$300="",""," : "&amp;'Daniel'!$E$6:$E$300)&amp;" ["&amp;'Daniel'!$F$6:$F$300&amp;"]",""),IF('Fernando'!$B$6:$B$300=$A19,"Fernando"&amp;IF('Fernando'!$E$6:$E$300="",""," : "&amp;'Fernando'!$E$6:$E$300)&amp;" ["&amp;'Fernando'!$F$6:$F$300&amp;"]",""),IF('Stephanie'!$B$6:$B$300=$A19,"Stephanie"&amp;IF('Stephanie'!$E$6:$E$300="",""," : "&amp;'Stephanie'!$E$6:$E$300)&amp;" ["&amp;'Stephanie'!$F$6:$F$300&amp;"]",""),IF('Fox'!$B$6:$B$300=$A19,"Fox"&amp;IF('Fox'!$E$6:$E$300="",""," : "&amp;'Fox'!$E$6:$E$300)&amp;" ["&amp;'Fox'!$F$6:$F$300&amp;"]",""),IF('Bruna'!$B$6:$B$300=$A19,"Bruna"&amp;IF('Bruna'!$E$6:$E$300="",""," : "&amp;'Bruna'!$E$6:$E$300)&amp;" ["&amp;'Bruna'!$F$6:$F$300&amp;"]",""),IF('Stella'!$B$6:$B$300=$A19,"Stella"&amp;IF('Stella'!$E$6:$E$300="",""," : "&amp;'Stella'!$E$6:$E$300)&amp;" ["&amp;'Stella'!$F$6:$F$300&amp;"]",""),IF('Igor'!$B$6:$B$300=$A19,"Igor"&amp;IF('Igor'!$E$6:$E$300="",""," : "&amp;'Igor'!$E$6:$E$300)&amp;" ["&amp;'Igor'!$F$6:$F$300&amp;"]","")))</f>
        <v/>
      </c>
    </row>
    <row r="20" ht="28" customHeight="1">
      <c r="A20" s="13" t="inlineStr">
        <is>
          <t>ART-013</t>
        </is>
      </c>
      <c r="B20" s="14" t="inlineStr">
        <is>
          <t>Extra - Artigo</t>
        </is>
      </c>
      <c r="C20" s="14" t="inlineStr">
        <is>
          <t>1. Elaboração do artigo sobre a caixa de ferramentas</t>
        </is>
      </c>
      <c r="D20" s="14" t="n"/>
      <c r="E20" s="15" t="inlineStr">
        <is>
          <t>Envio do artigo para revisão da Petrobras</t>
        </is>
      </c>
      <c r="F20" s="13" t="inlineStr">
        <is>
          <t>Thaís</t>
        </is>
      </c>
      <c r="G20" s="16">
        <f>IF($A20="","",_xlfn.TEXTJOIN("; ",TRUE,IF(COUNTIF('Clarice'!$B$6:$B$300,$A20)&gt;0,"Clarice",""),IF(COUNTIF('Luisa'!$B$6:$B$300,$A20)&gt;0,"Luisa",""),IF(COUNTIF('Lui'!$B$6:$B$300,$A20)&gt;0,"Lui",""),IF(COUNTIF('Thaís'!$B$6:$B$300,$A20)&gt;0,"Thaís",""),IF(COUNTIF('Daniel'!$B$6:$B$300,$A20)&gt;0,"Daniel",""),IF(COUNTIF('Fernando'!$B$6:$B$300,$A20)&gt;0,"Fernando",""),IF(COUNTIF('Stephanie'!$B$6:$B$300,$A20)&gt;0,"Stephanie",""),IF(COUNTIF('Fox'!$B$6:$B$300,$A20)&gt;0,"Fox",""),IF(COUNTIF('Bruna'!$B$6:$B$300,$A20)&gt;0,"Bruna",""),IF(COUNTIF('Stella'!$B$6:$B$300,$A20)&gt;0,"Stella",""),IF(COUNTIF('Igor'!$B$6:$B$300,$A20)&gt;0,"Igor","")))</f>
        <v/>
      </c>
      <c r="H20" s="13" t="n"/>
      <c r="I20" s="13" t="inlineStr">
        <is>
          <t>Concluído</t>
        </is>
      </c>
      <c r="J20" s="17">
        <f>IF(OR($A20="",(COUNTIF('Clarice'!$B$6:$B$300,$A20)+COUNTIF('Luisa'!$B$6:$B$300,$A20)+COUNTIF('Lui'!$B$6:$B$300,$A20)+COUNTIF('Thaís'!$B$6:$B$300,$A20)+COUNTIF('Daniel'!$B$6:$B$300,$A20)+COUNTIF('Fernando'!$B$6:$B$300,$A20)+COUNTIF('Stephanie'!$B$6:$B$300,$A20)+COUNTIF('Fox'!$B$6:$B$300,$A20)+COUNTIF('Bruna'!$B$6:$B$300,$A20)+COUNTIF('Stella'!$B$6:$B$300,$A20)+COUNTIF('Igor'!$B$6:$B$300,$A20))=0),"",(COUNTIFS('Clarice'!$B$6:$B$300,$A20,'Clarice'!$F$6:$F$300,"Concluído")+COUNTIFS('Luisa'!$B$6:$B$300,$A20,'Luisa'!$F$6:$F$300,"Concluído")+COUNTIFS('Lui'!$B$6:$B$300,$A20,'Lui'!$F$6:$F$300,"Concluído")+COUNTIFS('Thaís'!$B$6:$B$300,$A20,'Thaís'!$F$6:$F$300,"Concluído")+COUNTIFS('Daniel'!$B$6:$B$300,$A20,'Daniel'!$F$6:$F$300,"Concluído")+COUNTIFS('Fernando'!$B$6:$B$300,$A20,'Fernando'!$F$6:$F$300,"Concluído")+COUNTIFS('Stephanie'!$B$6:$B$300,$A20,'Stephanie'!$F$6:$F$300,"Concluído")+COUNTIFS('Fox'!$B$6:$B$300,$A20,'Fox'!$F$6:$F$300,"Concluído")+COUNTIFS('Bruna'!$B$6:$B$300,$A20,'Bruna'!$F$6:$F$300,"Concluído")+COUNTIFS('Stella'!$B$6:$B$300,$A20,'Stella'!$F$6:$F$300,"Concluído")+COUNTIFS('Igor'!$B$6:$B$300,$A20,'Igor'!$F$6:$F$300,"Concluído"))&amp;" / "&amp;(COUNTIF('Clarice'!$B$6:$B$300,$A20)+COUNTIF('Luisa'!$B$6:$B$300,$A20)+COUNTIF('Lui'!$B$6:$B$300,$A20)+COUNTIF('Thaís'!$B$6:$B$300,$A20)+COUNTIF('Daniel'!$B$6:$B$300,$A20)+COUNTIF('Fernando'!$B$6:$B$300,$A20)+COUNTIF('Stephanie'!$B$6:$B$300,$A20)+COUNTIF('Fox'!$B$6:$B$300,$A20)+COUNTIF('Bruna'!$B$6:$B$300,$A20)+COUNTIF('Stella'!$B$6:$B$300,$A20)+COUNTIF('Igor'!$B$6:$B$300,$A20)))</f>
        <v/>
      </c>
      <c r="K20" s="18" t="n">
        <v>46181</v>
      </c>
      <c r="L20" s="18" t="n">
        <v>46185</v>
      </c>
      <c r="M20" s="18" t="n">
        <v>46181</v>
      </c>
      <c r="N20" s="18" t="n">
        <v>46213</v>
      </c>
      <c r="O20" s="19" t="n"/>
      <c r="P20" s="20">
        <f>IF($A20="","",IF(M20&lt;&gt;"",M20,IF(K20&lt;&gt;"",K20,"")))</f>
        <v/>
      </c>
      <c r="Q20" s="20">
        <f>IF($A20="","",IF(N20&lt;&gt;"",N20,IF(L20&lt;&gt;"",L20,"")))</f>
        <v/>
      </c>
      <c r="R20" s="15" t="n"/>
      <c r="S20" s="16">
        <f t="array" ref="S20">IF($A20="","",_xlfn.TEXTJOIN(CHAR(10),TRUE,IF('Clarice'!$B$6:$B$300=$A20,"Clarice"&amp;IF('Clarice'!$E$6:$E$300="",""," : "&amp;'Clarice'!$E$6:$E$300)&amp;" ["&amp;'Clarice'!$F$6:$F$300&amp;"]",""),IF('Luisa'!$B$6:$B$300=$A20,"Luisa"&amp;IF('Luisa'!$E$6:$E$300="",""," : "&amp;'Luisa'!$E$6:$E$300)&amp;" ["&amp;'Luisa'!$F$6:$F$300&amp;"]",""),IF('Lui'!$B$6:$B$300=$A20,"Lui"&amp;IF('Lui'!$E$6:$E$300="",""," : "&amp;'Lui'!$E$6:$E$300)&amp;" ["&amp;'Lui'!$F$6:$F$300&amp;"]",""),IF('Thaís'!$B$6:$B$300=$A20,"Thaís"&amp;IF('Thaís'!$E$6:$E$300="",""," : "&amp;'Thaís'!$E$6:$E$300)&amp;" ["&amp;'Thaís'!$F$6:$F$300&amp;"]",""),IF('Daniel'!$B$6:$B$300=$A20,"Daniel"&amp;IF('Daniel'!$E$6:$E$300="",""," : "&amp;'Daniel'!$E$6:$E$300)&amp;" ["&amp;'Daniel'!$F$6:$F$300&amp;"]",""),IF('Fernando'!$B$6:$B$300=$A20,"Fernando"&amp;IF('Fernando'!$E$6:$E$300="",""," : "&amp;'Fernando'!$E$6:$E$300)&amp;" ["&amp;'Fernando'!$F$6:$F$300&amp;"]",""),IF('Stephanie'!$B$6:$B$300=$A20,"Stephanie"&amp;IF('Stephanie'!$E$6:$E$300="",""," : "&amp;'Stephanie'!$E$6:$E$300)&amp;" ["&amp;'Stephanie'!$F$6:$F$300&amp;"]",""),IF('Fox'!$B$6:$B$300=$A20,"Fox"&amp;IF('Fox'!$E$6:$E$300="",""," : "&amp;'Fox'!$E$6:$E$300)&amp;" ["&amp;'Fox'!$F$6:$F$300&amp;"]",""),IF('Bruna'!$B$6:$B$300=$A20,"Bruna"&amp;IF('Bruna'!$E$6:$E$300="",""," : "&amp;'Bruna'!$E$6:$E$300)&amp;" ["&amp;'Bruna'!$F$6:$F$300&amp;"]",""),IF('Stella'!$B$6:$B$300=$A20,"Stella"&amp;IF('Stella'!$E$6:$E$300="",""," : "&amp;'Stella'!$E$6:$E$300)&amp;" ["&amp;'Stella'!$F$6:$F$300&amp;"]",""),IF('Igor'!$B$6:$B$300=$A20,"Igor"&amp;IF('Igor'!$E$6:$E$300="",""," : "&amp;'Igor'!$E$6:$E$300)&amp;" ["&amp;'Igor'!$F$6:$F$300&amp;"]","")))</f>
        <v/>
      </c>
    </row>
    <row r="21" ht="15.5" customHeight="1">
      <c r="A21" s="13" t="inlineStr">
        <is>
          <t>ART-014</t>
        </is>
      </c>
      <c r="B21" s="14" t="inlineStr">
        <is>
          <t>Extra - Artigo</t>
        </is>
      </c>
      <c r="C21" s="14" t="inlineStr">
        <is>
          <t>1. Elaboração do artigo sobre a caixa de ferramentas</t>
        </is>
      </c>
      <c r="D21" s="14" t="n"/>
      <c r="E21" s="15" t="inlineStr">
        <is>
          <t>Revisão pela Petrobras</t>
        </is>
      </c>
      <c r="F21" s="13" t="inlineStr">
        <is>
          <t>Thaís</t>
        </is>
      </c>
      <c r="G21" s="16">
        <f>IF($A21="","",_xlfn.TEXTJOIN("; ",TRUE,IF(COUNTIF('Clarice'!$B$6:$B$300,$A21)&gt;0,"Clarice",""),IF(COUNTIF('Luisa'!$B$6:$B$300,$A21)&gt;0,"Luisa",""),IF(COUNTIF('Lui'!$B$6:$B$300,$A21)&gt;0,"Lui",""),IF(COUNTIF('Thaís'!$B$6:$B$300,$A21)&gt;0,"Thaís",""),IF(COUNTIF('Daniel'!$B$6:$B$300,$A21)&gt;0,"Daniel",""),IF(COUNTIF('Fernando'!$B$6:$B$300,$A21)&gt;0,"Fernando",""),IF(COUNTIF('Stephanie'!$B$6:$B$300,$A21)&gt;0,"Stephanie",""),IF(COUNTIF('Fox'!$B$6:$B$300,$A21)&gt;0,"Fox",""),IF(COUNTIF('Bruna'!$B$6:$B$300,$A21)&gt;0,"Bruna",""),IF(COUNTIF('Stella'!$B$6:$B$300,$A21)&gt;0,"Stella",""),IF(COUNTIF('Igor'!$B$6:$B$300,$A21)&gt;0,"Igor","")))</f>
        <v/>
      </c>
      <c r="H21" s="13" t="n"/>
      <c r="I21" s="13" t="inlineStr">
        <is>
          <t>Concluído</t>
        </is>
      </c>
      <c r="J21" s="17">
        <f>IF(OR($A21="",(COUNTIF('Clarice'!$B$6:$B$300,$A21)+COUNTIF('Luisa'!$B$6:$B$300,$A21)+COUNTIF('Lui'!$B$6:$B$300,$A21)+COUNTIF('Thaís'!$B$6:$B$300,$A21)+COUNTIF('Daniel'!$B$6:$B$300,$A21)+COUNTIF('Fernando'!$B$6:$B$300,$A21)+COUNTIF('Stephanie'!$B$6:$B$300,$A21)+COUNTIF('Fox'!$B$6:$B$300,$A21)+COUNTIF('Bruna'!$B$6:$B$300,$A21)+COUNTIF('Stella'!$B$6:$B$300,$A21)+COUNTIF('Igor'!$B$6:$B$300,$A21))=0),"",(COUNTIFS('Clarice'!$B$6:$B$300,$A21,'Clarice'!$F$6:$F$300,"Concluído")+COUNTIFS('Luisa'!$B$6:$B$300,$A21,'Luisa'!$F$6:$F$300,"Concluído")+COUNTIFS('Lui'!$B$6:$B$300,$A21,'Lui'!$F$6:$F$300,"Concluído")+COUNTIFS('Thaís'!$B$6:$B$300,$A21,'Thaís'!$F$6:$F$300,"Concluído")+COUNTIFS('Daniel'!$B$6:$B$300,$A21,'Daniel'!$F$6:$F$300,"Concluído")+COUNTIFS('Fernando'!$B$6:$B$300,$A21,'Fernando'!$F$6:$F$300,"Concluído")+COUNTIFS('Stephanie'!$B$6:$B$300,$A21,'Stephanie'!$F$6:$F$300,"Concluído")+COUNTIFS('Fox'!$B$6:$B$300,$A21,'Fox'!$F$6:$F$300,"Concluído")+COUNTIFS('Bruna'!$B$6:$B$300,$A21,'Bruna'!$F$6:$F$300,"Concluído")+COUNTIFS('Stella'!$B$6:$B$300,$A21,'Stella'!$F$6:$F$300,"Concluído")+COUNTIFS('Igor'!$B$6:$B$300,$A21,'Igor'!$F$6:$F$300,"Concluído"))&amp;" / "&amp;(COUNTIF('Clarice'!$B$6:$B$300,$A21)+COUNTIF('Luisa'!$B$6:$B$300,$A21)+COUNTIF('Lui'!$B$6:$B$300,$A21)+COUNTIF('Thaís'!$B$6:$B$300,$A21)+COUNTIF('Daniel'!$B$6:$B$300,$A21)+COUNTIF('Fernando'!$B$6:$B$300,$A21)+COUNTIF('Stephanie'!$B$6:$B$300,$A21)+COUNTIF('Fox'!$B$6:$B$300,$A21)+COUNTIF('Bruna'!$B$6:$B$300,$A21)+COUNTIF('Stella'!$B$6:$B$300,$A21)+COUNTIF('Igor'!$B$6:$B$300,$A21)))</f>
        <v/>
      </c>
      <c r="K21" s="18" t="n">
        <v>46146</v>
      </c>
      <c r="L21" s="18" t="n">
        <v>46157</v>
      </c>
      <c r="M21" s="18" t="n">
        <v>46146</v>
      </c>
      <c r="N21" s="18" t="n">
        <v>46220</v>
      </c>
      <c r="O21" s="19" t="n"/>
      <c r="P21" s="20">
        <f>IF($A21="","",IF(M21&lt;&gt;"",M21,IF(K21&lt;&gt;"",K21,"")))</f>
        <v/>
      </c>
      <c r="Q21" s="20">
        <f>IF($A21="","",IF(N21&lt;&gt;"",N21,IF(L21&lt;&gt;"",L21,"")))</f>
        <v/>
      </c>
      <c r="R21" s="15" t="n"/>
      <c r="S21" s="16">
        <f t="array" ref="S21">IF($A21="","",_xlfn.TEXTJOIN(CHAR(10),TRUE,IF('Clarice'!$B$6:$B$300=$A21,"Clarice"&amp;IF('Clarice'!$E$6:$E$300="",""," : "&amp;'Clarice'!$E$6:$E$300)&amp;" ["&amp;'Clarice'!$F$6:$F$300&amp;"]",""),IF('Luisa'!$B$6:$B$300=$A21,"Luisa"&amp;IF('Luisa'!$E$6:$E$300="",""," : "&amp;'Luisa'!$E$6:$E$300)&amp;" ["&amp;'Luisa'!$F$6:$F$300&amp;"]",""),IF('Lui'!$B$6:$B$300=$A21,"Lui"&amp;IF('Lui'!$E$6:$E$300="",""," : "&amp;'Lui'!$E$6:$E$300)&amp;" ["&amp;'Lui'!$F$6:$F$300&amp;"]",""),IF('Thaís'!$B$6:$B$300=$A21,"Thaís"&amp;IF('Thaís'!$E$6:$E$300="",""," : "&amp;'Thaís'!$E$6:$E$300)&amp;" ["&amp;'Thaís'!$F$6:$F$300&amp;"]",""),IF('Daniel'!$B$6:$B$300=$A21,"Daniel"&amp;IF('Daniel'!$E$6:$E$300="",""," : "&amp;'Daniel'!$E$6:$E$300)&amp;" ["&amp;'Daniel'!$F$6:$F$300&amp;"]",""),IF('Fernando'!$B$6:$B$300=$A21,"Fernando"&amp;IF('Fernando'!$E$6:$E$300="",""," : "&amp;'Fernando'!$E$6:$E$300)&amp;" ["&amp;'Fernando'!$F$6:$F$300&amp;"]",""),IF('Stephanie'!$B$6:$B$300=$A21,"Stephanie"&amp;IF('Stephanie'!$E$6:$E$300="",""," : "&amp;'Stephanie'!$E$6:$E$300)&amp;" ["&amp;'Stephanie'!$F$6:$F$300&amp;"]",""),IF('Fox'!$B$6:$B$300=$A21,"Fox"&amp;IF('Fox'!$E$6:$E$300="",""," : "&amp;'Fox'!$E$6:$E$300)&amp;" ["&amp;'Fox'!$F$6:$F$300&amp;"]",""),IF('Bruna'!$B$6:$B$300=$A21,"Bruna"&amp;IF('Bruna'!$E$6:$E$300="",""," : "&amp;'Bruna'!$E$6:$E$300)&amp;" ["&amp;'Bruna'!$F$6:$F$300&amp;"]",""),IF('Stella'!$B$6:$B$300=$A21,"Stella"&amp;IF('Stella'!$E$6:$E$300="",""," : "&amp;'Stella'!$E$6:$E$300)&amp;" ["&amp;'Stella'!$F$6:$F$300&amp;"]",""),IF('Igor'!$B$6:$B$300=$A21,"Igor"&amp;IF('Igor'!$E$6:$E$300="",""," : "&amp;'Igor'!$E$6:$E$300)&amp;" ["&amp;'Igor'!$F$6:$F$300&amp;"]","")))</f>
        <v/>
      </c>
    </row>
    <row r="22" ht="28" customHeight="1">
      <c r="A22" s="13" t="inlineStr">
        <is>
          <t>ART-015</t>
        </is>
      </c>
      <c r="B22" s="14" t="inlineStr">
        <is>
          <t>Extra - Artigo</t>
        </is>
      </c>
      <c r="C22" s="14" t="inlineStr">
        <is>
          <t>1. Elaboração do artigo sobre a caixa de ferramentas</t>
        </is>
      </c>
      <c r="D22" s="14" t="n"/>
      <c r="E22" s="15" t="inlineStr">
        <is>
          <t>Artigo recebido pela Petrobras</t>
        </is>
      </c>
      <c r="F22" s="13" t="inlineStr">
        <is>
          <t>Thaís</t>
        </is>
      </c>
      <c r="G22" s="16">
        <f>IF($A22="","",_xlfn.TEXTJOIN("; ",TRUE,IF(COUNTIF('Clarice'!$B$6:$B$300,$A22)&gt;0,"Clarice",""),IF(COUNTIF('Luisa'!$B$6:$B$300,$A22)&gt;0,"Luisa",""),IF(COUNTIF('Lui'!$B$6:$B$300,$A22)&gt;0,"Lui",""),IF(COUNTIF('Thaís'!$B$6:$B$300,$A22)&gt;0,"Thaís",""),IF(COUNTIF('Daniel'!$B$6:$B$300,$A22)&gt;0,"Daniel",""),IF(COUNTIF('Fernando'!$B$6:$B$300,$A22)&gt;0,"Fernando",""),IF(COUNTIF('Stephanie'!$B$6:$B$300,$A22)&gt;0,"Stephanie",""),IF(COUNTIF('Fox'!$B$6:$B$300,$A22)&gt;0,"Fox",""),IF(COUNTIF('Bruna'!$B$6:$B$300,$A22)&gt;0,"Bruna",""),IF(COUNTIF('Stella'!$B$6:$B$300,$A22)&gt;0,"Stella",""),IF(COUNTIF('Igor'!$B$6:$B$300,$A22)&gt;0,"Igor","")))</f>
        <v/>
      </c>
      <c r="H22" s="13" t="n"/>
      <c r="I22" s="13" t="inlineStr">
        <is>
          <t>Concluído</t>
        </is>
      </c>
      <c r="J22" s="17">
        <f>IF(OR($A22="",(COUNTIF('Clarice'!$B$6:$B$300,$A22)+COUNTIF('Luisa'!$B$6:$B$300,$A22)+COUNTIF('Lui'!$B$6:$B$300,$A22)+COUNTIF('Thaís'!$B$6:$B$300,$A22)+COUNTIF('Daniel'!$B$6:$B$300,$A22)+COUNTIF('Fernando'!$B$6:$B$300,$A22)+COUNTIF('Stephanie'!$B$6:$B$300,$A22)+COUNTIF('Fox'!$B$6:$B$300,$A22)+COUNTIF('Bruna'!$B$6:$B$300,$A22)+COUNTIF('Stella'!$B$6:$B$300,$A22)+COUNTIF('Igor'!$B$6:$B$300,$A22))=0),"",(COUNTIFS('Clarice'!$B$6:$B$300,$A22,'Clarice'!$F$6:$F$300,"Concluído")+COUNTIFS('Luisa'!$B$6:$B$300,$A22,'Luisa'!$F$6:$F$300,"Concluído")+COUNTIFS('Lui'!$B$6:$B$300,$A22,'Lui'!$F$6:$F$300,"Concluído")+COUNTIFS('Thaís'!$B$6:$B$300,$A22,'Thaís'!$F$6:$F$300,"Concluído")+COUNTIFS('Daniel'!$B$6:$B$300,$A22,'Daniel'!$F$6:$F$300,"Concluído")+COUNTIFS('Fernando'!$B$6:$B$300,$A22,'Fernando'!$F$6:$F$300,"Concluído")+COUNTIFS('Stephanie'!$B$6:$B$300,$A22,'Stephanie'!$F$6:$F$300,"Concluído")+COUNTIFS('Fox'!$B$6:$B$300,$A22,'Fox'!$F$6:$F$300,"Concluído")+COUNTIFS('Bruna'!$B$6:$B$300,$A22,'Bruna'!$F$6:$F$300,"Concluído")+COUNTIFS('Stella'!$B$6:$B$300,$A22,'Stella'!$F$6:$F$300,"Concluído")+COUNTIFS('Igor'!$B$6:$B$300,$A22,'Igor'!$F$6:$F$300,"Concluído"))&amp;" / "&amp;(COUNTIF('Clarice'!$B$6:$B$300,$A22)+COUNTIF('Luisa'!$B$6:$B$300,$A22)+COUNTIF('Lui'!$B$6:$B$300,$A22)+COUNTIF('Thaís'!$B$6:$B$300,$A22)+COUNTIF('Daniel'!$B$6:$B$300,$A22)+COUNTIF('Fernando'!$B$6:$B$300,$A22)+COUNTIF('Stephanie'!$B$6:$B$300,$A22)+COUNTIF('Fox'!$B$6:$B$300,$A22)+COUNTIF('Bruna'!$B$6:$B$300,$A22)+COUNTIF('Stella'!$B$6:$B$300,$A22)+COUNTIF('Igor'!$B$6:$B$300,$A22)))</f>
        <v/>
      </c>
      <c r="K22" s="19" t="n"/>
      <c r="L22" s="19" t="n"/>
      <c r="M22" s="18" t="n">
        <v>46204</v>
      </c>
      <c r="N22" s="18" t="n">
        <v>46220</v>
      </c>
      <c r="O22" s="19" t="n"/>
      <c r="P22" s="20">
        <f>IF($A22="","",IF(M22&lt;&gt;"",M22,IF(K22&lt;&gt;"",K22,"")))</f>
        <v/>
      </c>
      <c r="Q22" s="20">
        <f>IF($A22="","",IF(N22&lt;&gt;"",N22,IF(L22&lt;&gt;"",L22,"")))</f>
        <v/>
      </c>
      <c r="R22" s="15" t="n"/>
      <c r="S22" s="16">
        <f t="array" ref="S22">IF($A22="","",_xlfn.TEXTJOIN(CHAR(10),TRUE,IF('Clarice'!$B$6:$B$300=$A22,"Clarice"&amp;IF('Clarice'!$E$6:$E$300="",""," : "&amp;'Clarice'!$E$6:$E$300)&amp;" ["&amp;'Clarice'!$F$6:$F$300&amp;"]",""),IF('Luisa'!$B$6:$B$300=$A22,"Luisa"&amp;IF('Luisa'!$E$6:$E$300="",""," : "&amp;'Luisa'!$E$6:$E$300)&amp;" ["&amp;'Luisa'!$F$6:$F$300&amp;"]",""),IF('Lui'!$B$6:$B$300=$A22,"Lui"&amp;IF('Lui'!$E$6:$E$300="",""," : "&amp;'Lui'!$E$6:$E$300)&amp;" ["&amp;'Lui'!$F$6:$F$300&amp;"]",""),IF('Thaís'!$B$6:$B$300=$A22,"Thaís"&amp;IF('Thaís'!$E$6:$E$300="",""," : "&amp;'Thaís'!$E$6:$E$300)&amp;" ["&amp;'Thaís'!$F$6:$F$300&amp;"]",""),IF('Daniel'!$B$6:$B$300=$A22,"Daniel"&amp;IF('Daniel'!$E$6:$E$300="",""," : "&amp;'Daniel'!$E$6:$E$300)&amp;" ["&amp;'Daniel'!$F$6:$F$300&amp;"]",""),IF('Fernando'!$B$6:$B$300=$A22,"Fernando"&amp;IF('Fernando'!$E$6:$E$300="",""," : "&amp;'Fernando'!$E$6:$E$300)&amp;" ["&amp;'Fernando'!$F$6:$F$300&amp;"]",""),IF('Stephanie'!$B$6:$B$300=$A22,"Stephanie"&amp;IF('Stephanie'!$E$6:$E$300="",""," : "&amp;'Stephanie'!$E$6:$E$300)&amp;" ["&amp;'Stephanie'!$F$6:$F$300&amp;"]",""),IF('Fox'!$B$6:$B$300=$A22,"Fox"&amp;IF('Fox'!$E$6:$E$300="",""," : "&amp;'Fox'!$E$6:$E$300)&amp;" ["&amp;'Fox'!$F$6:$F$300&amp;"]",""),IF('Bruna'!$B$6:$B$300=$A22,"Bruna"&amp;IF('Bruna'!$E$6:$E$300="",""," : "&amp;'Bruna'!$E$6:$E$300)&amp;" ["&amp;'Bruna'!$F$6:$F$300&amp;"]",""),IF('Stella'!$B$6:$B$300=$A22,"Stella"&amp;IF('Stella'!$E$6:$E$300="",""," : "&amp;'Stella'!$E$6:$E$300)&amp;" ["&amp;'Stella'!$F$6:$F$300&amp;"]",""),IF('Igor'!$B$6:$B$300=$A22,"Igor"&amp;IF('Igor'!$E$6:$E$300="",""," : "&amp;'Igor'!$E$6:$E$300)&amp;" ["&amp;'Igor'!$F$6:$F$300&amp;"]","")))</f>
        <v/>
      </c>
    </row>
    <row r="23" ht="40.5" customHeight="1">
      <c r="A23" s="13" t="inlineStr">
        <is>
          <t>ART-016</t>
        </is>
      </c>
      <c r="B23" s="14" t="inlineStr">
        <is>
          <t>Extra - Artigo</t>
        </is>
      </c>
      <c r="C23" s="14" t="inlineStr">
        <is>
          <t>1. Elaboração do artigo sobre a caixa de ferramentas</t>
        </is>
      </c>
      <c r="D23" s="14" t="n"/>
      <c r="E23" s="15" t="inlineStr">
        <is>
          <t>Incorporar os ajustes da Petrobras</t>
        </is>
      </c>
      <c r="F23" s="13" t="inlineStr">
        <is>
          <t>Thaís</t>
        </is>
      </c>
      <c r="G23" s="16">
        <f>IF($A23="","",_xlfn.TEXTJOIN("; ",TRUE,IF(COUNTIF('Clarice'!$B$6:$B$300,$A23)&gt;0,"Clarice",""),IF(COUNTIF('Luisa'!$B$6:$B$300,$A23)&gt;0,"Luisa",""),IF(COUNTIF('Lui'!$B$6:$B$300,$A23)&gt;0,"Lui",""),IF(COUNTIF('Thaís'!$B$6:$B$300,$A23)&gt;0,"Thaís",""),IF(COUNTIF('Daniel'!$B$6:$B$300,$A23)&gt;0,"Daniel",""),IF(COUNTIF('Fernando'!$B$6:$B$300,$A23)&gt;0,"Fernando",""),IF(COUNTIF('Stephanie'!$B$6:$B$300,$A23)&gt;0,"Stephanie",""),IF(COUNTIF('Fox'!$B$6:$B$300,$A23)&gt;0,"Fox",""),IF(COUNTIF('Bruna'!$B$6:$B$300,$A23)&gt;0,"Bruna",""),IF(COUNTIF('Stella'!$B$6:$B$300,$A23)&gt;0,"Stella",""),IF(COUNTIF('Igor'!$B$6:$B$300,$A23)&gt;0,"Igor","")))</f>
        <v/>
      </c>
      <c r="H23" s="13" t="n"/>
      <c r="I23" s="13" t="inlineStr">
        <is>
          <t>Em andamento</t>
        </is>
      </c>
      <c r="J23" s="17">
        <f>IF(OR($A23="",(COUNTIF('Clarice'!$B$6:$B$300,$A23)+COUNTIF('Luisa'!$B$6:$B$300,$A23)+COUNTIF('Lui'!$B$6:$B$300,$A23)+COUNTIF('Thaís'!$B$6:$B$300,$A23)+COUNTIF('Daniel'!$B$6:$B$300,$A23)+COUNTIF('Fernando'!$B$6:$B$300,$A23)+COUNTIF('Stephanie'!$B$6:$B$300,$A23)+COUNTIF('Fox'!$B$6:$B$300,$A23)+COUNTIF('Bruna'!$B$6:$B$300,$A23)+COUNTIF('Stella'!$B$6:$B$300,$A23)+COUNTIF('Igor'!$B$6:$B$300,$A23))=0),"",(COUNTIFS('Clarice'!$B$6:$B$300,$A23,'Clarice'!$F$6:$F$300,"Concluído")+COUNTIFS('Luisa'!$B$6:$B$300,$A23,'Luisa'!$F$6:$F$300,"Concluído")+COUNTIFS('Lui'!$B$6:$B$300,$A23,'Lui'!$F$6:$F$300,"Concluído")+COUNTIFS('Thaís'!$B$6:$B$300,$A23,'Thaís'!$F$6:$F$300,"Concluído")+COUNTIFS('Daniel'!$B$6:$B$300,$A23,'Daniel'!$F$6:$F$300,"Concluído")+COUNTIFS('Fernando'!$B$6:$B$300,$A23,'Fernando'!$F$6:$F$300,"Concluído")+COUNTIFS('Stephanie'!$B$6:$B$300,$A23,'Stephanie'!$F$6:$F$300,"Concluído")+COUNTIFS('Fox'!$B$6:$B$300,$A23,'Fox'!$F$6:$F$300,"Concluído")+COUNTIFS('Bruna'!$B$6:$B$300,$A23,'Bruna'!$F$6:$F$300,"Concluído")+COUNTIFS('Stella'!$B$6:$B$300,$A23,'Stella'!$F$6:$F$300,"Concluído")+COUNTIFS('Igor'!$B$6:$B$300,$A23,'Igor'!$F$6:$F$300,"Concluído"))&amp;" / "&amp;(COUNTIF('Clarice'!$B$6:$B$300,$A23)+COUNTIF('Luisa'!$B$6:$B$300,$A23)+COUNTIF('Lui'!$B$6:$B$300,$A23)+COUNTIF('Thaís'!$B$6:$B$300,$A23)+COUNTIF('Daniel'!$B$6:$B$300,$A23)+COUNTIF('Fernando'!$B$6:$B$300,$A23)+COUNTIF('Stephanie'!$B$6:$B$300,$A23)+COUNTIF('Fox'!$B$6:$B$300,$A23)+COUNTIF('Bruna'!$B$6:$B$300,$A23)+COUNTIF('Stella'!$B$6:$B$300,$A23)+COUNTIF('Igor'!$B$6:$B$300,$A23)))</f>
        <v/>
      </c>
      <c r="K23" s="18" t="n">
        <v>46160</v>
      </c>
      <c r="L23" s="18" t="n">
        <v>46171</v>
      </c>
      <c r="M23" s="18" t="n">
        <v>46160</v>
      </c>
      <c r="N23" s="18" t="n">
        <v>46241</v>
      </c>
      <c r="O23" s="19" t="n"/>
      <c r="P23" s="20">
        <f>IF($A23="","",IF(M23&lt;&gt;"",M23,IF(K23&lt;&gt;"",K23,"")))</f>
        <v/>
      </c>
      <c r="Q23" s="20">
        <f>IF($A23="","",IF(N23&lt;&gt;"",N23,IF(L23&lt;&gt;"",L23,"")))</f>
        <v/>
      </c>
      <c r="R23" s="15" t="n"/>
      <c r="S23" s="16">
        <f t="array" ref="S23">IF($A23="","",_xlfn.TEXTJOIN(CHAR(10),TRUE,IF('Clarice'!$B$6:$B$300=$A23,"Clarice"&amp;IF('Clarice'!$E$6:$E$300="",""," : "&amp;'Clarice'!$E$6:$E$300)&amp;" ["&amp;'Clarice'!$F$6:$F$300&amp;"]",""),IF('Luisa'!$B$6:$B$300=$A23,"Luisa"&amp;IF('Luisa'!$E$6:$E$300="",""," : "&amp;'Luisa'!$E$6:$E$300)&amp;" ["&amp;'Luisa'!$F$6:$F$300&amp;"]",""),IF('Lui'!$B$6:$B$300=$A23,"Lui"&amp;IF('Lui'!$E$6:$E$300="",""," : "&amp;'Lui'!$E$6:$E$300)&amp;" ["&amp;'Lui'!$F$6:$F$300&amp;"]",""),IF('Thaís'!$B$6:$B$300=$A23,"Thaís"&amp;IF('Thaís'!$E$6:$E$300="",""," : "&amp;'Thaís'!$E$6:$E$300)&amp;" ["&amp;'Thaís'!$F$6:$F$300&amp;"]",""),IF('Daniel'!$B$6:$B$300=$A23,"Daniel"&amp;IF('Daniel'!$E$6:$E$300="",""," : "&amp;'Daniel'!$E$6:$E$300)&amp;" ["&amp;'Daniel'!$F$6:$F$300&amp;"]",""),IF('Fernando'!$B$6:$B$300=$A23,"Fernando"&amp;IF('Fernando'!$E$6:$E$300="",""," : "&amp;'Fernando'!$E$6:$E$300)&amp;" ["&amp;'Fernando'!$F$6:$F$300&amp;"]",""),IF('Stephanie'!$B$6:$B$300=$A23,"Stephanie"&amp;IF('Stephanie'!$E$6:$E$300="",""," : "&amp;'Stephanie'!$E$6:$E$300)&amp;" ["&amp;'Stephanie'!$F$6:$F$300&amp;"]",""),IF('Fox'!$B$6:$B$300=$A23,"Fox"&amp;IF('Fox'!$E$6:$E$300="",""," : "&amp;'Fox'!$E$6:$E$300)&amp;" ["&amp;'Fox'!$F$6:$F$300&amp;"]",""),IF('Bruna'!$B$6:$B$300=$A23,"Bruna"&amp;IF('Bruna'!$E$6:$E$300="",""," : "&amp;'Bruna'!$E$6:$E$300)&amp;" ["&amp;'Bruna'!$F$6:$F$300&amp;"]",""),IF('Stella'!$B$6:$B$300=$A23,"Stella"&amp;IF('Stella'!$E$6:$E$300="",""," : "&amp;'Stella'!$E$6:$E$300)&amp;" ["&amp;'Stella'!$F$6:$F$300&amp;"]",""),IF('Igor'!$B$6:$B$300=$A23,"Igor"&amp;IF('Igor'!$E$6:$E$300="",""," : "&amp;'Igor'!$E$6:$E$300)&amp;" ["&amp;'Igor'!$F$6:$F$300&amp;"]","")))</f>
        <v/>
      </c>
    </row>
    <row r="24" ht="15.5" customHeight="1">
      <c r="A24" s="13" t="inlineStr">
        <is>
          <t>ART-017</t>
        </is>
      </c>
      <c r="B24" s="14" t="inlineStr">
        <is>
          <t>Extra - Artigo</t>
        </is>
      </c>
      <c r="C24" s="14" t="inlineStr">
        <is>
          <t>1. Elaboração do artigo sobre a caixa de ferramentas</t>
        </is>
      </c>
      <c r="D24" s="14" t="n"/>
      <c r="E24" s="15" t="inlineStr">
        <is>
          <t>Enviar para revisão da Bruna</t>
        </is>
      </c>
      <c r="F24" s="13" t="inlineStr">
        <is>
          <t>Thaís</t>
        </is>
      </c>
      <c r="G24" s="16">
        <f>IF($A24="","",_xlfn.TEXTJOIN("; ",TRUE,IF(COUNTIF('Clarice'!$B$6:$B$300,$A24)&gt;0,"Clarice",""),IF(COUNTIF('Luisa'!$B$6:$B$300,$A24)&gt;0,"Luisa",""),IF(COUNTIF('Lui'!$B$6:$B$300,$A24)&gt;0,"Lui",""),IF(COUNTIF('Thaís'!$B$6:$B$300,$A24)&gt;0,"Thaís",""),IF(COUNTIF('Daniel'!$B$6:$B$300,$A24)&gt;0,"Daniel",""),IF(COUNTIF('Fernando'!$B$6:$B$300,$A24)&gt;0,"Fernando",""),IF(COUNTIF('Stephanie'!$B$6:$B$300,$A24)&gt;0,"Stephanie",""),IF(COUNTIF('Fox'!$B$6:$B$300,$A24)&gt;0,"Fox",""),IF(COUNTIF('Bruna'!$B$6:$B$300,$A24)&gt;0,"Bruna",""),IF(COUNTIF('Stella'!$B$6:$B$300,$A24)&gt;0,"Stella",""),IF(COUNTIF('Igor'!$B$6:$B$300,$A24)&gt;0,"Igor","")))</f>
        <v/>
      </c>
      <c r="H24" s="13" t="n"/>
      <c r="I24" s="13" t="inlineStr">
        <is>
          <t>Não iniciado</t>
        </is>
      </c>
      <c r="J24" s="17">
        <f>IF(OR($A24="",(COUNTIF('Clarice'!$B$6:$B$300,$A24)+COUNTIF('Luisa'!$B$6:$B$300,$A24)+COUNTIF('Lui'!$B$6:$B$300,$A24)+COUNTIF('Thaís'!$B$6:$B$300,$A24)+COUNTIF('Daniel'!$B$6:$B$300,$A24)+COUNTIF('Fernando'!$B$6:$B$300,$A24)+COUNTIF('Stephanie'!$B$6:$B$300,$A24)+COUNTIF('Fox'!$B$6:$B$300,$A24)+COUNTIF('Bruna'!$B$6:$B$300,$A24)+COUNTIF('Stella'!$B$6:$B$300,$A24)+COUNTIF('Igor'!$B$6:$B$300,$A24))=0),"",(COUNTIFS('Clarice'!$B$6:$B$300,$A24,'Clarice'!$F$6:$F$300,"Concluído")+COUNTIFS('Luisa'!$B$6:$B$300,$A24,'Luisa'!$F$6:$F$300,"Concluído")+COUNTIFS('Lui'!$B$6:$B$300,$A24,'Lui'!$F$6:$F$300,"Concluído")+COUNTIFS('Thaís'!$B$6:$B$300,$A24,'Thaís'!$F$6:$F$300,"Concluído")+COUNTIFS('Daniel'!$B$6:$B$300,$A24,'Daniel'!$F$6:$F$300,"Concluído")+COUNTIFS('Fernando'!$B$6:$B$300,$A24,'Fernando'!$F$6:$F$300,"Concluído")+COUNTIFS('Stephanie'!$B$6:$B$300,$A24,'Stephanie'!$F$6:$F$300,"Concluído")+COUNTIFS('Fox'!$B$6:$B$300,$A24,'Fox'!$F$6:$F$300,"Concluído")+COUNTIFS('Bruna'!$B$6:$B$300,$A24,'Bruna'!$F$6:$F$300,"Concluído")+COUNTIFS('Stella'!$B$6:$B$300,$A24,'Stella'!$F$6:$F$300,"Concluído")+COUNTIFS('Igor'!$B$6:$B$300,$A24,'Igor'!$F$6:$F$300,"Concluído"))&amp;" / "&amp;(COUNTIF('Clarice'!$B$6:$B$300,$A24)+COUNTIF('Luisa'!$B$6:$B$300,$A24)+COUNTIF('Lui'!$B$6:$B$300,$A24)+COUNTIF('Thaís'!$B$6:$B$300,$A24)+COUNTIF('Daniel'!$B$6:$B$300,$A24)+COUNTIF('Fernando'!$B$6:$B$300,$A24)+COUNTIF('Stephanie'!$B$6:$B$300,$A24)+COUNTIF('Fox'!$B$6:$B$300,$A24)+COUNTIF('Bruna'!$B$6:$B$300,$A24)+COUNTIF('Stella'!$B$6:$B$300,$A24)+COUNTIF('Igor'!$B$6:$B$300,$A24)))</f>
        <v/>
      </c>
      <c r="K24" s="19" t="n"/>
      <c r="L24" s="19" t="n"/>
      <c r="M24" s="18" t="n">
        <v>46244</v>
      </c>
      <c r="N24" s="18" t="n">
        <v>46262</v>
      </c>
      <c r="O24" s="19" t="n"/>
      <c r="P24" s="20">
        <f>IF($A24="","",IF(M24&lt;&gt;"",M24,IF(K24&lt;&gt;"",K24,"")))</f>
        <v/>
      </c>
      <c r="Q24" s="20">
        <f>IF($A24="","",IF(N24&lt;&gt;"",N24,IF(L24&lt;&gt;"",L24,"")))</f>
        <v/>
      </c>
      <c r="R24" s="15" t="n"/>
      <c r="S24" s="16">
        <f t="array" ref="S24">IF($A24="","",_xlfn.TEXTJOIN(CHAR(10),TRUE,IF('Clarice'!$B$6:$B$300=$A24,"Clarice"&amp;IF('Clarice'!$E$6:$E$300="",""," : "&amp;'Clarice'!$E$6:$E$300)&amp;" ["&amp;'Clarice'!$F$6:$F$300&amp;"]",""),IF('Luisa'!$B$6:$B$300=$A24,"Luisa"&amp;IF('Luisa'!$E$6:$E$300="",""," : "&amp;'Luisa'!$E$6:$E$300)&amp;" ["&amp;'Luisa'!$F$6:$F$300&amp;"]",""),IF('Lui'!$B$6:$B$300=$A24,"Lui"&amp;IF('Lui'!$E$6:$E$300="",""," : "&amp;'Lui'!$E$6:$E$300)&amp;" ["&amp;'Lui'!$F$6:$F$300&amp;"]",""),IF('Thaís'!$B$6:$B$300=$A24,"Thaís"&amp;IF('Thaís'!$E$6:$E$300="",""," : "&amp;'Thaís'!$E$6:$E$300)&amp;" ["&amp;'Thaís'!$F$6:$F$300&amp;"]",""),IF('Daniel'!$B$6:$B$300=$A24,"Daniel"&amp;IF('Daniel'!$E$6:$E$300="",""," : "&amp;'Daniel'!$E$6:$E$300)&amp;" ["&amp;'Daniel'!$F$6:$F$300&amp;"]",""),IF('Fernando'!$B$6:$B$300=$A24,"Fernando"&amp;IF('Fernando'!$E$6:$E$300="",""," : "&amp;'Fernando'!$E$6:$E$300)&amp;" ["&amp;'Fernando'!$F$6:$F$300&amp;"]",""),IF('Stephanie'!$B$6:$B$300=$A24,"Stephanie"&amp;IF('Stephanie'!$E$6:$E$300="",""," : "&amp;'Stephanie'!$E$6:$E$300)&amp;" ["&amp;'Stephanie'!$F$6:$F$300&amp;"]",""),IF('Fox'!$B$6:$B$300=$A24,"Fox"&amp;IF('Fox'!$E$6:$E$300="",""," : "&amp;'Fox'!$E$6:$E$300)&amp;" ["&amp;'Fox'!$F$6:$F$300&amp;"]",""),IF('Bruna'!$B$6:$B$300=$A24,"Bruna"&amp;IF('Bruna'!$E$6:$E$300="",""," : "&amp;'Bruna'!$E$6:$E$300)&amp;" ["&amp;'Bruna'!$F$6:$F$300&amp;"]",""),IF('Stella'!$B$6:$B$300=$A24,"Stella"&amp;IF('Stella'!$E$6:$E$300="",""," : "&amp;'Stella'!$E$6:$E$300)&amp;" ["&amp;'Stella'!$F$6:$F$300&amp;"]",""),IF('Igor'!$B$6:$B$300=$A24,"Igor"&amp;IF('Igor'!$E$6:$E$300="",""," : "&amp;'Igor'!$E$6:$E$300)&amp;" ["&amp;'Igor'!$F$6:$F$300&amp;"]","")))</f>
        <v/>
      </c>
    </row>
    <row r="25" ht="15.5" customHeight="1">
      <c r="A25" s="13" t="inlineStr">
        <is>
          <t>ART-018</t>
        </is>
      </c>
      <c r="B25" s="14" t="inlineStr">
        <is>
          <t>Extra - Artigo</t>
        </is>
      </c>
      <c r="C25" s="14" t="inlineStr">
        <is>
          <t>1. Elaboração do artigo sobre a caixa de ferramentas</t>
        </is>
      </c>
      <c r="D25" s="14" t="n"/>
      <c r="E25" s="15" t="inlineStr">
        <is>
          <t>Enviar versão final para Petrobras aprovar</t>
        </is>
      </c>
      <c r="F25" s="13" t="inlineStr">
        <is>
          <t>Thaís</t>
        </is>
      </c>
      <c r="G25" s="16">
        <f>IF($A25="","",_xlfn.TEXTJOIN("; ",TRUE,IF(COUNTIF('Clarice'!$B$6:$B$300,$A25)&gt;0,"Clarice",""),IF(COUNTIF('Luisa'!$B$6:$B$300,$A25)&gt;0,"Luisa",""),IF(COUNTIF('Lui'!$B$6:$B$300,$A25)&gt;0,"Lui",""),IF(COUNTIF('Thaís'!$B$6:$B$300,$A25)&gt;0,"Thaís",""),IF(COUNTIF('Daniel'!$B$6:$B$300,$A25)&gt;0,"Daniel",""),IF(COUNTIF('Fernando'!$B$6:$B$300,$A25)&gt;0,"Fernando",""),IF(COUNTIF('Stephanie'!$B$6:$B$300,$A25)&gt;0,"Stephanie",""),IF(COUNTIF('Fox'!$B$6:$B$300,$A25)&gt;0,"Fox",""),IF(COUNTIF('Bruna'!$B$6:$B$300,$A25)&gt;0,"Bruna",""),IF(COUNTIF('Stella'!$B$6:$B$300,$A25)&gt;0,"Stella",""),IF(COUNTIF('Igor'!$B$6:$B$300,$A25)&gt;0,"Igor","")))</f>
        <v/>
      </c>
      <c r="H25" s="13" t="n"/>
      <c r="I25" s="13" t="inlineStr">
        <is>
          <t>Não iniciado</t>
        </is>
      </c>
      <c r="J25" s="17">
        <f>IF(OR($A25="",(COUNTIF('Clarice'!$B$6:$B$300,$A25)+COUNTIF('Luisa'!$B$6:$B$300,$A25)+COUNTIF('Lui'!$B$6:$B$300,$A25)+COUNTIF('Thaís'!$B$6:$B$300,$A25)+COUNTIF('Daniel'!$B$6:$B$300,$A25)+COUNTIF('Fernando'!$B$6:$B$300,$A25)+COUNTIF('Stephanie'!$B$6:$B$300,$A25)+COUNTIF('Fox'!$B$6:$B$300,$A25)+COUNTIF('Bruna'!$B$6:$B$300,$A25)+COUNTIF('Stella'!$B$6:$B$300,$A25)+COUNTIF('Igor'!$B$6:$B$300,$A25))=0),"",(COUNTIFS('Clarice'!$B$6:$B$300,$A25,'Clarice'!$F$6:$F$300,"Concluído")+COUNTIFS('Luisa'!$B$6:$B$300,$A25,'Luisa'!$F$6:$F$300,"Concluído")+COUNTIFS('Lui'!$B$6:$B$300,$A25,'Lui'!$F$6:$F$300,"Concluído")+COUNTIFS('Thaís'!$B$6:$B$300,$A25,'Thaís'!$F$6:$F$300,"Concluído")+COUNTIFS('Daniel'!$B$6:$B$300,$A25,'Daniel'!$F$6:$F$300,"Concluído")+COUNTIFS('Fernando'!$B$6:$B$300,$A25,'Fernando'!$F$6:$F$300,"Concluído")+COUNTIFS('Stephanie'!$B$6:$B$300,$A25,'Stephanie'!$F$6:$F$300,"Concluído")+COUNTIFS('Fox'!$B$6:$B$300,$A25,'Fox'!$F$6:$F$300,"Concluído")+COUNTIFS('Bruna'!$B$6:$B$300,$A25,'Bruna'!$F$6:$F$300,"Concluído")+COUNTIFS('Stella'!$B$6:$B$300,$A25,'Stella'!$F$6:$F$300,"Concluído")+COUNTIFS('Igor'!$B$6:$B$300,$A25,'Igor'!$F$6:$F$300,"Concluído"))&amp;" / "&amp;(COUNTIF('Clarice'!$B$6:$B$300,$A25)+COUNTIF('Luisa'!$B$6:$B$300,$A25)+COUNTIF('Lui'!$B$6:$B$300,$A25)+COUNTIF('Thaís'!$B$6:$B$300,$A25)+COUNTIF('Daniel'!$B$6:$B$300,$A25)+COUNTIF('Fernando'!$B$6:$B$300,$A25)+COUNTIF('Stephanie'!$B$6:$B$300,$A25)+COUNTIF('Fox'!$B$6:$B$300,$A25)+COUNTIF('Bruna'!$B$6:$B$300,$A25)+COUNTIF('Stella'!$B$6:$B$300,$A25)+COUNTIF('Igor'!$B$6:$B$300,$A25)))</f>
        <v/>
      </c>
      <c r="K25" s="19" t="n"/>
      <c r="L25" s="19" t="n"/>
      <c r="M25" s="18" t="n">
        <v>46216</v>
      </c>
      <c r="N25" s="18" t="n">
        <v>46283</v>
      </c>
      <c r="O25" s="19" t="n"/>
      <c r="P25" s="20">
        <f>IF($A25="","",IF(M25&lt;&gt;"",M25,IF(K25&lt;&gt;"",K25,"")))</f>
        <v/>
      </c>
      <c r="Q25" s="20">
        <f>IF($A25="","",IF(N25&lt;&gt;"",N25,IF(L25&lt;&gt;"",L25,"")))</f>
        <v/>
      </c>
      <c r="R25" s="15" t="n"/>
      <c r="S25" s="16">
        <f t="array" ref="S25">IF($A25="","",_xlfn.TEXTJOIN(CHAR(10),TRUE,IF('Clarice'!$B$6:$B$300=$A25,"Clarice"&amp;IF('Clarice'!$E$6:$E$300="",""," : "&amp;'Clarice'!$E$6:$E$300)&amp;" ["&amp;'Clarice'!$F$6:$F$300&amp;"]",""),IF('Luisa'!$B$6:$B$300=$A25,"Luisa"&amp;IF('Luisa'!$E$6:$E$300="",""," : "&amp;'Luisa'!$E$6:$E$300)&amp;" ["&amp;'Luisa'!$F$6:$F$300&amp;"]",""),IF('Lui'!$B$6:$B$300=$A25,"Lui"&amp;IF('Lui'!$E$6:$E$300="",""," : "&amp;'Lui'!$E$6:$E$300)&amp;" ["&amp;'Lui'!$F$6:$F$300&amp;"]",""),IF('Thaís'!$B$6:$B$300=$A25,"Thaís"&amp;IF('Thaís'!$E$6:$E$300="",""," : "&amp;'Thaís'!$E$6:$E$300)&amp;" ["&amp;'Thaís'!$F$6:$F$300&amp;"]",""),IF('Daniel'!$B$6:$B$300=$A25,"Daniel"&amp;IF('Daniel'!$E$6:$E$300="",""," : "&amp;'Daniel'!$E$6:$E$300)&amp;" ["&amp;'Daniel'!$F$6:$F$300&amp;"]",""),IF('Fernando'!$B$6:$B$300=$A25,"Fernando"&amp;IF('Fernando'!$E$6:$E$300="",""," : "&amp;'Fernando'!$E$6:$E$300)&amp;" ["&amp;'Fernando'!$F$6:$F$300&amp;"]",""),IF('Stephanie'!$B$6:$B$300=$A25,"Stephanie"&amp;IF('Stephanie'!$E$6:$E$300="",""," : "&amp;'Stephanie'!$E$6:$E$300)&amp;" ["&amp;'Stephanie'!$F$6:$F$300&amp;"]",""),IF('Fox'!$B$6:$B$300=$A25,"Fox"&amp;IF('Fox'!$E$6:$E$300="",""," : "&amp;'Fox'!$E$6:$E$300)&amp;" ["&amp;'Fox'!$F$6:$F$300&amp;"]",""),IF('Bruna'!$B$6:$B$300=$A25,"Bruna"&amp;IF('Bruna'!$E$6:$E$300="",""," : "&amp;'Bruna'!$E$6:$E$300)&amp;" ["&amp;'Bruna'!$F$6:$F$300&amp;"]",""),IF('Stella'!$B$6:$B$300=$A25,"Stella"&amp;IF('Stella'!$E$6:$E$300="",""," : "&amp;'Stella'!$E$6:$E$300)&amp;" ["&amp;'Stella'!$F$6:$F$300&amp;"]",""),IF('Igor'!$B$6:$B$300=$A25,"Igor"&amp;IF('Igor'!$E$6:$E$300="",""," : "&amp;'Igor'!$E$6:$E$300)&amp;" ["&amp;'Igor'!$F$6:$F$300&amp;"]","")))</f>
        <v/>
      </c>
    </row>
    <row r="26" ht="15.5" customHeight="1">
      <c r="A26" s="13" t="inlineStr">
        <is>
          <t>ART-019</t>
        </is>
      </c>
      <c r="B26" s="14" t="inlineStr">
        <is>
          <t>Extra - Artigo</t>
        </is>
      </c>
      <c r="C26" s="14" t="inlineStr">
        <is>
          <t>1. Elaboração do artigo sobre a caixa de ferramentas</t>
        </is>
      </c>
      <c r="D26" s="14" t="n"/>
      <c r="E26" s="15" t="inlineStr">
        <is>
          <t>Submeter o artigo</t>
        </is>
      </c>
      <c r="F26" s="13" t="inlineStr">
        <is>
          <t>Thaís</t>
        </is>
      </c>
      <c r="G26" s="16">
        <f>IF($A26="","",_xlfn.TEXTJOIN("; ",TRUE,IF(COUNTIF('Clarice'!$B$6:$B$300,$A26)&gt;0,"Clarice",""),IF(COUNTIF('Luisa'!$B$6:$B$300,$A26)&gt;0,"Luisa",""),IF(COUNTIF('Lui'!$B$6:$B$300,$A26)&gt;0,"Lui",""),IF(COUNTIF('Thaís'!$B$6:$B$300,$A26)&gt;0,"Thaís",""),IF(COUNTIF('Daniel'!$B$6:$B$300,$A26)&gt;0,"Daniel",""),IF(COUNTIF('Fernando'!$B$6:$B$300,$A26)&gt;0,"Fernando",""),IF(COUNTIF('Stephanie'!$B$6:$B$300,$A26)&gt;0,"Stephanie",""),IF(COUNTIF('Fox'!$B$6:$B$300,$A26)&gt;0,"Fox",""),IF(COUNTIF('Bruna'!$B$6:$B$300,$A26)&gt;0,"Bruna",""),IF(COUNTIF('Stella'!$B$6:$B$300,$A26)&gt;0,"Stella",""),IF(COUNTIF('Igor'!$B$6:$B$300,$A26)&gt;0,"Igor","")))</f>
        <v/>
      </c>
      <c r="H26" s="13" t="inlineStr">
        <is>
          <t>a definir</t>
        </is>
      </c>
      <c r="I26" s="13" t="inlineStr">
        <is>
          <t>Não iniciado</t>
        </is>
      </c>
      <c r="J26" s="17">
        <f>IF(OR($A26="",(COUNTIF('Clarice'!$B$6:$B$300,$A26)+COUNTIF('Luisa'!$B$6:$B$300,$A26)+COUNTIF('Lui'!$B$6:$B$300,$A26)+COUNTIF('Thaís'!$B$6:$B$300,$A26)+COUNTIF('Daniel'!$B$6:$B$300,$A26)+COUNTIF('Fernando'!$B$6:$B$300,$A26)+COUNTIF('Stephanie'!$B$6:$B$300,$A26)+COUNTIF('Fox'!$B$6:$B$300,$A26)+COUNTIF('Bruna'!$B$6:$B$300,$A26)+COUNTIF('Stella'!$B$6:$B$300,$A26)+COUNTIF('Igor'!$B$6:$B$300,$A26))=0),"",(COUNTIFS('Clarice'!$B$6:$B$300,$A26,'Clarice'!$F$6:$F$300,"Concluído")+COUNTIFS('Luisa'!$B$6:$B$300,$A26,'Luisa'!$F$6:$F$300,"Concluído")+COUNTIFS('Lui'!$B$6:$B$300,$A26,'Lui'!$F$6:$F$300,"Concluído")+COUNTIFS('Thaís'!$B$6:$B$300,$A26,'Thaís'!$F$6:$F$300,"Concluído")+COUNTIFS('Daniel'!$B$6:$B$300,$A26,'Daniel'!$F$6:$F$300,"Concluído")+COUNTIFS('Fernando'!$B$6:$B$300,$A26,'Fernando'!$F$6:$F$300,"Concluído")+COUNTIFS('Stephanie'!$B$6:$B$300,$A26,'Stephanie'!$F$6:$F$300,"Concluído")+COUNTIFS('Fox'!$B$6:$B$300,$A26,'Fox'!$F$6:$F$300,"Concluído")+COUNTIFS('Bruna'!$B$6:$B$300,$A26,'Bruna'!$F$6:$F$300,"Concluído")+COUNTIFS('Stella'!$B$6:$B$300,$A26,'Stella'!$F$6:$F$300,"Concluído")+COUNTIFS('Igor'!$B$6:$B$300,$A26,'Igor'!$F$6:$F$300,"Concluído"))&amp;" / "&amp;(COUNTIF('Clarice'!$B$6:$B$300,$A26)+COUNTIF('Luisa'!$B$6:$B$300,$A26)+COUNTIF('Lui'!$B$6:$B$300,$A26)+COUNTIF('Thaís'!$B$6:$B$300,$A26)+COUNTIF('Daniel'!$B$6:$B$300,$A26)+COUNTIF('Fernando'!$B$6:$B$300,$A26)+COUNTIF('Stephanie'!$B$6:$B$300,$A26)+COUNTIF('Fox'!$B$6:$B$300,$A26)+COUNTIF('Bruna'!$B$6:$B$300,$A26)+COUNTIF('Stella'!$B$6:$B$300,$A26)+COUNTIF('Igor'!$B$6:$B$300,$A26)))</f>
        <v/>
      </c>
      <c r="K26" s="18" t="n">
        <v>46167</v>
      </c>
      <c r="L26" s="18" t="n">
        <v>46171</v>
      </c>
      <c r="M26" s="18" t="n">
        <v>46167</v>
      </c>
      <c r="N26" s="18" t="n">
        <v>46295</v>
      </c>
      <c r="O26" s="19" t="n"/>
      <c r="P26" s="20">
        <f>IF($A26="","",IF(M26&lt;&gt;"",M26,IF(K26&lt;&gt;"",K26,"")))</f>
        <v/>
      </c>
      <c r="Q26" s="20">
        <f>IF($A26="","",IF(N26&lt;&gt;"",N26,IF(L26&lt;&gt;"",L26,"")))</f>
        <v/>
      </c>
      <c r="R26" s="15" t="n"/>
      <c r="S26" s="16">
        <f t="array" ref="S26">IF($A26="","",_xlfn.TEXTJOIN(CHAR(10),TRUE,IF('Clarice'!$B$6:$B$300=$A26,"Clarice"&amp;IF('Clarice'!$E$6:$E$300="",""," : "&amp;'Clarice'!$E$6:$E$300)&amp;" ["&amp;'Clarice'!$F$6:$F$300&amp;"]",""),IF('Luisa'!$B$6:$B$300=$A26,"Luisa"&amp;IF('Luisa'!$E$6:$E$300="",""," : "&amp;'Luisa'!$E$6:$E$300)&amp;" ["&amp;'Luisa'!$F$6:$F$300&amp;"]",""),IF('Lui'!$B$6:$B$300=$A26,"Lui"&amp;IF('Lui'!$E$6:$E$300="",""," : "&amp;'Lui'!$E$6:$E$300)&amp;" ["&amp;'Lui'!$F$6:$F$300&amp;"]",""),IF('Thaís'!$B$6:$B$300=$A26,"Thaís"&amp;IF('Thaís'!$E$6:$E$300="",""," : "&amp;'Thaís'!$E$6:$E$300)&amp;" ["&amp;'Thaís'!$F$6:$F$300&amp;"]",""),IF('Daniel'!$B$6:$B$300=$A26,"Daniel"&amp;IF('Daniel'!$E$6:$E$300="",""," : "&amp;'Daniel'!$E$6:$E$300)&amp;" ["&amp;'Daniel'!$F$6:$F$300&amp;"]",""),IF('Fernando'!$B$6:$B$300=$A26,"Fernando"&amp;IF('Fernando'!$E$6:$E$300="",""," : "&amp;'Fernando'!$E$6:$E$300)&amp;" ["&amp;'Fernando'!$F$6:$F$300&amp;"]",""),IF('Stephanie'!$B$6:$B$300=$A26,"Stephanie"&amp;IF('Stephanie'!$E$6:$E$300="",""," : "&amp;'Stephanie'!$E$6:$E$300)&amp;" ["&amp;'Stephanie'!$F$6:$F$300&amp;"]",""),IF('Fox'!$B$6:$B$300=$A26,"Fox"&amp;IF('Fox'!$E$6:$E$300="",""," : "&amp;'Fox'!$E$6:$E$300)&amp;" ["&amp;'Fox'!$F$6:$F$300&amp;"]",""),IF('Bruna'!$B$6:$B$300=$A26,"Bruna"&amp;IF('Bruna'!$E$6:$E$300="",""," : "&amp;'Bruna'!$E$6:$E$300)&amp;" ["&amp;'Bruna'!$F$6:$F$300&amp;"]",""),IF('Stella'!$B$6:$B$300=$A26,"Stella"&amp;IF('Stella'!$E$6:$E$300="",""," : "&amp;'Stella'!$E$6:$E$300)&amp;" ["&amp;'Stella'!$F$6:$F$300&amp;"]",""),IF('Igor'!$B$6:$B$300=$A26,"Igor"&amp;IF('Igor'!$E$6:$E$300="",""," : "&amp;'Igor'!$E$6:$E$300)&amp;" ["&amp;'Igor'!$F$6:$F$300&amp;"]","")))</f>
        <v/>
      </c>
    </row>
    <row r="27" ht="20" customHeight="1">
      <c r="A27" s="11" t="n"/>
      <c r="B27" s="11" t="inlineStr">
        <is>
          <t>Etapa 2: Construção das métricas | Atividade 7: Operacionalização das métricas | Atividade 8: Aplicação das métricas</t>
        </is>
      </c>
      <c r="C27" s="11" t="inlineStr">
        <is>
          <t>2. Aplicação da EC</t>
        </is>
      </c>
      <c r="D27" s="11" t="n"/>
      <c r="E27" s="11" t="inlineStr">
        <is>
          <t>2. Aplicação da EC</t>
        </is>
      </c>
      <c r="F27" s="11" t="n"/>
      <c r="G27" s="11">
        <f>IF($A27="","",_xlfn.TEXTJOIN("; ",TRUE,IF(COUNTIF('Clarice'!$B$6:$B$300,$A27)&gt;0,"Clarice",""),IF(COUNTIF('Luisa'!$B$6:$B$300,$A27)&gt;0,"Luisa",""),IF(COUNTIF('Lui'!$B$6:$B$300,$A27)&gt;0,"Lui",""),IF(COUNTIF('Thaís'!$B$6:$B$300,$A27)&gt;0,"Thaís",""),IF(COUNTIF('Daniel'!$B$6:$B$300,$A27)&gt;0,"Daniel",""),IF(COUNTIF('Fernando'!$B$6:$B$300,$A27)&gt;0,"Fernando",""),IF(COUNTIF('Stephanie'!$B$6:$B$300,$A27)&gt;0,"Stephanie",""),IF(COUNTIF('Fox'!$B$6:$B$300,$A27)&gt;0,"Fox",""),IF(COUNTIF('Bruna'!$B$6:$B$300,$A27)&gt;0,"Bruna",""),IF(COUNTIF('Stella'!$B$6:$B$300,$A27)&gt;0,"Stella",""),IF(COUNTIF('Igor'!$B$6:$B$300,$A27)&gt;0,"Igor","")))</f>
        <v/>
      </c>
      <c r="H27" s="11" t="n"/>
      <c r="I27" s="11" t="n"/>
      <c r="J27" s="11">
        <f>IF(OR($A27="",(COUNTIF('Clarice'!$B$6:$B$300,$A27)+COUNTIF('Luisa'!$B$6:$B$300,$A27)+COUNTIF('Lui'!$B$6:$B$300,$A27)+COUNTIF('Thaís'!$B$6:$B$300,$A27)+COUNTIF('Daniel'!$B$6:$B$300,$A27)+COUNTIF('Fernando'!$B$6:$B$300,$A27)+COUNTIF('Stephanie'!$B$6:$B$300,$A27)+COUNTIF('Fox'!$B$6:$B$300,$A27)+COUNTIF('Bruna'!$B$6:$B$300,$A27)+COUNTIF('Stella'!$B$6:$B$300,$A27)+COUNTIF('Igor'!$B$6:$B$300,$A27))=0),"",(COUNTIFS('Clarice'!$B$6:$B$300,$A27,'Clarice'!$F$6:$F$300,"Concluído")+COUNTIFS('Luisa'!$B$6:$B$300,$A27,'Luisa'!$F$6:$F$300,"Concluído")+COUNTIFS('Lui'!$B$6:$B$300,$A27,'Lui'!$F$6:$F$300,"Concluído")+COUNTIFS('Thaís'!$B$6:$B$300,$A27,'Thaís'!$F$6:$F$300,"Concluído")+COUNTIFS('Daniel'!$B$6:$B$300,$A27,'Daniel'!$F$6:$F$300,"Concluído")+COUNTIFS('Fernando'!$B$6:$B$300,$A27,'Fernando'!$F$6:$F$300,"Concluído")+COUNTIFS('Stephanie'!$B$6:$B$300,$A27,'Stephanie'!$F$6:$F$300,"Concluído")+COUNTIFS('Fox'!$B$6:$B$300,$A27,'Fox'!$F$6:$F$300,"Concluído")+COUNTIFS('Bruna'!$B$6:$B$300,$A27,'Bruna'!$F$6:$F$300,"Concluído")+COUNTIFS('Stella'!$B$6:$B$300,$A27,'Stella'!$F$6:$F$300,"Concluído")+COUNTIFS('Igor'!$B$6:$B$300,$A27,'Igor'!$F$6:$F$300,"Concluído"))&amp;" / "&amp;(COUNTIF('Clarice'!$B$6:$B$300,$A27)+COUNTIF('Luisa'!$B$6:$B$300,$A27)+COUNTIF('Lui'!$B$6:$B$300,$A27)+COUNTIF('Thaís'!$B$6:$B$300,$A27)+COUNTIF('Daniel'!$B$6:$B$300,$A27)+COUNTIF('Fernando'!$B$6:$B$300,$A27)+COUNTIF('Stephanie'!$B$6:$B$300,$A27)+COUNTIF('Fox'!$B$6:$B$300,$A27)+COUNTIF('Bruna'!$B$6:$B$300,$A27)+COUNTIF('Stella'!$B$6:$B$300,$A27)+COUNTIF('Igor'!$B$6:$B$300,$A27)))</f>
        <v/>
      </c>
      <c r="K27" s="11" t="n"/>
      <c r="L27" s="11" t="n"/>
      <c r="M27" s="11" t="n"/>
      <c r="N27" s="11" t="n"/>
      <c r="O27" s="11" t="n"/>
      <c r="P27" s="12">
        <f>IF($A27="","",IF(M27&lt;&gt;"",M27,IF(K27&lt;&gt;"",K27,"")))</f>
        <v/>
      </c>
      <c r="Q27" s="12">
        <f>IF($A27="","",IF(N27&lt;&gt;"",N27,IF(L27&lt;&gt;"",L27,"")))</f>
        <v/>
      </c>
      <c r="R27" s="11" t="n"/>
      <c r="S27" s="11">
        <f t="array" ref="S27">IF($A27="","",_xlfn.TEXTJOIN(CHAR(10),TRUE,IF('Clarice'!$B$6:$B$300=$A27,"Clarice"&amp;IF('Clarice'!$E$6:$E$300="",""," : "&amp;'Clarice'!$E$6:$E$300)&amp;" ["&amp;'Clarice'!$F$6:$F$300&amp;"]",""),IF('Luisa'!$B$6:$B$300=$A27,"Luisa"&amp;IF('Luisa'!$E$6:$E$300="",""," : "&amp;'Luisa'!$E$6:$E$300)&amp;" ["&amp;'Luisa'!$F$6:$F$300&amp;"]",""),IF('Lui'!$B$6:$B$300=$A27,"Lui"&amp;IF('Lui'!$E$6:$E$300="",""," : "&amp;'Lui'!$E$6:$E$300)&amp;" ["&amp;'Lui'!$F$6:$F$300&amp;"]",""),IF('Thaís'!$B$6:$B$300=$A27,"Thaís"&amp;IF('Thaís'!$E$6:$E$300="",""," : "&amp;'Thaís'!$E$6:$E$300)&amp;" ["&amp;'Thaís'!$F$6:$F$300&amp;"]",""),IF('Daniel'!$B$6:$B$300=$A27,"Daniel"&amp;IF('Daniel'!$E$6:$E$300="",""," : "&amp;'Daniel'!$E$6:$E$300)&amp;" ["&amp;'Daniel'!$F$6:$F$300&amp;"]",""),IF('Fernando'!$B$6:$B$300=$A27,"Fernando"&amp;IF('Fernando'!$E$6:$E$300="",""," : "&amp;'Fernando'!$E$6:$E$300)&amp;" ["&amp;'Fernando'!$F$6:$F$300&amp;"]",""),IF('Stephanie'!$B$6:$B$300=$A27,"Stephanie"&amp;IF('Stephanie'!$E$6:$E$300="",""," : "&amp;'Stephanie'!$E$6:$E$300)&amp;" ["&amp;'Stephanie'!$F$6:$F$300&amp;"]",""),IF('Fox'!$B$6:$B$300=$A27,"Fox"&amp;IF('Fox'!$E$6:$E$300="",""," : "&amp;'Fox'!$E$6:$E$300)&amp;" ["&amp;'Fox'!$F$6:$F$300&amp;"]",""),IF('Bruna'!$B$6:$B$300=$A27,"Bruna"&amp;IF('Bruna'!$E$6:$E$300="",""," : "&amp;'Bruna'!$E$6:$E$300)&amp;" ["&amp;'Bruna'!$F$6:$F$300&amp;"]",""),IF('Stella'!$B$6:$B$300=$A27,"Stella"&amp;IF('Stella'!$E$6:$E$300="",""," : "&amp;'Stella'!$E$6:$E$300)&amp;" ["&amp;'Stella'!$F$6:$F$300&amp;"]",""),IF('Igor'!$B$6:$B$300=$A27,"Igor"&amp;IF('Igor'!$E$6:$E$300="",""," : "&amp;'Igor'!$E$6:$E$300)&amp;" ["&amp;'Igor'!$F$6:$F$300&amp;"]","")))</f>
        <v/>
      </c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</row>
    <row r="28" ht="15.5" customHeight="1">
      <c r="A28" s="13" t="inlineStr">
        <is>
          <t>EC-001</t>
        </is>
      </c>
      <c r="B28" s="14" t="inlineStr">
        <is>
          <t>Etapa 2: Construção das métricas | Atividade 7: Operacionalização das métricas | Atividade 8: Aplicação das métricas</t>
        </is>
      </c>
      <c r="C28" s="14" t="inlineStr">
        <is>
          <t>2. Aplicação da EC</t>
        </is>
      </c>
      <c r="D28" s="14" t="n"/>
      <c r="E28" s="15" t="inlineStr">
        <is>
          <t>Elaboração da metodologia de aplicação da métrica</t>
        </is>
      </c>
      <c r="F28" s="13" t="n"/>
      <c r="G28" s="16">
        <f>IF($A28="","",_xlfn.TEXTJOIN("; ",TRUE,IF(COUNTIF('Clarice'!$B$6:$B$300,$A28)&gt;0,"Clarice",""),IF(COUNTIF('Luisa'!$B$6:$B$300,$A28)&gt;0,"Luisa",""),IF(COUNTIF('Lui'!$B$6:$B$300,$A28)&gt;0,"Lui",""),IF(COUNTIF('Thaís'!$B$6:$B$300,$A28)&gt;0,"Thaís",""),IF(COUNTIF('Daniel'!$B$6:$B$300,$A28)&gt;0,"Daniel",""),IF(COUNTIF('Fernando'!$B$6:$B$300,$A28)&gt;0,"Fernando",""),IF(COUNTIF('Stephanie'!$B$6:$B$300,$A28)&gt;0,"Stephanie",""),IF(COUNTIF('Fox'!$B$6:$B$300,$A28)&gt;0,"Fox",""),IF(COUNTIF('Bruna'!$B$6:$B$300,$A28)&gt;0,"Bruna",""),IF(COUNTIF('Stella'!$B$6:$B$300,$A28)&gt;0,"Stella",""),IF(COUNTIF('Igor'!$B$6:$B$300,$A28)&gt;0,"Igor","")))</f>
        <v/>
      </c>
      <c r="H28" s="13" t="n"/>
      <c r="I28" s="13" t="n"/>
      <c r="J28" s="17">
        <f>IF(OR($A28="",(COUNTIF('Clarice'!$B$6:$B$300,$A28)+COUNTIF('Luisa'!$B$6:$B$300,$A28)+COUNTIF('Lui'!$B$6:$B$300,$A28)+COUNTIF('Thaís'!$B$6:$B$300,$A28)+COUNTIF('Daniel'!$B$6:$B$300,$A28)+COUNTIF('Fernando'!$B$6:$B$300,$A28)+COUNTIF('Stephanie'!$B$6:$B$300,$A28)+COUNTIF('Fox'!$B$6:$B$300,$A28)+COUNTIF('Bruna'!$B$6:$B$300,$A28)+COUNTIF('Stella'!$B$6:$B$300,$A28)+COUNTIF('Igor'!$B$6:$B$300,$A28))=0),"",(COUNTIFS('Clarice'!$B$6:$B$300,$A28,'Clarice'!$F$6:$F$300,"Concluído")+COUNTIFS('Luisa'!$B$6:$B$300,$A28,'Luisa'!$F$6:$F$300,"Concluído")+COUNTIFS('Lui'!$B$6:$B$300,$A28,'Lui'!$F$6:$F$300,"Concluído")+COUNTIFS('Thaís'!$B$6:$B$300,$A28,'Thaís'!$F$6:$F$300,"Concluído")+COUNTIFS('Daniel'!$B$6:$B$300,$A28,'Daniel'!$F$6:$F$300,"Concluído")+COUNTIFS('Fernando'!$B$6:$B$300,$A28,'Fernando'!$F$6:$F$300,"Concluído")+COUNTIFS('Stephanie'!$B$6:$B$300,$A28,'Stephanie'!$F$6:$F$300,"Concluído")+COUNTIFS('Fox'!$B$6:$B$300,$A28,'Fox'!$F$6:$F$300,"Concluído")+COUNTIFS('Bruna'!$B$6:$B$300,$A28,'Bruna'!$F$6:$F$300,"Concluído")+COUNTIFS('Stella'!$B$6:$B$300,$A28,'Stella'!$F$6:$F$300,"Concluído")+COUNTIFS('Igor'!$B$6:$B$300,$A28,'Igor'!$F$6:$F$300,"Concluído"))&amp;" / "&amp;(COUNTIF('Clarice'!$B$6:$B$300,$A28)+COUNTIF('Luisa'!$B$6:$B$300,$A28)+COUNTIF('Lui'!$B$6:$B$300,$A28)+COUNTIF('Thaís'!$B$6:$B$300,$A28)+COUNTIF('Daniel'!$B$6:$B$300,$A28)+COUNTIF('Fernando'!$B$6:$B$300,$A28)+COUNTIF('Stephanie'!$B$6:$B$300,$A28)+COUNTIF('Fox'!$B$6:$B$300,$A28)+COUNTIF('Bruna'!$B$6:$B$300,$A28)+COUNTIF('Stella'!$B$6:$B$300,$A28)+COUNTIF('Igor'!$B$6:$B$300,$A28)))</f>
        <v/>
      </c>
      <c r="K28" s="19" t="n"/>
      <c r="L28" s="19" t="n"/>
      <c r="M28" s="19" t="n"/>
      <c r="N28" s="19" t="n"/>
      <c r="O28" s="19" t="n"/>
      <c r="P28" s="20">
        <f>IF($A28="","",IF(M28&lt;&gt;"",M28,IF(K28&lt;&gt;"",K28,"")))</f>
        <v/>
      </c>
      <c r="Q28" s="20">
        <f>IF($A28="","",IF(N28&lt;&gt;"",N28,IF(L28&lt;&gt;"",L28,"")))</f>
        <v/>
      </c>
      <c r="R28" s="15" t="n"/>
      <c r="S28" s="16">
        <f t="array" ref="S28">IF($A28="","",_xlfn.TEXTJOIN(CHAR(10),TRUE,IF('Clarice'!$B$6:$B$300=$A28,"Clarice"&amp;IF('Clarice'!$E$6:$E$300="",""," : "&amp;'Clarice'!$E$6:$E$300)&amp;" ["&amp;'Clarice'!$F$6:$F$300&amp;"]",""),IF('Luisa'!$B$6:$B$300=$A28,"Luisa"&amp;IF('Luisa'!$E$6:$E$300="",""," : "&amp;'Luisa'!$E$6:$E$300)&amp;" ["&amp;'Luisa'!$F$6:$F$300&amp;"]",""),IF('Lui'!$B$6:$B$300=$A28,"Lui"&amp;IF('Lui'!$E$6:$E$300="",""," : "&amp;'Lui'!$E$6:$E$300)&amp;" ["&amp;'Lui'!$F$6:$F$300&amp;"]",""),IF('Thaís'!$B$6:$B$300=$A28,"Thaís"&amp;IF('Thaís'!$E$6:$E$300="",""," : "&amp;'Thaís'!$E$6:$E$300)&amp;" ["&amp;'Thaís'!$F$6:$F$300&amp;"]",""),IF('Daniel'!$B$6:$B$300=$A28,"Daniel"&amp;IF('Daniel'!$E$6:$E$300="",""," : "&amp;'Daniel'!$E$6:$E$300)&amp;" ["&amp;'Daniel'!$F$6:$F$300&amp;"]",""),IF('Fernando'!$B$6:$B$300=$A28,"Fernando"&amp;IF('Fernando'!$E$6:$E$300="",""," : "&amp;'Fernando'!$E$6:$E$300)&amp;" ["&amp;'Fernando'!$F$6:$F$300&amp;"]",""),IF('Stephanie'!$B$6:$B$300=$A28,"Stephanie"&amp;IF('Stephanie'!$E$6:$E$300="",""," : "&amp;'Stephanie'!$E$6:$E$300)&amp;" ["&amp;'Stephanie'!$F$6:$F$300&amp;"]",""),IF('Fox'!$B$6:$B$300=$A28,"Fox"&amp;IF('Fox'!$E$6:$E$300="",""," : "&amp;'Fox'!$E$6:$E$300)&amp;" ["&amp;'Fox'!$F$6:$F$300&amp;"]",""),IF('Bruna'!$B$6:$B$300=$A28,"Bruna"&amp;IF('Bruna'!$E$6:$E$300="",""," : "&amp;'Bruna'!$E$6:$E$300)&amp;" ["&amp;'Bruna'!$F$6:$F$300&amp;"]",""),IF('Stella'!$B$6:$B$300=$A28,"Stella"&amp;IF('Stella'!$E$6:$E$300="",""," : "&amp;'Stella'!$E$6:$E$300)&amp;" ["&amp;'Stella'!$F$6:$F$300&amp;"]",""),IF('Igor'!$B$6:$B$300=$A28,"Igor"&amp;IF('Igor'!$E$6:$E$300="",""," : "&amp;'Igor'!$E$6:$E$300)&amp;" ["&amp;'Igor'!$F$6:$F$300&amp;"]","")))</f>
        <v/>
      </c>
    </row>
    <row r="29">
      <c r="A29" s="21" t="n"/>
      <c r="B29" s="21" t="inlineStr">
        <is>
          <t>Etapa 2: Construção das métricas | Atividade 7: Operacionalização das métricas | Atividade 8: Aplicação das métricas</t>
        </is>
      </c>
      <c r="C29" s="21" t="inlineStr">
        <is>
          <t>2. Aplicação da EC</t>
        </is>
      </c>
      <c r="D29" s="21" t="inlineStr">
        <is>
          <t>2.1 UTGCA</t>
        </is>
      </c>
      <c r="E29" s="21" t="inlineStr">
        <is>
          <t>2.1 UTGCA</t>
        </is>
      </c>
      <c r="F29" s="21" t="inlineStr">
        <is>
          <t>Clarice</t>
        </is>
      </c>
      <c r="G29" s="21">
        <f>IF($A29="","",_xlfn.TEXTJOIN("; ",TRUE,IF(COUNTIF('Clarice'!$B$6:$B$300,$A29)&gt;0,"Clarice",""),IF(COUNTIF('Luisa'!$B$6:$B$300,$A29)&gt;0,"Luisa",""),IF(COUNTIF('Lui'!$B$6:$B$300,$A29)&gt;0,"Lui",""),IF(COUNTIF('Thaís'!$B$6:$B$300,$A29)&gt;0,"Thaís",""),IF(COUNTIF('Daniel'!$B$6:$B$300,$A29)&gt;0,"Daniel",""),IF(COUNTIF('Fernando'!$B$6:$B$300,$A29)&gt;0,"Fernando",""),IF(COUNTIF('Stephanie'!$B$6:$B$300,$A29)&gt;0,"Stephanie",""),IF(COUNTIF('Fox'!$B$6:$B$300,$A29)&gt;0,"Fox",""),IF(COUNTIF('Bruna'!$B$6:$B$300,$A29)&gt;0,"Bruna",""),IF(COUNTIF('Stella'!$B$6:$B$300,$A29)&gt;0,"Stella",""),IF(COUNTIF('Igor'!$B$6:$B$300,$A29)&gt;0,"Igor","")))</f>
        <v/>
      </c>
      <c r="H29" s="21" t="n"/>
      <c r="I29" s="21" t="n"/>
      <c r="J29" s="21">
        <f>IF(OR($A29="",(COUNTIF('Clarice'!$B$6:$B$300,$A29)+COUNTIF('Luisa'!$B$6:$B$300,$A29)+COUNTIF('Lui'!$B$6:$B$300,$A29)+COUNTIF('Thaís'!$B$6:$B$300,$A29)+COUNTIF('Daniel'!$B$6:$B$300,$A29)+COUNTIF('Fernando'!$B$6:$B$300,$A29)+COUNTIF('Stephanie'!$B$6:$B$300,$A29)+COUNTIF('Fox'!$B$6:$B$300,$A29)+COUNTIF('Bruna'!$B$6:$B$300,$A29)+COUNTIF('Stella'!$B$6:$B$300,$A29)+COUNTIF('Igor'!$B$6:$B$300,$A29))=0),"",(COUNTIFS('Clarice'!$B$6:$B$300,$A29,'Clarice'!$F$6:$F$300,"Concluído")+COUNTIFS('Luisa'!$B$6:$B$300,$A29,'Luisa'!$F$6:$F$300,"Concluído")+COUNTIFS('Lui'!$B$6:$B$300,$A29,'Lui'!$F$6:$F$300,"Concluído")+COUNTIFS('Thaís'!$B$6:$B$300,$A29,'Thaís'!$F$6:$F$300,"Concluído")+COUNTIFS('Daniel'!$B$6:$B$300,$A29,'Daniel'!$F$6:$F$300,"Concluído")+COUNTIFS('Fernando'!$B$6:$B$300,$A29,'Fernando'!$F$6:$F$300,"Concluído")+COUNTIFS('Stephanie'!$B$6:$B$300,$A29,'Stephanie'!$F$6:$F$300,"Concluído")+COUNTIFS('Fox'!$B$6:$B$300,$A29,'Fox'!$F$6:$F$300,"Concluído")+COUNTIFS('Bruna'!$B$6:$B$300,$A29,'Bruna'!$F$6:$F$300,"Concluído")+COUNTIFS('Stella'!$B$6:$B$300,$A29,'Stella'!$F$6:$F$300,"Concluído")+COUNTIFS('Igor'!$B$6:$B$300,$A29,'Igor'!$F$6:$F$300,"Concluído"))&amp;" / "&amp;(COUNTIF('Clarice'!$B$6:$B$300,$A29)+COUNTIF('Luisa'!$B$6:$B$300,$A29)+COUNTIF('Lui'!$B$6:$B$300,$A29)+COUNTIF('Thaís'!$B$6:$B$300,$A29)+COUNTIF('Daniel'!$B$6:$B$300,$A29)+COUNTIF('Fernando'!$B$6:$B$300,$A29)+COUNTIF('Stephanie'!$B$6:$B$300,$A29)+COUNTIF('Fox'!$B$6:$B$300,$A29)+COUNTIF('Bruna'!$B$6:$B$300,$A29)+COUNTIF('Stella'!$B$6:$B$300,$A29)+COUNTIF('Igor'!$B$6:$B$300,$A29)))</f>
        <v/>
      </c>
      <c r="K29" s="21" t="n"/>
      <c r="L29" s="21" t="n"/>
      <c r="M29" s="21" t="n"/>
      <c r="N29" s="21" t="n"/>
      <c r="O29" s="21" t="n"/>
      <c r="P29" s="22">
        <f>IF($A29="","",IF(M29&lt;&gt;"",M29,IF(K29&lt;&gt;"",K29,"")))</f>
        <v/>
      </c>
      <c r="Q29" s="22">
        <f>IF($A29="","",IF(N29&lt;&gt;"",N29,IF(L29&lt;&gt;"",L29,"")))</f>
        <v/>
      </c>
      <c r="R29" s="21" t="n"/>
      <c r="S29" s="21">
        <f t="array" ref="S29">IF($A29="","",_xlfn.TEXTJOIN(CHAR(10),TRUE,IF('Clarice'!$B$6:$B$300=$A29,"Clarice"&amp;IF('Clarice'!$E$6:$E$300="",""," : "&amp;'Clarice'!$E$6:$E$300)&amp;" ["&amp;'Clarice'!$F$6:$F$300&amp;"]",""),IF('Luisa'!$B$6:$B$300=$A29,"Luisa"&amp;IF('Luisa'!$E$6:$E$300="",""," : "&amp;'Luisa'!$E$6:$E$300)&amp;" ["&amp;'Luisa'!$F$6:$F$300&amp;"]",""),IF('Lui'!$B$6:$B$300=$A29,"Lui"&amp;IF('Lui'!$E$6:$E$300="",""," : "&amp;'Lui'!$E$6:$E$300)&amp;" ["&amp;'Lui'!$F$6:$F$300&amp;"]",""),IF('Thaís'!$B$6:$B$300=$A29,"Thaís"&amp;IF('Thaís'!$E$6:$E$300="",""," : "&amp;'Thaís'!$E$6:$E$300)&amp;" ["&amp;'Thaís'!$F$6:$F$300&amp;"]",""),IF('Daniel'!$B$6:$B$300=$A29,"Daniel"&amp;IF('Daniel'!$E$6:$E$300="",""," : "&amp;'Daniel'!$E$6:$E$300)&amp;" ["&amp;'Daniel'!$F$6:$F$300&amp;"]",""),IF('Fernando'!$B$6:$B$300=$A29,"Fernando"&amp;IF('Fernando'!$E$6:$E$300="",""," : "&amp;'Fernando'!$E$6:$E$300)&amp;" ["&amp;'Fernando'!$F$6:$F$300&amp;"]",""),IF('Stephanie'!$B$6:$B$300=$A29,"Stephanie"&amp;IF('Stephanie'!$E$6:$E$300="",""," : "&amp;'Stephanie'!$E$6:$E$300)&amp;" ["&amp;'Stephanie'!$F$6:$F$300&amp;"]",""),IF('Fox'!$B$6:$B$300=$A29,"Fox"&amp;IF('Fox'!$E$6:$E$300="",""," : "&amp;'Fox'!$E$6:$E$300)&amp;" ["&amp;'Fox'!$F$6:$F$300&amp;"]",""),IF('Bruna'!$B$6:$B$300=$A29,"Bruna"&amp;IF('Bruna'!$E$6:$E$300="",""," : "&amp;'Bruna'!$E$6:$E$300)&amp;" ["&amp;'Bruna'!$F$6:$F$300&amp;"]",""),IF('Stella'!$B$6:$B$300=$A29,"Stella"&amp;IF('Stella'!$E$6:$E$300="",""," : "&amp;'Stella'!$E$6:$E$300)&amp;" ["&amp;'Stella'!$F$6:$F$300&amp;"]",""),IF('Igor'!$B$6:$B$300=$A29,"Igor"&amp;IF('Igor'!$E$6:$E$300="",""," : "&amp;'Igor'!$E$6:$E$300)&amp;" ["&amp;'Igor'!$F$6:$F$300&amp;"]","")))</f>
        <v/>
      </c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</row>
    <row r="30" ht="40.5" customHeight="1">
      <c r="A30" s="13" t="inlineStr">
        <is>
          <t>EC-002</t>
        </is>
      </c>
      <c r="B30" s="14" t="inlineStr">
        <is>
          <t>Etapa 2: Construção das métricas | Atividade 7: Operacionalização das métricas | Atividade 8: Aplicação das métricas</t>
        </is>
      </c>
      <c r="C30" s="14" t="inlineStr">
        <is>
          <t>2. Aplicação da EC</t>
        </is>
      </c>
      <c r="D30" s="14" t="inlineStr">
        <is>
          <t>2.1 UTGCA</t>
        </is>
      </c>
      <c r="E30" s="15" t="inlineStr">
        <is>
          <t>Definir as espécies internamente (UTGCA)</t>
        </is>
      </c>
      <c r="F30" s="13" t="inlineStr">
        <is>
          <t>Clarice</t>
        </is>
      </c>
      <c r="G30" s="16">
        <f>IF($A30="","",_xlfn.TEXTJOIN("; ",TRUE,IF(COUNTIF('Clarice'!$B$6:$B$300,$A30)&gt;0,"Clarice",""),IF(COUNTIF('Luisa'!$B$6:$B$300,$A30)&gt;0,"Luisa",""),IF(COUNTIF('Lui'!$B$6:$B$300,$A30)&gt;0,"Lui",""),IF(COUNTIF('Thaís'!$B$6:$B$300,$A30)&gt;0,"Thaís",""),IF(COUNTIF('Daniel'!$B$6:$B$300,$A30)&gt;0,"Daniel",""),IF(COUNTIF('Fernando'!$B$6:$B$300,$A30)&gt;0,"Fernando",""),IF(COUNTIF('Stephanie'!$B$6:$B$300,$A30)&gt;0,"Stephanie",""),IF(COUNTIF('Fox'!$B$6:$B$300,$A30)&gt;0,"Fox",""),IF(COUNTIF('Bruna'!$B$6:$B$300,$A30)&gt;0,"Bruna",""),IF(COUNTIF('Stella'!$B$6:$B$300,$A30)&gt;0,"Stella",""),IF(COUNTIF('Igor'!$B$6:$B$300,$A30)&gt;0,"Igor","")))</f>
        <v/>
      </c>
      <c r="H30" s="13" t="n"/>
      <c r="I30" s="13" t="inlineStr">
        <is>
          <t>Concluído</t>
        </is>
      </c>
      <c r="J30" s="17">
        <f>IF(OR($A30="",(COUNTIF('Clarice'!$B$6:$B$300,$A30)+COUNTIF('Luisa'!$B$6:$B$300,$A30)+COUNTIF('Lui'!$B$6:$B$300,$A30)+COUNTIF('Thaís'!$B$6:$B$300,$A30)+COUNTIF('Daniel'!$B$6:$B$300,$A30)+COUNTIF('Fernando'!$B$6:$B$300,$A30)+COUNTIF('Stephanie'!$B$6:$B$300,$A30)+COUNTIF('Fox'!$B$6:$B$300,$A30)+COUNTIF('Bruna'!$B$6:$B$300,$A30)+COUNTIF('Stella'!$B$6:$B$300,$A30)+COUNTIF('Igor'!$B$6:$B$300,$A30))=0),"",(COUNTIFS('Clarice'!$B$6:$B$300,$A30,'Clarice'!$F$6:$F$300,"Concluído")+COUNTIFS('Luisa'!$B$6:$B$300,$A30,'Luisa'!$F$6:$F$300,"Concluído")+COUNTIFS('Lui'!$B$6:$B$300,$A30,'Lui'!$F$6:$F$300,"Concluído")+COUNTIFS('Thaís'!$B$6:$B$300,$A30,'Thaís'!$F$6:$F$300,"Concluído")+COUNTIFS('Daniel'!$B$6:$B$300,$A30,'Daniel'!$F$6:$F$300,"Concluído")+COUNTIFS('Fernando'!$B$6:$B$300,$A30,'Fernando'!$F$6:$F$300,"Concluído")+COUNTIFS('Stephanie'!$B$6:$B$300,$A30,'Stephanie'!$F$6:$F$300,"Concluído")+COUNTIFS('Fox'!$B$6:$B$300,$A30,'Fox'!$F$6:$F$300,"Concluído")+COUNTIFS('Bruna'!$B$6:$B$300,$A30,'Bruna'!$F$6:$F$300,"Concluído")+COUNTIFS('Stella'!$B$6:$B$300,$A30,'Stella'!$F$6:$F$300,"Concluído")+COUNTIFS('Igor'!$B$6:$B$300,$A30,'Igor'!$F$6:$F$300,"Concluído"))&amp;" / "&amp;(COUNTIF('Clarice'!$B$6:$B$300,$A30)+COUNTIF('Luisa'!$B$6:$B$300,$A30)+COUNTIF('Lui'!$B$6:$B$300,$A30)+COUNTIF('Thaís'!$B$6:$B$300,$A30)+COUNTIF('Daniel'!$B$6:$B$300,$A30)+COUNTIF('Fernando'!$B$6:$B$300,$A30)+COUNTIF('Stephanie'!$B$6:$B$300,$A30)+COUNTIF('Fox'!$B$6:$B$300,$A30)+COUNTIF('Bruna'!$B$6:$B$300,$A30)+COUNTIF('Stella'!$B$6:$B$300,$A30)+COUNTIF('Igor'!$B$6:$B$300,$A30)))</f>
        <v/>
      </c>
      <c r="K30" s="19" t="n"/>
      <c r="L30" s="19" t="n"/>
      <c r="M30" s="19" t="n"/>
      <c r="N30" s="19" t="n"/>
      <c r="O30" s="19" t="n"/>
      <c r="P30" s="20">
        <f>IF($A30="","",IF(M30&lt;&gt;"",M30,IF(K30&lt;&gt;"",K30,"")))</f>
        <v/>
      </c>
      <c r="Q30" s="20">
        <f>IF($A30="","",IF(N30&lt;&gt;"",N30,IF(L30&lt;&gt;"",L30,"")))</f>
        <v/>
      </c>
      <c r="R30" s="15" t="n"/>
      <c r="S30" s="16">
        <f t="array" ref="S30">IF($A30="","",_xlfn.TEXTJOIN(CHAR(10),TRUE,IF('Clarice'!$B$6:$B$300=$A30,"Clarice"&amp;IF('Clarice'!$E$6:$E$300="",""," : "&amp;'Clarice'!$E$6:$E$300)&amp;" ["&amp;'Clarice'!$F$6:$F$300&amp;"]",""),IF('Luisa'!$B$6:$B$300=$A30,"Luisa"&amp;IF('Luisa'!$E$6:$E$300="",""," : "&amp;'Luisa'!$E$6:$E$300)&amp;" ["&amp;'Luisa'!$F$6:$F$300&amp;"]",""),IF('Lui'!$B$6:$B$300=$A30,"Lui"&amp;IF('Lui'!$E$6:$E$300="",""," : "&amp;'Lui'!$E$6:$E$300)&amp;" ["&amp;'Lui'!$F$6:$F$300&amp;"]",""),IF('Thaís'!$B$6:$B$300=$A30,"Thaís"&amp;IF('Thaís'!$E$6:$E$300="",""," : "&amp;'Thaís'!$E$6:$E$300)&amp;" ["&amp;'Thaís'!$F$6:$F$300&amp;"]",""),IF('Daniel'!$B$6:$B$300=$A30,"Daniel"&amp;IF('Daniel'!$E$6:$E$300="",""," : "&amp;'Daniel'!$E$6:$E$300)&amp;" ["&amp;'Daniel'!$F$6:$F$300&amp;"]",""),IF('Fernando'!$B$6:$B$300=$A30,"Fernando"&amp;IF('Fernando'!$E$6:$E$300="",""," : "&amp;'Fernando'!$E$6:$E$300)&amp;" ["&amp;'Fernando'!$F$6:$F$300&amp;"]",""),IF('Stephanie'!$B$6:$B$300=$A30,"Stephanie"&amp;IF('Stephanie'!$E$6:$E$300="",""," : "&amp;'Stephanie'!$E$6:$E$300)&amp;" ["&amp;'Stephanie'!$F$6:$F$300&amp;"]",""),IF('Fox'!$B$6:$B$300=$A30,"Fox"&amp;IF('Fox'!$E$6:$E$300="",""," : "&amp;'Fox'!$E$6:$E$300)&amp;" ["&amp;'Fox'!$F$6:$F$300&amp;"]",""),IF('Bruna'!$B$6:$B$300=$A30,"Bruna"&amp;IF('Bruna'!$E$6:$E$300="",""," : "&amp;'Bruna'!$E$6:$E$300)&amp;" ["&amp;'Bruna'!$F$6:$F$300&amp;"]",""),IF('Stella'!$B$6:$B$300=$A30,"Stella"&amp;IF('Stella'!$E$6:$E$300="",""," : "&amp;'Stella'!$E$6:$E$300)&amp;" ["&amp;'Stella'!$F$6:$F$300&amp;"]",""),IF('Igor'!$B$6:$B$300=$A30,"Igor"&amp;IF('Igor'!$E$6:$E$300="",""," : "&amp;'Igor'!$E$6:$E$300)&amp;" ["&amp;'Igor'!$F$6:$F$300&amp;"]","")))</f>
        <v/>
      </c>
    </row>
    <row r="31" ht="15.5" customHeight="1">
      <c r="A31" s="13" t="inlineStr">
        <is>
          <t>EC-003</t>
        </is>
      </c>
      <c r="B31" s="14" t="inlineStr">
        <is>
          <t>Etapa 2: Construção das métricas | Atividade 7: Operacionalização das métricas | Atividade 8: Aplicação das métricas</t>
        </is>
      </c>
      <c r="C31" s="14" t="inlineStr">
        <is>
          <t>2. Aplicação da EC</t>
        </is>
      </c>
      <c r="D31" s="14" t="inlineStr">
        <is>
          <t>2.1 UTGCA</t>
        </is>
      </c>
      <c r="E31" s="15" t="inlineStr">
        <is>
          <t>Validar as espécies com a Petrobras (UTGCA)</t>
        </is>
      </c>
      <c r="F31" s="13" t="inlineStr">
        <is>
          <t>Clarice</t>
        </is>
      </c>
      <c r="G31" s="16">
        <f>IF($A31="","",_xlfn.TEXTJOIN("; ",TRUE,IF(COUNTIF('Clarice'!$B$6:$B$300,$A31)&gt;0,"Clarice",""),IF(COUNTIF('Luisa'!$B$6:$B$300,$A31)&gt;0,"Luisa",""),IF(COUNTIF('Lui'!$B$6:$B$300,$A31)&gt;0,"Lui",""),IF(COUNTIF('Thaís'!$B$6:$B$300,$A31)&gt;0,"Thaís",""),IF(COUNTIF('Daniel'!$B$6:$B$300,$A31)&gt;0,"Daniel",""),IF(COUNTIF('Fernando'!$B$6:$B$300,$A31)&gt;0,"Fernando",""),IF(COUNTIF('Stephanie'!$B$6:$B$300,$A31)&gt;0,"Stephanie",""),IF(COUNTIF('Fox'!$B$6:$B$300,$A31)&gt;0,"Fox",""),IF(COUNTIF('Bruna'!$B$6:$B$300,$A31)&gt;0,"Bruna",""),IF(COUNTIF('Stella'!$B$6:$B$300,$A31)&gt;0,"Stella",""),IF(COUNTIF('Igor'!$B$6:$B$300,$A31)&gt;0,"Igor","")))</f>
        <v/>
      </c>
      <c r="H31" s="13" t="n"/>
      <c r="I31" s="13" t="inlineStr">
        <is>
          <t>Concluído</t>
        </is>
      </c>
      <c r="J31" s="17">
        <f>IF(OR($A31="",(COUNTIF('Clarice'!$B$6:$B$300,$A31)+COUNTIF('Luisa'!$B$6:$B$300,$A31)+COUNTIF('Lui'!$B$6:$B$300,$A31)+COUNTIF('Thaís'!$B$6:$B$300,$A31)+COUNTIF('Daniel'!$B$6:$B$300,$A31)+COUNTIF('Fernando'!$B$6:$B$300,$A31)+COUNTIF('Stephanie'!$B$6:$B$300,$A31)+COUNTIF('Fox'!$B$6:$B$300,$A31)+COUNTIF('Bruna'!$B$6:$B$300,$A31)+COUNTIF('Stella'!$B$6:$B$300,$A31)+COUNTIF('Igor'!$B$6:$B$300,$A31))=0),"",(COUNTIFS('Clarice'!$B$6:$B$300,$A31,'Clarice'!$F$6:$F$300,"Concluído")+COUNTIFS('Luisa'!$B$6:$B$300,$A31,'Luisa'!$F$6:$F$300,"Concluído")+COUNTIFS('Lui'!$B$6:$B$300,$A31,'Lui'!$F$6:$F$300,"Concluído")+COUNTIFS('Thaís'!$B$6:$B$300,$A31,'Thaís'!$F$6:$F$300,"Concluído")+COUNTIFS('Daniel'!$B$6:$B$300,$A31,'Daniel'!$F$6:$F$300,"Concluído")+COUNTIFS('Fernando'!$B$6:$B$300,$A31,'Fernando'!$F$6:$F$300,"Concluído")+COUNTIFS('Stephanie'!$B$6:$B$300,$A31,'Stephanie'!$F$6:$F$300,"Concluído")+COUNTIFS('Fox'!$B$6:$B$300,$A31,'Fox'!$F$6:$F$300,"Concluído")+COUNTIFS('Bruna'!$B$6:$B$300,$A31,'Bruna'!$F$6:$F$300,"Concluído")+COUNTIFS('Stella'!$B$6:$B$300,$A31,'Stella'!$F$6:$F$300,"Concluído")+COUNTIFS('Igor'!$B$6:$B$300,$A31,'Igor'!$F$6:$F$300,"Concluído"))&amp;" / "&amp;(COUNTIF('Clarice'!$B$6:$B$300,$A31)+COUNTIF('Luisa'!$B$6:$B$300,$A31)+COUNTIF('Lui'!$B$6:$B$300,$A31)+COUNTIF('Thaís'!$B$6:$B$300,$A31)+COUNTIF('Daniel'!$B$6:$B$300,$A31)+COUNTIF('Fernando'!$B$6:$B$300,$A31)+COUNTIF('Stephanie'!$B$6:$B$300,$A31)+COUNTIF('Fox'!$B$6:$B$300,$A31)+COUNTIF('Bruna'!$B$6:$B$300,$A31)+COUNTIF('Stella'!$B$6:$B$300,$A31)+COUNTIF('Igor'!$B$6:$B$300,$A31)))</f>
        <v/>
      </c>
      <c r="K31" s="19" t="n"/>
      <c r="L31" s="19" t="n"/>
      <c r="M31" s="19" t="n"/>
      <c r="N31" s="19" t="n"/>
      <c r="O31" s="19" t="n"/>
      <c r="P31" s="20">
        <f>IF($A31="","",IF(M31&lt;&gt;"",M31,IF(K31&lt;&gt;"",K31,"")))</f>
        <v/>
      </c>
      <c r="Q31" s="20">
        <f>IF($A31="","",IF(N31&lt;&gt;"",N31,IF(L31&lt;&gt;"",L31,"")))</f>
        <v/>
      </c>
      <c r="R31" s="15" t="n"/>
      <c r="S31" s="16">
        <f t="array" ref="S31">IF($A31="","",_xlfn.TEXTJOIN(CHAR(10),TRUE,IF('Clarice'!$B$6:$B$300=$A31,"Clarice"&amp;IF('Clarice'!$E$6:$E$300="",""," : "&amp;'Clarice'!$E$6:$E$300)&amp;" ["&amp;'Clarice'!$F$6:$F$300&amp;"]",""),IF('Luisa'!$B$6:$B$300=$A31,"Luisa"&amp;IF('Luisa'!$E$6:$E$300="",""," : "&amp;'Luisa'!$E$6:$E$300)&amp;" ["&amp;'Luisa'!$F$6:$F$300&amp;"]",""),IF('Lui'!$B$6:$B$300=$A31,"Lui"&amp;IF('Lui'!$E$6:$E$300="",""," : "&amp;'Lui'!$E$6:$E$300)&amp;" ["&amp;'Lui'!$F$6:$F$300&amp;"]",""),IF('Thaís'!$B$6:$B$300=$A31,"Thaís"&amp;IF('Thaís'!$E$6:$E$300="",""," : "&amp;'Thaís'!$E$6:$E$300)&amp;" ["&amp;'Thaís'!$F$6:$F$300&amp;"]",""),IF('Daniel'!$B$6:$B$300=$A31,"Daniel"&amp;IF('Daniel'!$E$6:$E$300="",""," : "&amp;'Daniel'!$E$6:$E$300)&amp;" ["&amp;'Daniel'!$F$6:$F$300&amp;"]",""),IF('Fernando'!$B$6:$B$300=$A31,"Fernando"&amp;IF('Fernando'!$E$6:$E$300="",""," : "&amp;'Fernando'!$E$6:$E$300)&amp;" ["&amp;'Fernando'!$F$6:$F$300&amp;"]",""),IF('Stephanie'!$B$6:$B$300=$A31,"Stephanie"&amp;IF('Stephanie'!$E$6:$E$300="",""," : "&amp;'Stephanie'!$E$6:$E$300)&amp;" ["&amp;'Stephanie'!$F$6:$F$300&amp;"]",""),IF('Fox'!$B$6:$B$300=$A31,"Fox"&amp;IF('Fox'!$E$6:$E$300="",""," : "&amp;'Fox'!$E$6:$E$300)&amp;" ["&amp;'Fox'!$F$6:$F$300&amp;"]",""),IF('Bruna'!$B$6:$B$300=$A31,"Bruna"&amp;IF('Bruna'!$E$6:$E$300="",""," : "&amp;'Bruna'!$E$6:$E$300)&amp;" ["&amp;'Bruna'!$F$6:$F$300&amp;"]",""),IF('Stella'!$B$6:$B$300=$A31,"Stella"&amp;IF('Stella'!$E$6:$E$300="",""," : "&amp;'Stella'!$E$6:$E$300)&amp;" ["&amp;'Stella'!$F$6:$F$300&amp;"]",""),IF('Igor'!$B$6:$B$300=$A31,"Igor"&amp;IF('Igor'!$E$6:$E$300="",""," : "&amp;'Igor'!$E$6:$E$300)&amp;" ["&amp;'Igor'!$F$6:$F$300&amp;"]","")))</f>
        <v/>
      </c>
    </row>
    <row r="32" ht="28" customHeight="1">
      <c r="A32" s="13" t="inlineStr">
        <is>
          <t>EC-004</t>
        </is>
      </c>
      <c r="B32" s="14" t="inlineStr">
        <is>
          <t>Etapa 2: Construção das métricas | Atividade 7: Operacionalização das métricas | Atividade 8: Aplicação das métricas</t>
        </is>
      </c>
      <c r="C32" s="14" t="inlineStr">
        <is>
          <t>2. Aplicação da EC</t>
        </is>
      </c>
      <c r="D32" s="14" t="inlineStr">
        <is>
          <t>2.1 UTGCA</t>
        </is>
      </c>
      <c r="E32" s="15" t="inlineStr">
        <is>
          <t>Procurar os dados das espécies na literatura (UTGCA)</t>
        </is>
      </c>
      <c r="F32" s="13" t="inlineStr">
        <is>
          <t>Clarice</t>
        </is>
      </c>
      <c r="G32" s="16">
        <f>IF($A32="","",_xlfn.TEXTJOIN("; ",TRUE,IF(COUNTIF('Clarice'!$B$6:$B$300,$A32)&gt;0,"Clarice",""),IF(COUNTIF('Luisa'!$B$6:$B$300,$A32)&gt;0,"Luisa",""),IF(COUNTIF('Lui'!$B$6:$B$300,$A32)&gt;0,"Lui",""),IF(COUNTIF('Thaís'!$B$6:$B$300,$A32)&gt;0,"Thaís",""),IF(COUNTIF('Daniel'!$B$6:$B$300,$A32)&gt;0,"Daniel",""),IF(COUNTIF('Fernando'!$B$6:$B$300,$A32)&gt;0,"Fernando",""),IF(COUNTIF('Stephanie'!$B$6:$B$300,$A32)&gt;0,"Stephanie",""),IF(COUNTIF('Fox'!$B$6:$B$300,$A32)&gt;0,"Fox",""),IF(COUNTIF('Bruna'!$B$6:$B$300,$A32)&gt;0,"Bruna",""),IF(COUNTIF('Stella'!$B$6:$B$300,$A32)&gt;0,"Stella",""),IF(COUNTIF('Igor'!$B$6:$B$300,$A32)&gt;0,"Igor","")))</f>
        <v/>
      </c>
      <c r="H32" s="13" t="n"/>
      <c r="I32" s="13" t="inlineStr">
        <is>
          <t>Concluído</t>
        </is>
      </c>
      <c r="J32" s="17">
        <f>IF(OR($A32="",(COUNTIF('Clarice'!$B$6:$B$300,$A32)+COUNTIF('Luisa'!$B$6:$B$300,$A32)+COUNTIF('Lui'!$B$6:$B$300,$A32)+COUNTIF('Thaís'!$B$6:$B$300,$A32)+COUNTIF('Daniel'!$B$6:$B$300,$A32)+COUNTIF('Fernando'!$B$6:$B$300,$A32)+COUNTIF('Stephanie'!$B$6:$B$300,$A32)+COUNTIF('Fox'!$B$6:$B$300,$A32)+COUNTIF('Bruna'!$B$6:$B$300,$A32)+COUNTIF('Stella'!$B$6:$B$300,$A32)+COUNTIF('Igor'!$B$6:$B$300,$A32))=0),"",(COUNTIFS('Clarice'!$B$6:$B$300,$A32,'Clarice'!$F$6:$F$300,"Concluído")+COUNTIFS('Luisa'!$B$6:$B$300,$A32,'Luisa'!$F$6:$F$300,"Concluído")+COUNTIFS('Lui'!$B$6:$B$300,$A32,'Lui'!$F$6:$F$300,"Concluído")+COUNTIFS('Thaís'!$B$6:$B$300,$A32,'Thaís'!$F$6:$F$300,"Concluído")+COUNTIFS('Daniel'!$B$6:$B$300,$A32,'Daniel'!$F$6:$F$300,"Concluído")+COUNTIFS('Fernando'!$B$6:$B$300,$A32,'Fernando'!$F$6:$F$300,"Concluído")+COUNTIFS('Stephanie'!$B$6:$B$300,$A32,'Stephanie'!$F$6:$F$300,"Concluído")+COUNTIFS('Fox'!$B$6:$B$300,$A32,'Fox'!$F$6:$F$300,"Concluído")+COUNTIFS('Bruna'!$B$6:$B$300,$A32,'Bruna'!$F$6:$F$300,"Concluído")+COUNTIFS('Stella'!$B$6:$B$300,$A32,'Stella'!$F$6:$F$300,"Concluído")+COUNTIFS('Igor'!$B$6:$B$300,$A32,'Igor'!$F$6:$F$300,"Concluído"))&amp;" / "&amp;(COUNTIF('Clarice'!$B$6:$B$300,$A32)+COUNTIF('Luisa'!$B$6:$B$300,$A32)+COUNTIF('Lui'!$B$6:$B$300,$A32)+COUNTIF('Thaís'!$B$6:$B$300,$A32)+COUNTIF('Daniel'!$B$6:$B$300,$A32)+COUNTIF('Fernando'!$B$6:$B$300,$A32)+COUNTIF('Stephanie'!$B$6:$B$300,$A32)+COUNTIF('Fox'!$B$6:$B$300,$A32)+COUNTIF('Bruna'!$B$6:$B$300,$A32)+COUNTIF('Stella'!$B$6:$B$300,$A32)+COUNTIF('Igor'!$B$6:$B$300,$A32)))</f>
        <v/>
      </c>
      <c r="K32" s="19" t="n"/>
      <c r="L32" s="19" t="n"/>
      <c r="M32" s="19" t="n"/>
      <c r="N32" s="19" t="n"/>
      <c r="O32" s="19" t="n"/>
      <c r="P32" s="20">
        <f>IF($A32="","",IF(M32&lt;&gt;"",M32,IF(K32&lt;&gt;"",K32,"")))</f>
        <v/>
      </c>
      <c r="Q32" s="20">
        <f>IF($A32="","",IF(N32&lt;&gt;"",N32,IF(L32&lt;&gt;"",L32,"")))</f>
        <v/>
      </c>
      <c r="R32" s="15" t="n"/>
      <c r="S32" s="16">
        <f t="array" ref="S32">IF($A32="","",_xlfn.TEXTJOIN(CHAR(10),TRUE,IF('Clarice'!$B$6:$B$300=$A32,"Clarice"&amp;IF('Clarice'!$E$6:$E$300="",""," : "&amp;'Clarice'!$E$6:$E$300)&amp;" ["&amp;'Clarice'!$F$6:$F$300&amp;"]",""),IF('Luisa'!$B$6:$B$300=$A32,"Luisa"&amp;IF('Luisa'!$E$6:$E$300="",""," : "&amp;'Luisa'!$E$6:$E$300)&amp;" ["&amp;'Luisa'!$F$6:$F$300&amp;"]",""),IF('Lui'!$B$6:$B$300=$A32,"Lui"&amp;IF('Lui'!$E$6:$E$300="",""," : "&amp;'Lui'!$E$6:$E$300)&amp;" ["&amp;'Lui'!$F$6:$F$300&amp;"]",""),IF('Thaís'!$B$6:$B$300=$A32,"Thaís"&amp;IF('Thaís'!$E$6:$E$300="",""," : "&amp;'Thaís'!$E$6:$E$300)&amp;" ["&amp;'Thaís'!$F$6:$F$300&amp;"]",""),IF('Daniel'!$B$6:$B$300=$A32,"Daniel"&amp;IF('Daniel'!$E$6:$E$300="",""," : "&amp;'Daniel'!$E$6:$E$300)&amp;" ["&amp;'Daniel'!$F$6:$F$300&amp;"]",""),IF('Fernando'!$B$6:$B$300=$A32,"Fernando"&amp;IF('Fernando'!$E$6:$E$300="",""," : "&amp;'Fernando'!$E$6:$E$300)&amp;" ["&amp;'Fernando'!$F$6:$F$300&amp;"]",""),IF('Stephanie'!$B$6:$B$300=$A32,"Stephanie"&amp;IF('Stephanie'!$E$6:$E$300="",""," : "&amp;'Stephanie'!$E$6:$E$300)&amp;" ["&amp;'Stephanie'!$F$6:$F$300&amp;"]",""),IF('Fox'!$B$6:$B$300=$A32,"Fox"&amp;IF('Fox'!$E$6:$E$300="",""," : "&amp;'Fox'!$E$6:$E$300)&amp;" ["&amp;'Fox'!$F$6:$F$300&amp;"]",""),IF('Bruna'!$B$6:$B$300=$A32,"Bruna"&amp;IF('Bruna'!$E$6:$E$300="",""," : "&amp;'Bruna'!$E$6:$E$300)&amp;" ["&amp;'Bruna'!$F$6:$F$300&amp;"]",""),IF('Stella'!$B$6:$B$300=$A32,"Stella"&amp;IF('Stella'!$E$6:$E$300="",""," : "&amp;'Stella'!$E$6:$E$300)&amp;" ["&amp;'Stella'!$F$6:$F$300&amp;"]",""),IF('Igor'!$B$6:$B$300=$A32,"Igor"&amp;IF('Igor'!$E$6:$E$300="",""," : "&amp;'Igor'!$E$6:$E$300)&amp;" ["&amp;'Igor'!$F$6:$F$300&amp;"]","")))</f>
        <v/>
      </c>
    </row>
    <row r="33" ht="40.5" customHeight="1">
      <c r="A33" s="13" t="inlineStr">
        <is>
          <t>EC-005</t>
        </is>
      </c>
      <c r="B33" s="14" t="inlineStr">
        <is>
          <t>Etapa 2: Construção das métricas | Atividade 7: Operacionalização das métricas | Atividade 8: Aplicação das métricas</t>
        </is>
      </c>
      <c r="C33" s="14" t="inlineStr">
        <is>
          <t>2. Aplicação da EC</t>
        </is>
      </c>
      <c r="D33" s="14" t="inlineStr">
        <is>
          <t>2.1 UTGCA</t>
        </is>
      </c>
      <c r="E33" s="15" t="inlineStr">
        <is>
          <t>Definir os buffers e as áreas de estudo (UTGCA)</t>
        </is>
      </c>
      <c r="F33" s="13" t="inlineStr">
        <is>
          <t>Clarice</t>
        </is>
      </c>
      <c r="G33" s="16">
        <f>IF($A33="","",_xlfn.TEXTJOIN("; ",TRUE,IF(COUNTIF('Clarice'!$B$6:$B$300,$A33)&gt;0,"Clarice",""),IF(COUNTIF('Luisa'!$B$6:$B$300,$A33)&gt;0,"Luisa",""),IF(COUNTIF('Lui'!$B$6:$B$300,$A33)&gt;0,"Lui",""),IF(COUNTIF('Thaís'!$B$6:$B$300,$A33)&gt;0,"Thaís",""),IF(COUNTIF('Daniel'!$B$6:$B$300,$A33)&gt;0,"Daniel",""),IF(COUNTIF('Fernando'!$B$6:$B$300,$A33)&gt;0,"Fernando",""),IF(COUNTIF('Stephanie'!$B$6:$B$300,$A33)&gt;0,"Stephanie",""),IF(COUNTIF('Fox'!$B$6:$B$300,$A33)&gt;0,"Fox",""),IF(COUNTIF('Bruna'!$B$6:$B$300,$A33)&gt;0,"Bruna",""),IF(COUNTIF('Stella'!$B$6:$B$300,$A33)&gt;0,"Stella",""),IF(COUNTIF('Igor'!$B$6:$B$300,$A33)&gt;0,"Igor","")))</f>
        <v/>
      </c>
      <c r="H33" s="13" t="n"/>
      <c r="I33" s="13" t="inlineStr">
        <is>
          <t>Concluído</t>
        </is>
      </c>
      <c r="J33" s="17">
        <f>IF(OR($A33="",(COUNTIF('Clarice'!$B$6:$B$300,$A33)+COUNTIF('Luisa'!$B$6:$B$300,$A33)+COUNTIF('Lui'!$B$6:$B$300,$A33)+COUNTIF('Thaís'!$B$6:$B$300,$A33)+COUNTIF('Daniel'!$B$6:$B$300,$A33)+COUNTIF('Fernando'!$B$6:$B$300,$A33)+COUNTIF('Stephanie'!$B$6:$B$300,$A33)+COUNTIF('Fox'!$B$6:$B$300,$A33)+COUNTIF('Bruna'!$B$6:$B$300,$A33)+COUNTIF('Stella'!$B$6:$B$300,$A33)+COUNTIF('Igor'!$B$6:$B$300,$A33))=0),"",(COUNTIFS('Clarice'!$B$6:$B$300,$A33,'Clarice'!$F$6:$F$300,"Concluído")+COUNTIFS('Luisa'!$B$6:$B$300,$A33,'Luisa'!$F$6:$F$300,"Concluído")+COUNTIFS('Lui'!$B$6:$B$300,$A33,'Lui'!$F$6:$F$300,"Concluído")+COUNTIFS('Thaís'!$B$6:$B$300,$A33,'Thaís'!$F$6:$F$300,"Concluído")+COUNTIFS('Daniel'!$B$6:$B$300,$A33,'Daniel'!$F$6:$F$300,"Concluído")+COUNTIFS('Fernando'!$B$6:$B$300,$A33,'Fernando'!$F$6:$F$300,"Concluído")+COUNTIFS('Stephanie'!$B$6:$B$300,$A33,'Stephanie'!$F$6:$F$300,"Concluído")+COUNTIFS('Fox'!$B$6:$B$300,$A33,'Fox'!$F$6:$F$300,"Concluído")+COUNTIFS('Bruna'!$B$6:$B$300,$A33,'Bruna'!$F$6:$F$300,"Concluído")+COUNTIFS('Stella'!$B$6:$B$300,$A33,'Stella'!$F$6:$F$300,"Concluído")+COUNTIFS('Igor'!$B$6:$B$300,$A33,'Igor'!$F$6:$F$300,"Concluído"))&amp;" / "&amp;(COUNTIF('Clarice'!$B$6:$B$300,$A33)+COUNTIF('Luisa'!$B$6:$B$300,$A33)+COUNTIF('Lui'!$B$6:$B$300,$A33)+COUNTIF('Thaís'!$B$6:$B$300,$A33)+COUNTIF('Daniel'!$B$6:$B$300,$A33)+COUNTIF('Fernando'!$B$6:$B$300,$A33)+COUNTIF('Stephanie'!$B$6:$B$300,$A33)+COUNTIF('Fox'!$B$6:$B$300,$A33)+COUNTIF('Bruna'!$B$6:$B$300,$A33)+COUNTIF('Stella'!$B$6:$B$300,$A33)+COUNTIF('Igor'!$B$6:$B$300,$A33)))</f>
        <v/>
      </c>
      <c r="K33" s="19" t="n"/>
      <c r="L33" s="19" t="n"/>
      <c r="M33" s="19" t="n"/>
      <c r="N33" s="19" t="n"/>
      <c r="O33" s="19" t="n"/>
      <c r="P33" s="20">
        <f>IF($A33="","",IF(M33&lt;&gt;"",M33,IF(K33&lt;&gt;"",K33,"")))</f>
        <v/>
      </c>
      <c r="Q33" s="20">
        <f>IF($A33="","",IF(N33&lt;&gt;"",N33,IF(L33&lt;&gt;"",L33,"")))</f>
        <v/>
      </c>
      <c r="R33" s="15" t="n"/>
      <c r="S33" s="16">
        <f t="array" ref="S33">IF($A33="","",_xlfn.TEXTJOIN(CHAR(10),TRUE,IF('Clarice'!$B$6:$B$300=$A33,"Clarice"&amp;IF('Clarice'!$E$6:$E$300="",""," : "&amp;'Clarice'!$E$6:$E$300)&amp;" ["&amp;'Clarice'!$F$6:$F$300&amp;"]",""),IF('Luisa'!$B$6:$B$300=$A33,"Luisa"&amp;IF('Luisa'!$E$6:$E$300="",""," : "&amp;'Luisa'!$E$6:$E$300)&amp;" ["&amp;'Luisa'!$F$6:$F$300&amp;"]",""),IF('Lui'!$B$6:$B$300=$A33,"Lui"&amp;IF('Lui'!$E$6:$E$300="",""," : "&amp;'Lui'!$E$6:$E$300)&amp;" ["&amp;'Lui'!$F$6:$F$300&amp;"]",""),IF('Thaís'!$B$6:$B$300=$A33,"Thaís"&amp;IF('Thaís'!$E$6:$E$300="",""," : "&amp;'Thaís'!$E$6:$E$300)&amp;" ["&amp;'Thaís'!$F$6:$F$300&amp;"]",""),IF('Daniel'!$B$6:$B$300=$A33,"Daniel"&amp;IF('Daniel'!$E$6:$E$300="",""," : "&amp;'Daniel'!$E$6:$E$300)&amp;" ["&amp;'Daniel'!$F$6:$F$300&amp;"]",""),IF('Fernando'!$B$6:$B$300=$A33,"Fernando"&amp;IF('Fernando'!$E$6:$E$300="",""," : "&amp;'Fernando'!$E$6:$E$300)&amp;" ["&amp;'Fernando'!$F$6:$F$300&amp;"]",""),IF('Stephanie'!$B$6:$B$300=$A33,"Stephanie"&amp;IF('Stephanie'!$E$6:$E$300="",""," : "&amp;'Stephanie'!$E$6:$E$300)&amp;" ["&amp;'Stephanie'!$F$6:$F$300&amp;"]",""),IF('Fox'!$B$6:$B$300=$A33,"Fox"&amp;IF('Fox'!$E$6:$E$300="",""," : "&amp;'Fox'!$E$6:$E$300)&amp;" ["&amp;'Fox'!$F$6:$F$300&amp;"]",""),IF('Bruna'!$B$6:$B$300=$A33,"Bruna"&amp;IF('Bruna'!$E$6:$E$300="",""," : "&amp;'Bruna'!$E$6:$E$300)&amp;" ["&amp;'Bruna'!$F$6:$F$300&amp;"]",""),IF('Stella'!$B$6:$B$300=$A33,"Stella"&amp;IF('Stella'!$E$6:$E$300="",""," : "&amp;'Stella'!$E$6:$E$300)&amp;" ["&amp;'Stella'!$F$6:$F$300&amp;"]",""),IF('Igor'!$B$6:$B$300=$A33,"Igor"&amp;IF('Igor'!$E$6:$E$300="",""," : "&amp;'Igor'!$E$6:$E$300)&amp;" ["&amp;'Igor'!$F$6:$F$300&amp;"]","")))</f>
        <v/>
      </c>
    </row>
    <row r="34" ht="28" customHeight="1">
      <c r="A34" s="13" t="inlineStr">
        <is>
          <t>EC-006</t>
        </is>
      </c>
      <c r="B34" s="14" t="inlineStr">
        <is>
          <t>Etapa 2: Construção das métricas | Atividade 7: Operacionalização das métricas | Atividade 8: Aplicação das métricas</t>
        </is>
      </c>
      <c r="C34" s="14" t="inlineStr">
        <is>
          <t>2. Aplicação da EC</t>
        </is>
      </c>
      <c r="D34" s="14" t="inlineStr">
        <is>
          <t>2.1 UTGCA</t>
        </is>
      </c>
      <c r="E34" s="15" t="inlineStr">
        <is>
          <t>Definir os rasters de uso da terra e shapes de fragmentos para os cenários avaliados (UTGCA)</t>
        </is>
      </c>
      <c r="F34" s="13" t="inlineStr">
        <is>
          <t>Clarice</t>
        </is>
      </c>
      <c r="G34" s="16">
        <f>IF($A34="","",_xlfn.TEXTJOIN("; ",TRUE,IF(COUNTIF('Clarice'!$B$6:$B$300,$A34)&gt;0,"Clarice",""),IF(COUNTIF('Luisa'!$B$6:$B$300,$A34)&gt;0,"Luisa",""),IF(COUNTIF('Lui'!$B$6:$B$300,$A34)&gt;0,"Lui",""),IF(COUNTIF('Thaís'!$B$6:$B$300,$A34)&gt;0,"Thaís",""),IF(COUNTIF('Daniel'!$B$6:$B$300,$A34)&gt;0,"Daniel",""),IF(COUNTIF('Fernando'!$B$6:$B$300,$A34)&gt;0,"Fernando",""),IF(COUNTIF('Stephanie'!$B$6:$B$300,$A34)&gt;0,"Stephanie",""),IF(COUNTIF('Fox'!$B$6:$B$300,$A34)&gt;0,"Fox",""),IF(COUNTIF('Bruna'!$B$6:$B$300,$A34)&gt;0,"Bruna",""),IF(COUNTIF('Stella'!$B$6:$B$300,$A34)&gt;0,"Stella",""),IF(COUNTIF('Igor'!$B$6:$B$300,$A34)&gt;0,"Igor","")))</f>
        <v/>
      </c>
      <c r="H34" s="13" t="n"/>
      <c r="I34" s="13" t="inlineStr">
        <is>
          <t>Concluído</t>
        </is>
      </c>
      <c r="J34" s="17">
        <f>IF(OR($A34="",(COUNTIF('Clarice'!$B$6:$B$300,$A34)+COUNTIF('Luisa'!$B$6:$B$300,$A34)+COUNTIF('Lui'!$B$6:$B$300,$A34)+COUNTIF('Thaís'!$B$6:$B$300,$A34)+COUNTIF('Daniel'!$B$6:$B$300,$A34)+COUNTIF('Fernando'!$B$6:$B$300,$A34)+COUNTIF('Stephanie'!$B$6:$B$300,$A34)+COUNTIF('Fox'!$B$6:$B$300,$A34)+COUNTIF('Bruna'!$B$6:$B$300,$A34)+COUNTIF('Stella'!$B$6:$B$300,$A34)+COUNTIF('Igor'!$B$6:$B$300,$A34))=0),"",(COUNTIFS('Clarice'!$B$6:$B$300,$A34,'Clarice'!$F$6:$F$300,"Concluído")+COUNTIFS('Luisa'!$B$6:$B$300,$A34,'Luisa'!$F$6:$F$300,"Concluído")+COUNTIFS('Lui'!$B$6:$B$300,$A34,'Lui'!$F$6:$F$300,"Concluído")+COUNTIFS('Thaís'!$B$6:$B$300,$A34,'Thaís'!$F$6:$F$300,"Concluído")+COUNTIFS('Daniel'!$B$6:$B$300,$A34,'Daniel'!$F$6:$F$300,"Concluído")+COUNTIFS('Fernando'!$B$6:$B$300,$A34,'Fernando'!$F$6:$F$300,"Concluído")+COUNTIFS('Stephanie'!$B$6:$B$300,$A34,'Stephanie'!$F$6:$F$300,"Concluído")+COUNTIFS('Fox'!$B$6:$B$300,$A34,'Fox'!$F$6:$F$300,"Concluído")+COUNTIFS('Bruna'!$B$6:$B$300,$A34,'Bruna'!$F$6:$F$300,"Concluído")+COUNTIFS('Stella'!$B$6:$B$300,$A34,'Stella'!$F$6:$F$300,"Concluído")+COUNTIFS('Igor'!$B$6:$B$300,$A34,'Igor'!$F$6:$F$300,"Concluído"))&amp;" / "&amp;(COUNTIF('Clarice'!$B$6:$B$300,$A34)+COUNTIF('Luisa'!$B$6:$B$300,$A34)+COUNTIF('Lui'!$B$6:$B$300,$A34)+COUNTIF('Thaís'!$B$6:$B$300,$A34)+COUNTIF('Daniel'!$B$6:$B$300,$A34)+COUNTIF('Fernando'!$B$6:$B$300,$A34)+COUNTIF('Stephanie'!$B$6:$B$300,$A34)+COUNTIF('Fox'!$B$6:$B$300,$A34)+COUNTIF('Bruna'!$B$6:$B$300,$A34)+COUNTIF('Stella'!$B$6:$B$300,$A34)+COUNTIF('Igor'!$B$6:$B$300,$A34)))</f>
        <v/>
      </c>
      <c r="K34" s="19" t="n"/>
      <c r="L34" s="19" t="n"/>
      <c r="M34" s="19" t="n"/>
      <c r="N34" s="19" t="n"/>
      <c r="O34" s="19" t="n"/>
      <c r="P34" s="20">
        <f>IF($A34="","",IF(M34&lt;&gt;"",M34,IF(K34&lt;&gt;"",K34,"")))</f>
        <v/>
      </c>
      <c r="Q34" s="20">
        <f>IF($A34="","",IF(N34&lt;&gt;"",N34,IF(L34&lt;&gt;"",L34,"")))</f>
        <v/>
      </c>
      <c r="R34" s="15" t="n"/>
      <c r="S34" s="16">
        <f t="array" ref="S34">IF($A34="","",_xlfn.TEXTJOIN(CHAR(10),TRUE,IF('Clarice'!$B$6:$B$300=$A34,"Clarice"&amp;IF('Clarice'!$E$6:$E$300="",""," : "&amp;'Clarice'!$E$6:$E$300)&amp;" ["&amp;'Clarice'!$F$6:$F$300&amp;"]",""),IF('Luisa'!$B$6:$B$300=$A34,"Luisa"&amp;IF('Luisa'!$E$6:$E$300="",""," : "&amp;'Luisa'!$E$6:$E$300)&amp;" ["&amp;'Luisa'!$F$6:$F$300&amp;"]",""),IF('Lui'!$B$6:$B$300=$A34,"Lui"&amp;IF('Lui'!$E$6:$E$300="",""," : "&amp;'Lui'!$E$6:$E$300)&amp;" ["&amp;'Lui'!$F$6:$F$300&amp;"]",""),IF('Thaís'!$B$6:$B$300=$A34,"Thaís"&amp;IF('Thaís'!$E$6:$E$300="",""," : "&amp;'Thaís'!$E$6:$E$300)&amp;" ["&amp;'Thaís'!$F$6:$F$300&amp;"]",""),IF('Daniel'!$B$6:$B$300=$A34,"Daniel"&amp;IF('Daniel'!$E$6:$E$300="",""," : "&amp;'Daniel'!$E$6:$E$300)&amp;" ["&amp;'Daniel'!$F$6:$F$300&amp;"]",""),IF('Fernando'!$B$6:$B$300=$A34,"Fernando"&amp;IF('Fernando'!$E$6:$E$300="",""," : "&amp;'Fernando'!$E$6:$E$300)&amp;" ["&amp;'Fernando'!$F$6:$F$300&amp;"]",""),IF('Stephanie'!$B$6:$B$300=$A34,"Stephanie"&amp;IF('Stephanie'!$E$6:$E$300="",""," : "&amp;'Stephanie'!$E$6:$E$300)&amp;" ["&amp;'Stephanie'!$F$6:$F$300&amp;"]",""),IF('Fox'!$B$6:$B$300=$A34,"Fox"&amp;IF('Fox'!$E$6:$E$300="",""," : "&amp;'Fox'!$E$6:$E$300)&amp;" ["&amp;'Fox'!$F$6:$F$300&amp;"]",""),IF('Bruna'!$B$6:$B$300=$A34,"Bruna"&amp;IF('Bruna'!$E$6:$E$300="",""," : "&amp;'Bruna'!$E$6:$E$300)&amp;" ["&amp;'Bruna'!$F$6:$F$300&amp;"]",""),IF('Stella'!$B$6:$B$300=$A34,"Stella"&amp;IF('Stella'!$E$6:$E$300="",""," : "&amp;'Stella'!$E$6:$E$300)&amp;" ["&amp;'Stella'!$F$6:$F$300&amp;"]",""),IF('Igor'!$B$6:$B$300=$A34,"Igor"&amp;IF('Igor'!$E$6:$E$300="",""," : "&amp;'Igor'!$E$6:$E$300)&amp;" ["&amp;'Igor'!$F$6:$F$300&amp;"]","")))</f>
        <v/>
      </c>
    </row>
    <row r="35" ht="28" customHeight="1">
      <c r="A35" s="13" t="inlineStr">
        <is>
          <t>EC-007</t>
        </is>
      </c>
      <c r="B35" s="14" t="inlineStr">
        <is>
          <t>Etapa 2: Construção das métricas | Atividade 7: Operacionalização das métricas | Atividade 8: Aplicação das métricas</t>
        </is>
      </c>
      <c r="C35" s="14" t="inlineStr">
        <is>
          <t>2. Aplicação da EC</t>
        </is>
      </c>
      <c r="D35" s="14" t="inlineStr">
        <is>
          <t>2.1 UTGCA</t>
        </is>
      </c>
      <c r="E35" s="15" t="inlineStr">
        <is>
          <t>Rodar as análises no R (UTGCA)</t>
        </is>
      </c>
      <c r="F35" s="13" t="inlineStr">
        <is>
          <t>Clarice</t>
        </is>
      </c>
      <c r="G35" s="16">
        <f>IF($A35="","",_xlfn.TEXTJOIN("; ",TRUE,IF(COUNTIF('Clarice'!$B$6:$B$300,$A35)&gt;0,"Clarice",""),IF(COUNTIF('Luisa'!$B$6:$B$300,$A35)&gt;0,"Luisa",""),IF(COUNTIF('Lui'!$B$6:$B$300,$A35)&gt;0,"Lui",""),IF(COUNTIF('Thaís'!$B$6:$B$300,$A35)&gt;0,"Thaís",""),IF(COUNTIF('Daniel'!$B$6:$B$300,$A35)&gt;0,"Daniel",""),IF(COUNTIF('Fernando'!$B$6:$B$300,$A35)&gt;0,"Fernando",""),IF(COUNTIF('Stephanie'!$B$6:$B$300,$A35)&gt;0,"Stephanie",""),IF(COUNTIF('Fox'!$B$6:$B$300,$A35)&gt;0,"Fox",""),IF(COUNTIF('Bruna'!$B$6:$B$300,$A35)&gt;0,"Bruna",""),IF(COUNTIF('Stella'!$B$6:$B$300,$A35)&gt;0,"Stella",""),IF(COUNTIF('Igor'!$B$6:$B$300,$A35)&gt;0,"Igor","")))</f>
        <v/>
      </c>
      <c r="H35" s="13" t="n"/>
      <c r="I35" s="13" t="inlineStr">
        <is>
          <t>Concluído</t>
        </is>
      </c>
      <c r="J35" s="17">
        <f>IF(OR($A35="",(COUNTIF('Clarice'!$B$6:$B$300,$A35)+COUNTIF('Luisa'!$B$6:$B$300,$A35)+COUNTIF('Lui'!$B$6:$B$300,$A35)+COUNTIF('Thaís'!$B$6:$B$300,$A35)+COUNTIF('Daniel'!$B$6:$B$300,$A35)+COUNTIF('Fernando'!$B$6:$B$300,$A35)+COUNTIF('Stephanie'!$B$6:$B$300,$A35)+COUNTIF('Fox'!$B$6:$B$300,$A35)+COUNTIF('Bruna'!$B$6:$B$300,$A35)+COUNTIF('Stella'!$B$6:$B$300,$A35)+COUNTIF('Igor'!$B$6:$B$300,$A35))=0),"",(COUNTIFS('Clarice'!$B$6:$B$300,$A35,'Clarice'!$F$6:$F$300,"Concluído")+COUNTIFS('Luisa'!$B$6:$B$300,$A35,'Luisa'!$F$6:$F$300,"Concluído")+COUNTIFS('Lui'!$B$6:$B$300,$A35,'Lui'!$F$6:$F$300,"Concluído")+COUNTIFS('Thaís'!$B$6:$B$300,$A35,'Thaís'!$F$6:$F$300,"Concluído")+COUNTIFS('Daniel'!$B$6:$B$300,$A35,'Daniel'!$F$6:$F$300,"Concluído")+COUNTIFS('Fernando'!$B$6:$B$300,$A35,'Fernando'!$F$6:$F$300,"Concluído")+COUNTIFS('Stephanie'!$B$6:$B$300,$A35,'Stephanie'!$F$6:$F$300,"Concluído")+COUNTIFS('Fox'!$B$6:$B$300,$A35,'Fox'!$F$6:$F$300,"Concluído")+COUNTIFS('Bruna'!$B$6:$B$300,$A35,'Bruna'!$F$6:$F$300,"Concluído")+COUNTIFS('Stella'!$B$6:$B$300,$A35,'Stella'!$F$6:$F$300,"Concluído")+COUNTIFS('Igor'!$B$6:$B$300,$A35,'Igor'!$F$6:$F$300,"Concluído"))&amp;" / "&amp;(COUNTIF('Clarice'!$B$6:$B$300,$A35)+COUNTIF('Luisa'!$B$6:$B$300,$A35)+COUNTIF('Lui'!$B$6:$B$300,$A35)+COUNTIF('Thaís'!$B$6:$B$300,$A35)+COUNTIF('Daniel'!$B$6:$B$300,$A35)+COUNTIF('Fernando'!$B$6:$B$300,$A35)+COUNTIF('Stephanie'!$B$6:$B$300,$A35)+COUNTIF('Fox'!$B$6:$B$300,$A35)+COUNTIF('Bruna'!$B$6:$B$300,$A35)+COUNTIF('Stella'!$B$6:$B$300,$A35)+COUNTIF('Igor'!$B$6:$B$300,$A35)))</f>
        <v/>
      </c>
      <c r="K35" s="19" t="n">
        <v>46097</v>
      </c>
      <c r="L35" s="19" t="n">
        <v>46114</v>
      </c>
      <c r="M35" s="19" t="n">
        <v>46097</v>
      </c>
      <c r="N35" s="19" t="n">
        <v>46157</v>
      </c>
      <c r="O35" s="19" t="n"/>
      <c r="P35" s="20">
        <f>IF($A35="","",IF(M35&lt;&gt;"",M35,IF(K35&lt;&gt;"",K35,"")))</f>
        <v/>
      </c>
      <c r="Q35" s="20">
        <f>IF($A35="","",IF(N35&lt;&gt;"",N35,IF(L35&lt;&gt;"",L35,"")))</f>
        <v/>
      </c>
      <c r="R35" s="15" t="n"/>
      <c r="S35" s="16">
        <f t="array" ref="S35">IF($A35="","",_xlfn.TEXTJOIN(CHAR(10),TRUE,IF('Clarice'!$B$6:$B$300=$A35,"Clarice"&amp;IF('Clarice'!$E$6:$E$300="",""," : "&amp;'Clarice'!$E$6:$E$300)&amp;" ["&amp;'Clarice'!$F$6:$F$300&amp;"]",""),IF('Luisa'!$B$6:$B$300=$A35,"Luisa"&amp;IF('Luisa'!$E$6:$E$300="",""," : "&amp;'Luisa'!$E$6:$E$300)&amp;" ["&amp;'Luisa'!$F$6:$F$300&amp;"]",""),IF('Lui'!$B$6:$B$300=$A35,"Lui"&amp;IF('Lui'!$E$6:$E$300="",""," : "&amp;'Lui'!$E$6:$E$300)&amp;" ["&amp;'Lui'!$F$6:$F$300&amp;"]",""),IF('Thaís'!$B$6:$B$300=$A35,"Thaís"&amp;IF('Thaís'!$E$6:$E$300="",""," : "&amp;'Thaís'!$E$6:$E$300)&amp;" ["&amp;'Thaís'!$F$6:$F$300&amp;"]",""),IF('Daniel'!$B$6:$B$300=$A35,"Daniel"&amp;IF('Daniel'!$E$6:$E$300="",""," : "&amp;'Daniel'!$E$6:$E$300)&amp;" ["&amp;'Daniel'!$F$6:$F$300&amp;"]",""),IF('Fernando'!$B$6:$B$300=$A35,"Fernando"&amp;IF('Fernando'!$E$6:$E$300="",""," : "&amp;'Fernando'!$E$6:$E$300)&amp;" ["&amp;'Fernando'!$F$6:$F$300&amp;"]",""),IF('Stephanie'!$B$6:$B$300=$A35,"Stephanie"&amp;IF('Stephanie'!$E$6:$E$300="",""," : "&amp;'Stephanie'!$E$6:$E$300)&amp;" ["&amp;'Stephanie'!$F$6:$F$300&amp;"]",""),IF('Fox'!$B$6:$B$300=$A35,"Fox"&amp;IF('Fox'!$E$6:$E$300="",""," : "&amp;'Fox'!$E$6:$E$300)&amp;" ["&amp;'Fox'!$F$6:$F$300&amp;"]",""),IF('Bruna'!$B$6:$B$300=$A35,"Bruna"&amp;IF('Bruna'!$E$6:$E$300="",""," : "&amp;'Bruna'!$E$6:$E$300)&amp;" ["&amp;'Bruna'!$F$6:$F$300&amp;"]",""),IF('Stella'!$B$6:$B$300=$A35,"Stella"&amp;IF('Stella'!$E$6:$E$300="",""," : "&amp;'Stella'!$E$6:$E$300)&amp;" ["&amp;'Stella'!$F$6:$F$300&amp;"]",""),IF('Igor'!$B$6:$B$300=$A35,"Igor"&amp;IF('Igor'!$E$6:$E$300="",""," : "&amp;'Igor'!$E$6:$E$300)&amp;" ["&amp;'Igor'!$F$6:$F$300&amp;"]","")))</f>
        <v/>
      </c>
    </row>
    <row r="36" ht="40.5" customHeight="1">
      <c r="A36" s="13" t="inlineStr">
        <is>
          <t>EC-008</t>
        </is>
      </c>
      <c r="B36" s="14" t="inlineStr">
        <is>
          <t>Etapa 2: Construção das métricas | Atividade 7: Operacionalização das métricas | Atividade 8: Aplicação das métricas</t>
        </is>
      </c>
      <c r="C36" s="14" t="inlineStr">
        <is>
          <t>2. Aplicação da EC</t>
        </is>
      </c>
      <c r="D36" s="14" t="inlineStr">
        <is>
          <t>2.1 UTGCA</t>
        </is>
      </c>
      <c r="E36" s="15" t="inlineStr">
        <is>
          <t>Apresentar e consolidar os resultados internamente (UTGCA)</t>
        </is>
      </c>
      <c r="F36" s="13" t="inlineStr">
        <is>
          <t>Clarice</t>
        </is>
      </c>
      <c r="G36" s="16">
        <f>IF($A36="","",_xlfn.TEXTJOIN("; ",TRUE,IF(COUNTIF('Clarice'!$B$6:$B$300,$A36)&gt;0,"Clarice",""),IF(COUNTIF('Luisa'!$B$6:$B$300,$A36)&gt;0,"Luisa",""),IF(COUNTIF('Lui'!$B$6:$B$300,$A36)&gt;0,"Lui",""),IF(COUNTIF('Thaís'!$B$6:$B$300,$A36)&gt;0,"Thaís",""),IF(COUNTIF('Daniel'!$B$6:$B$300,$A36)&gt;0,"Daniel",""),IF(COUNTIF('Fernando'!$B$6:$B$300,$A36)&gt;0,"Fernando",""),IF(COUNTIF('Stephanie'!$B$6:$B$300,$A36)&gt;0,"Stephanie",""),IF(COUNTIF('Fox'!$B$6:$B$300,$A36)&gt;0,"Fox",""),IF(COUNTIF('Bruna'!$B$6:$B$300,$A36)&gt;0,"Bruna",""),IF(COUNTIF('Stella'!$B$6:$B$300,$A36)&gt;0,"Stella",""),IF(COUNTIF('Igor'!$B$6:$B$300,$A36)&gt;0,"Igor","")))</f>
        <v/>
      </c>
      <c r="H36" s="13" t="n"/>
      <c r="I36" s="13" t="inlineStr">
        <is>
          <t>Concluído</t>
        </is>
      </c>
      <c r="J36" s="17">
        <f>IF(OR($A36="",(COUNTIF('Clarice'!$B$6:$B$300,$A36)+COUNTIF('Luisa'!$B$6:$B$300,$A36)+COUNTIF('Lui'!$B$6:$B$300,$A36)+COUNTIF('Thaís'!$B$6:$B$300,$A36)+COUNTIF('Daniel'!$B$6:$B$300,$A36)+COUNTIF('Fernando'!$B$6:$B$300,$A36)+COUNTIF('Stephanie'!$B$6:$B$300,$A36)+COUNTIF('Fox'!$B$6:$B$300,$A36)+COUNTIF('Bruna'!$B$6:$B$300,$A36)+COUNTIF('Stella'!$B$6:$B$300,$A36)+COUNTIF('Igor'!$B$6:$B$300,$A36))=0),"",(COUNTIFS('Clarice'!$B$6:$B$300,$A36,'Clarice'!$F$6:$F$300,"Concluído")+COUNTIFS('Luisa'!$B$6:$B$300,$A36,'Luisa'!$F$6:$F$300,"Concluído")+COUNTIFS('Lui'!$B$6:$B$300,$A36,'Lui'!$F$6:$F$300,"Concluído")+COUNTIFS('Thaís'!$B$6:$B$300,$A36,'Thaís'!$F$6:$F$300,"Concluído")+COUNTIFS('Daniel'!$B$6:$B$300,$A36,'Daniel'!$F$6:$F$300,"Concluído")+COUNTIFS('Fernando'!$B$6:$B$300,$A36,'Fernando'!$F$6:$F$300,"Concluído")+COUNTIFS('Stephanie'!$B$6:$B$300,$A36,'Stephanie'!$F$6:$F$300,"Concluído")+COUNTIFS('Fox'!$B$6:$B$300,$A36,'Fox'!$F$6:$F$300,"Concluído")+COUNTIFS('Bruna'!$B$6:$B$300,$A36,'Bruna'!$F$6:$F$300,"Concluído")+COUNTIFS('Stella'!$B$6:$B$300,$A36,'Stella'!$F$6:$F$300,"Concluído")+COUNTIFS('Igor'!$B$6:$B$300,$A36,'Igor'!$F$6:$F$300,"Concluído"))&amp;" / "&amp;(COUNTIF('Clarice'!$B$6:$B$300,$A36)+COUNTIF('Luisa'!$B$6:$B$300,$A36)+COUNTIF('Lui'!$B$6:$B$300,$A36)+COUNTIF('Thaís'!$B$6:$B$300,$A36)+COUNTIF('Daniel'!$B$6:$B$300,$A36)+COUNTIF('Fernando'!$B$6:$B$300,$A36)+COUNTIF('Stephanie'!$B$6:$B$300,$A36)+COUNTIF('Fox'!$B$6:$B$300,$A36)+COUNTIF('Bruna'!$B$6:$B$300,$A36)+COUNTIF('Stella'!$B$6:$B$300,$A36)+COUNTIF('Igor'!$B$6:$B$300,$A36)))</f>
        <v/>
      </c>
      <c r="K36" s="18" t="n">
        <v>46113</v>
      </c>
      <c r="L36" s="18" t="n">
        <v>46129</v>
      </c>
      <c r="M36" s="18" t="n">
        <v>46113</v>
      </c>
      <c r="N36" s="18" t="n">
        <v>46157</v>
      </c>
      <c r="O36" s="19" t="n">
        <v>46157</v>
      </c>
      <c r="P36" s="20">
        <f>IF($A36="","",IF(M36&lt;&gt;"",M36,IF(K36&lt;&gt;"",K36,"")))</f>
        <v/>
      </c>
      <c r="Q36" s="20">
        <f>IF($A36="","",IF(N36&lt;&gt;"",N36,IF(L36&lt;&gt;"",L36,"")))</f>
        <v/>
      </c>
      <c r="R36" s="15" t="n"/>
      <c r="S36" s="16">
        <f t="array" ref="S36">IF($A36="","",_xlfn.TEXTJOIN(CHAR(10),TRUE,IF('Clarice'!$B$6:$B$300=$A36,"Clarice"&amp;IF('Clarice'!$E$6:$E$300="",""," : "&amp;'Clarice'!$E$6:$E$300)&amp;" ["&amp;'Clarice'!$F$6:$F$300&amp;"]",""),IF('Luisa'!$B$6:$B$300=$A36,"Luisa"&amp;IF('Luisa'!$E$6:$E$300="",""," : "&amp;'Luisa'!$E$6:$E$300)&amp;" ["&amp;'Luisa'!$F$6:$F$300&amp;"]",""),IF('Lui'!$B$6:$B$300=$A36,"Lui"&amp;IF('Lui'!$E$6:$E$300="",""," : "&amp;'Lui'!$E$6:$E$300)&amp;" ["&amp;'Lui'!$F$6:$F$300&amp;"]",""),IF('Thaís'!$B$6:$B$300=$A36,"Thaís"&amp;IF('Thaís'!$E$6:$E$300="",""," : "&amp;'Thaís'!$E$6:$E$300)&amp;" ["&amp;'Thaís'!$F$6:$F$300&amp;"]",""),IF('Daniel'!$B$6:$B$300=$A36,"Daniel"&amp;IF('Daniel'!$E$6:$E$300="",""," : "&amp;'Daniel'!$E$6:$E$300)&amp;" ["&amp;'Daniel'!$F$6:$F$300&amp;"]",""),IF('Fernando'!$B$6:$B$300=$A36,"Fernando"&amp;IF('Fernando'!$E$6:$E$300="",""," : "&amp;'Fernando'!$E$6:$E$300)&amp;" ["&amp;'Fernando'!$F$6:$F$300&amp;"]",""),IF('Stephanie'!$B$6:$B$300=$A36,"Stephanie"&amp;IF('Stephanie'!$E$6:$E$300="",""," : "&amp;'Stephanie'!$E$6:$E$300)&amp;" ["&amp;'Stephanie'!$F$6:$F$300&amp;"]",""),IF('Fox'!$B$6:$B$300=$A36,"Fox"&amp;IF('Fox'!$E$6:$E$300="",""," : "&amp;'Fox'!$E$6:$E$300)&amp;" ["&amp;'Fox'!$F$6:$F$300&amp;"]",""),IF('Bruna'!$B$6:$B$300=$A36,"Bruna"&amp;IF('Bruna'!$E$6:$E$300="",""," : "&amp;'Bruna'!$E$6:$E$300)&amp;" ["&amp;'Bruna'!$F$6:$F$300&amp;"]",""),IF('Stella'!$B$6:$B$300=$A36,"Stella"&amp;IF('Stella'!$E$6:$E$300="",""," : "&amp;'Stella'!$E$6:$E$300)&amp;" ["&amp;'Stella'!$F$6:$F$300&amp;"]",""),IF('Igor'!$B$6:$B$300=$A36,"Igor"&amp;IF('Igor'!$E$6:$E$300="",""," : "&amp;'Igor'!$E$6:$E$300)&amp;" ["&amp;'Igor'!$F$6:$F$300&amp;"]","")))</f>
        <v/>
      </c>
    </row>
    <row r="37" ht="28" customHeight="1">
      <c r="A37" s="13" t="inlineStr">
        <is>
          <t>EC-009</t>
        </is>
      </c>
      <c r="B37" s="14" t="inlineStr">
        <is>
          <t>Etapa 2: Construção das métricas | Atividade 7: Operacionalização das métricas | Atividade 8: Aplicação das métricas</t>
        </is>
      </c>
      <c r="C37" s="14" t="inlineStr">
        <is>
          <t>2. Aplicação da EC</t>
        </is>
      </c>
      <c r="D37" s="14" t="inlineStr">
        <is>
          <t>2.1 UTGCA</t>
        </is>
      </c>
      <c r="E37" s="15" t="inlineStr">
        <is>
          <t>Apresentar os resultados para a Petrobras (UTGCA)</t>
        </is>
      </c>
      <c r="F37" s="13" t="inlineStr">
        <is>
          <t>Clarice</t>
        </is>
      </c>
      <c r="G37" s="16">
        <f>IF($A37="","",_xlfn.TEXTJOIN("; ",TRUE,IF(COUNTIF('Clarice'!$B$6:$B$300,$A37)&gt;0,"Clarice",""),IF(COUNTIF('Luisa'!$B$6:$B$300,$A37)&gt;0,"Luisa",""),IF(COUNTIF('Lui'!$B$6:$B$300,$A37)&gt;0,"Lui",""),IF(COUNTIF('Thaís'!$B$6:$B$300,$A37)&gt;0,"Thaís",""),IF(COUNTIF('Daniel'!$B$6:$B$300,$A37)&gt;0,"Daniel",""),IF(COUNTIF('Fernando'!$B$6:$B$300,$A37)&gt;0,"Fernando",""),IF(COUNTIF('Stephanie'!$B$6:$B$300,$A37)&gt;0,"Stephanie",""),IF(COUNTIF('Fox'!$B$6:$B$300,$A37)&gt;0,"Fox",""),IF(COUNTIF('Bruna'!$B$6:$B$300,$A37)&gt;0,"Bruna",""),IF(COUNTIF('Stella'!$B$6:$B$300,$A37)&gt;0,"Stella",""),IF(COUNTIF('Igor'!$B$6:$B$300,$A37)&gt;0,"Igor","")))</f>
        <v/>
      </c>
      <c r="H37" s="13" t="n"/>
      <c r="I37" s="13" t="inlineStr">
        <is>
          <t>Concluído</t>
        </is>
      </c>
      <c r="J37" s="17">
        <f>IF(OR($A37="",(COUNTIF('Clarice'!$B$6:$B$300,$A37)+COUNTIF('Luisa'!$B$6:$B$300,$A37)+COUNTIF('Lui'!$B$6:$B$300,$A37)+COUNTIF('Thaís'!$B$6:$B$300,$A37)+COUNTIF('Daniel'!$B$6:$B$300,$A37)+COUNTIF('Fernando'!$B$6:$B$300,$A37)+COUNTIF('Stephanie'!$B$6:$B$300,$A37)+COUNTIF('Fox'!$B$6:$B$300,$A37)+COUNTIF('Bruna'!$B$6:$B$300,$A37)+COUNTIF('Stella'!$B$6:$B$300,$A37)+COUNTIF('Igor'!$B$6:$B$300,$A37))=0),"",(COUNTIFS('Clarice'!$B$6:$B$300,$A37,'Clarice'!$F$6:$F$300,"Concluído")+COUNTIFS('Luisa'!$B$6:$B$300,$A37,'Luisa'!$F$6:$F$300,"Concluído")+COUNTIFS('Lui'!$B$6:$B$300,$A37,'Lui'!$F$6:$F$300,"Concluído")+COUNTIFS('Thaís'!$B$6:$B$300,$A37,'Thaís'!$F$6:$F$300,"Concluído")+COUNTIFS('Daniel'!$B$6:$B$300,$A37,'Daniel'!$F$6:$F$300,"Concluído")+COUNTIFS('Fernando'!$B$6:$B$300,$A37,'Fernando'!$F$6:$F$300,"Concluído")+COUNTIFS('Stephanie'!$B$6:$B$300,$A37,'Stephanie'!$F$6:$F$300,"Concluído")+COUNTIFS('Fox'!$B$6:$B$300,$A37,'Fox'!$F$6:$F$300,"Concluído")+COUNTIFS('Bruna'!$B$6:$B$300,$A37,'Bruna'!$F$6:$F$300,"Concluído")+COUNTIFS('Stella'!$B$6:$B$300,$A37,'Stella'!$F$6:$F$300,"Concluído")+COUNTIFS('Igor'!$B$6:$B$300,$A37,'Igor'!$F$6:$F$300,"Concluído"))&amp;" / "&amp;(COUNTIF('Clarice'!$B$6:$B$300,$A37)+COUNTIF('Luisa'!$B$6:$B$300,$A37)+COUNTIF('Lui'!$B$6:$B$300,$A37)+COUNTIF('Thaís'!$B$6:$B$300,$A37)+COUNTIF('Daniel'!$B$6:$B$300,$A37)+COUNTIF('Fernando'!$B$6:$B$300,$A37)+COUNTIF('Stephanie'!$B$6:$B$300,$A37)+COUNTIF('Fox'!$B$6:$B$300,$A37)+COUNTIF('Bruna'!$B$6:$B$300,$A37)+COUNTIF('Stella'!$B$6:$B$300,$A37)+COUNTIF('Igor'!$B$6:$B$300,$A37)))</f>
        <v/>
      </c>
      <c r="K37" s="18" t="n">
        <v>46132</v>
      </c>
      <c r="L37" s="18" t="n">
        <v>46142</v>
      </c>
      <c r="M37" s="18" t="n">
        <v>46132</v>
      </c>
      <c r="N37" s="18" t="n">
        <v>46164</v>
      </c>
      <c r="O37" s="19" t="n">
        <v>46161</v>
      </c>
      <c r="P37" s="20">
        <f>IF($A37="","",IF(M37&lt;&gt;"",M37,IF(K37&lt;&gt;"",K37,"")))</f>
        <v/>
      </c>
      <c r="Q37" s="20">
        <f>IF($A37="","",IF(N37&lt;&gt;"",N37,IF(L37&lt;&gt;"",L37,"")))</f>
        <v/>
      </c>
      <c r="R37" s="15" t="n"/>
      <c r="S37" s="16">
        <f t="array" ref="S37">IF($A37="","",_xlfn.TEXTJOIN(CHAR(10),TRUE,IF('Clarice'!$B$6:$B$300=$A37,"Clarice"&amp;IF('Clarice'!$E$6:$E$300="",""," : "&amp;'Clarice'!$E$6:$E$300)&amp;" ["&amp;'Clarice'!$F$6:$F$300&amp;"]",""),IF('Luisa'!$B$6:$B$300=$A37,"Luisa"&amp;IF('Luisa'!$E$6:$E$300="",""," : "&amp;'Luisa'!$E$6:$E$300)&amp;" ["&amp;'Luisa'!$F$6:$F$300&amp;"]",""),IF('Lui'!$B$6:$B$300=$A37,"Lui"&amp;IF('Lui'!$E$6:$E$300="",""," : "&amp;'Lui'!$E$6:$E$300)&amp;" ["&amp;'Lui'!$F$6:$F$300&amp;"]",""),IF('Thaís'!$B$6:$B$300=$A37,"Thaís"&amp;IF('Thaís'!$E$6:$E$300="",""," : "&amp;'Thaís'!$E$6:$E$300)&amp;" ["&amp;'Thaís'!$F$6:$F$300&amp;"]",""),IF('Daniel'!$B$6:$B$300=$A37,"Daniel"&amp;IF('Daniel'!$E$6:$E$300="",""," : "&amp;'Daniel'!$E$6:$E$300)&amp;" ["&amp;'Daniel'!$F$6:$F$300&amp;"]",""),IF('Fernando'!$B$6:$B$300=$A37,"Fernando"&amp;IF('Fernando'!$E$6:$E$300="",""," : "&amp;'Fernando'!$E$6:$E$300)&amp;" ["&amp;'Fernando'!$F$6:$F$300&amp;"]",""),IF('Stephanie'!$B$6:$B$300=$A37,"Stephanie"&amp;IF('Stephanie'!$E$6:$E$300="",""," : "&amp;'Stephanie'!$E$6:$E$300)&amp;" ["&amp;'Stephanie'!$F$6:$F$300&amp;"]",""),IF('Fox'!$B$6:$B$300=$A37,"Fox"&amp;IF('Fox'!$E$6:$E$300="",""," : "&amp;'Fox'!$E$6:$E$300)&amp;" ["&amp;'Fox'!$F$6:$F$300&amp;"]",""),IF('Bruna'!$B$6:$B$300=$A37,"Bruna"&amp;IF('Bruna'!$E$6:$E$300="",""," : "&amp;'Bruna'!$E$6:$E$300)&amp;" ["&amp;'Bruna'!$F$6:$F$300&amp;"]",""),IF('Stella'!$B$6:$B$300=$A37,"Stella"&amp;IF('Stella'!$E$6:$E$300="",""," : "&amp;'Stella'!$E$6:$E$300)&amp;" ["&amp;'Stella'!$F$6:$F$300&amp;"]",""),IF('Igor'!$B$6:$B$300=$A37,"Igor"&amp;IF('Igor'!$E$6:$E$300="",""," : "&amp;'Igor'!$E$6:$E$300)&amp;" ["&amp;'Igor'!$F$6:$F$300&amp;"]","")))</f>
        <v/>
      </c>
    </row>
    <row r="38" ht="28" customHeight="1">
      <c r="A38" s="13" t="inlineStr">
        <is>
          <t>EC-010</t>
        </is>
      </c>
      <c r="B38" s="14" t="inlineStr">
        <is>
          <t>Etapa 2: Construção das métricas | Atividade 7: Operacionalização das métricas | Atividade 8: Aplicação das métricas</t>
        </is>
      </c>
      <c r="C38" s="14" t="inlineStr">
        <is>
          <t>2. Aplicação da EC</t>
        </is>
      </c>
      <c r="D38" s="14" t="inlineStr">
        <is>
          <t>2.1 UTGCA</t>
        </is>
      </c>
      <c r="E38" s="15" t="inlineStr">
        <is>
          <t>Bruna conversar com Clarice e Thaís sobre novo cenário da UTGCA</t>
        </is>
      </c>
      <c r="F38" s="13" t="inlineStr">
        <is>
          <t>Clarice</t>
        </is>
      </c>
      <c r="G38" s="16">
        <f>IF($A38="","",_xlfn.TEXTJOIN("; ",TRUE,IF(COUNTIF('Clarice'!$B$6:$B$300,$A38)&gt;0,"Clarice",""),IF(COUNTIF('Luisa'!$B$6:$B$300,$A38)&gt;0,"Luisa",""),IF(COUNTIF('Lui'!$B$6:$B$300,$A38)&gt;0,"Lui",""),IF(COUNTIF('Thaís'!$B$6:$B$300,$A38)&gt;0,"Thaís",""),IF(COUNTIF('Daniel'!$B$6:$B$300,$A38)&gt;0,"Daniel",""),IF(COUNTIF('Fernando'!$B$6:$B$300,$A38)&gt;0,"Fernando",""),IF(COUNTIF('Stephanie'!$B$6:$B$300,$A38)&gt;0,"Stephanie",""),IF(COUNTIF('Fox'!$B$6:$B$300,$A38)&gt;0,"Fox",""),IF(COUNTIF('Bruna'!$B$6:$B$300,$A38)&gt;0,"Bruna",""),IF(COUNTIF('Stella'!$B$6:$B$300,$A38)&gt;0,"Stella",""),IF(COUNTIF('Igor'!$B$6:$B$300,$A38)&gt;0,"Igor","")))</f>
        <v/>
      </c>
      <c r="H38" s="13" t="n"/>
      <c r="I38" s="13" t="inlineStr">
        <is>
          <t>Concluído</t>
        </is>
      </c>
      <c r="J38" s="17">
        <f>IF(OR($A38="",(COUNTIF('Clarice'!$B$6:$B$300,$A38)+COUNTIF('Luisa'!$B$6:$B$300,$A38)+COUNTIF('Lui'!$B$6:$B$300,$A38)+COUNTIF('Thaís'!$B$6:$B$300,$A38)+COUNTIF('Daniel'!$B$6:$B$300,$A38)+COUNTIF('Fernando'!$B$6:$B$300,$A38)+COUNTIF('Stephanie'!$B$6:$B$300,$A38)+COUNTIF('Fox'!$B$6:$B$300,$A38)+COUNTIF('Bruna'!$B$6:$B$300,$A38)+COUNTIF('Stella'!$B$6:$B$300,$A38)+COUNTIF('Igor'!$B$6:$B$300,$A38))=0),"",(COUNTIFS('Clarice'!$B$6:$B$300,$A38,'Clarice'!$F$6:$F$300,"Concluído")+COUNTIFS('Luisa'!$B$6:$B$300,$A38,'Luisa'!$F$6:$F$300,"Concluído")+COUNTIFS('Lui'!$B$6:$B$300,$A38,'Lui'!$F$6:$F$300,"Concluído")+COUNTIFS('Thaís'!$B$6:$B$300,$A38,'Thaís'!$F$6:$F$300,"Concluído")+COUNTIFS('Daniel'!$B$6:$B$300,$A38,'Daniel'!$F$6:$F$300,"Concluído")+COUNTIFS('Fernando'!$B$6:$B$300,$A38,'Fernando'!$F$6:$F$300,"Concluído")+COUNTIFS('Stephanie'!$B$6:$B$300,$A38,'Stephanie'!$F$6:$F$300,"Concluído")+COUNTIFS('Fox'!$B$6:$B$300,$A38,'Fox'!$F$6:$F$300,"Concluído")+COUNTIFS('Bruna'!$B$6:$B$300,$A38,'Bruna'!$F$6:$F$300,"Concluído")+COUNTIFS('Stella'!$B$6:$B$300,$A38,'Stella'!$F$6:$F$300,"Concluído")+COUNTIFS('Igor'!$B$6:$B$300,$A38,'Igor'!$F$6:$F$300,"Concluído"))&amp;" / "&amp;(COUNTIF('Clarice'!$B$6:$B$300,$A38)+COUNTIF('Luisa'!$B$6:$B$300,$A38)+COUNTIF('Lui'!$B$6:$B$300,$A38)+COUNTIF('Thaís'!$B$6:$B$300,$A38)+COUNTIF('Daniel'!$B$6:$B$300,$A38)+COUNTIF('Fernando'!$B$6:$B$300,$A38)+COUNTIF('Stephanie'!$B$6:$B$300,$A38)+COUNTIF('Fox'!$B$6:$B$300,$A38)+COUNTIF('Bruna'!$B$6:$B$300,$A38)+COUNTIF('Stella'!$B$6:$B$300,$A38)+COUNTIF('Igor'!$B$6:$B$300,$A38)))</f>
        <v/>
      </c>
      <c r="K38" s="19" t="n"/>
      <c r="L38" s="19" t="n"/>
      <c r="M38" s="18" t="n">
        <v>46160</v>
      </c>
      <c r="N38" s="18" t="n">
        <v>46185</v>
      </c>
      <c r="O38" s="19" t="n"/>
      <c r="P38" s="20">
        <f>IF($A38="","",IF(M38&lt;&gt;"",M38,IF(K38&lt;&gt;"",K38,"")))</f>
        <v/>
      </c>
      <c r="Q38" s="20">
        <f>IF($A38="","",IF(N38&lt;&gt;"",N38,IF(L38&lt;&gt;"",L38,"")))</f>
        <v/>
      </c>
      <c r="R38" s="15" t="n"/>
      <c r="S38" s="16">
        <f t="array" ref="S38">IF($A38="","",_xlfn.TEXTJOIN(CHAR(10),TRUE,IF('Clarice'!$B$6:$B$300=$A38,"Clarice"&amp;IF('Clarice'!$E$6:$E$300="",""," : "&amp;'Clarice'!$E$6:$E$300)&amp;" ["&amp;'Clarice'!$F$6:$F$300&amp;"]",""),IF('Luisa'!$B$6:$B$300=$A38,"Luisa"&amp;IF('Luisa'!$E$6:$E$300="",""," : "&amp;'Luisa'!$E$6:$E$300)&amp;" ["&amp;'Luisa'!$F$6:$F$300&amp;"]",""),IF('Lui'!$B$6:$B$300=$A38,"Lui"&amp;IF('Lui'!$E$6:$E$300="",""," : "&amp;'Lui'!$E$6:$E$300)&amp;" ["&amp;'Lui'!$F$6:$F$300&amp;"]",""),IF('Thaís'!$B$6:$B$300=$A38,"Thaís"&amp;IF('Thaís'!$E$6:$E$300="",""," : "&amp;'Thaís'!$E$6:$E$300)&amp;" ["&amp;'Thaís'!$F$6:$F$300&amp;"]",""),IF('Daniel'!$B$6:$B$300=$A38,"Daniel"&amp;IF('Daniel'!$E$6:$E$300="",""," : "&amp;'Daniel'!$E$6:$E$300)&amp;" ["&amp;'Daniel'!$F$6:$F$300&amp;"]",""),IF('Fernando'!$B$6:$B$300=$A38,"Fernando"&amp;IF('Fernando'!$E$6:$E$300="",""," : "&amp;'Fernando'!$E$6:$E$300)&amp;" ["&amp;'Fernando'!$F$6:$F$300&amp;"]",""),IF('Stephanie'!$B$6:$B$300=$A38,"Stephanie"&amp;IF('Stephanie'!$E$6:$E$300="",""," : "&amp;'Stephanie'!$E$6:$E$300)&amp;" ["&amp;'Stephanie'!$F$6:$F$300&amp;"]",""),IF('Fox'!$B$6:$B$300=$A38,"Fox"&amp;IF('Fox'!$E$6:$E$300="",""," : "&amp;'Fox'!$E$6:$E$300)&amp;" ["&amp;'Fox'!$F$6:$F$300&amp;"]",""),IF('Bruna'!$B$6:$B$300=$A38,"Bruna"&amp;IF('Bruna'!$E$6:$E$300="",""," : "&amp;'Bruna'!$E$6:$E$300)&amp;" ["&amp;'Bruna'!$F$6:$F$300&amp;"]",""),IF('Stella'!$B$6:$B$300=$A38,"Stella"&amp;IF('Stella'!$E$6:$E$300="",""," : "&amp;'Stella'!$E$6:$E$300)&amp;" ["&amp;'Stella'!$F$6:$F$300&amp;"]",""),IF('Igor'!$B$6:$B$300=$A38,"Igor"&amp;IF('Igor'!$E$6:$E$300="",""," : "&amp;'Igor'!$E$6:$E$300)&amp;" ["&amp;'Igor'!$F$6:$F$300&amp;"]","")))</f>
        <v/>
      </c>
    </row>
    <row r="39" ht="28" customHeight="1">
      <c r="A39" s="13" t="inlineStr">
        <is>
          <t>EC-011</t>
        </is>
      </c>
      <c r="B39" s="14" t="inlineStr">
        <is>
          <t>Etapa 2: Construção das métricas | Atividade 7: Operacionalização das métricas | Atividade 8: Aplicação das métricas</t>
        </is>
      </c>
      <c r="C39" s="14" t="inlineStr">
        <is>
          <t>2. Aplicação da EC</t>
        </is>
      </c>
      <c r="D39" s="14" t="inlineStr">
        <is>
          <t>2.1 UTGCA</t>
        </is>
      </c>
      <c r="E39" s="15" t="inlineStr">
        <is>
          <t>Fazer os ajustes necessários (UTGCA) - cenário de impacto</t>
        </is>
      </c>
      <c r="F39" s="13" t="inlineStr">
        <is>
          <t>Clarice</t>
        </is>
      </c>
      <c r="G39" s="16">
        <f>IF($A39="","",_xlfn.TEXTJOIN("; ",TRUE,IF(COUNTIF('Clarice'!$B$6:$B$300,$A39)&gt;0,"Clarice",""),IF(COUNTIF('Luisa'!$B$6:$B$300,$A39)&gt;0,"Luisa",""),IF(COUNTIF('Lui'!$B$6:$B$300,$A39)&gt;0,"Lui",""),IF(COUNTIF('Thaís'!$B$6:$B$300,$A39)&gt;0,"Thaís",""),IF(COUNTIF('Daniel'!$B$6:$B$300,$A39)&gt;0,"Daniel",""),IF(COUNTIF('Fernando'!$B$6:$B$300,$A39)&gt;0,"Fernando",""),IF(COUNTIF('Stephanie'!$B$6:$B$300,$A39)&gt;0,"Stephanie",""),IF(COUNTIF('Fox'!$B$6:$B$300,$A39)&gt;0,"Fox",""),IF(COUNTIF('Bruna'!$B$6:$B$300,$A39)&gt;0,"Bruna",""),IF(COUNTIF('Stella'!$B$6:$B$300,$A39)&gt;0,"Stella",""),IF(COUNTIF('Igor'!$B$6:$B$300,$A39)&gt;0,"Igor","")))</f>
        <v/>
      </c>
      <c r="H39" s="13" t="n"/>
      <c r="I39" s="13" t="inlineStr">
        <is>
          <t>Concluído</t>
        </is>
      </c>
      <c r="J39" s="17">
        <f>IF(OR($A39="",(COUNTIF('Clarice'!$B$6:$B$300,$A39)+COUNTIF('Luisa'!$B$6:$B$300,$A39)+COUNTIF('Lui'!$B$6:$B$300,$A39)+COUNTIF('Thaís'!$B$6:$B$300,$A39)+COUNTIF('Daniel'!$B$6:$B$300,$A39)+COUNTIF('Fernando'!$B$6:$B$300,$A39)+COUNTIF('Stephanie'!$B$6:$B$300,$A39)+COUNTIF('Fox'!$B$6:$B$300,$A39)+COUNTIF('Bruna'!$B$6:$B$300,$A39)+COUNTIF('Stella'!$B$6:$B$300,$A39)+COUNTIF('Igor'!$B$6:$B$300,$A39))=0),"",(COUNTIFS('Clarice'!$B$6:$B$300,$A39,'Clarice'!$F$6:$F$300,"Concluído")+COUNTIFS('Luisa'!$B$6:$B$300,$A39,'Luisa'!$F$6:$F$300,"Concluído")+COUNTIFS('Lui'!$B$6:$B$300,$A39,'Lui'!$F$6:$F$300,"Concluído")+COUNTIFS('Thaís'!$B$6:$B$300,$A39,'Thaís'!$F$6:$F$300,"Concluído")+COUNTIFS('Daniel'!$B$6:$B$300,$A39,'Daniel'!$F$6:$F$300,"Concluído")+COUNTIFS('Fernando'!$B$6:$B$300,$A39,'Fernando'!$F$6:$F$300,"Concluído")+COUNTIFS('Stephanie'!$B$6:$B$300,$A39,'Stephanie'!$F$6:$F$300,"Concluído")+COUNTIFS('Fox'!$B$6:$B$300,$A39,'Fox'!$F$6:$F$300,"Concluído")+COUNTIFS('Bruna'!$B$6:$B$300,$A39,'Bruna'!$F$6:$F$300,"Concluído")+COUNTIFS('Stella'!$B$6:$B$300,$A39,'Stella'!$F$6:$F$300,"Concluído")+COUNTIFS('Igor'!$B$6:$B$300,$A39,'Igor'!$F$6:$F$300,"Concluído"))&amp;" / "&amp;(COUNTIF('Clarice'!$B$6:$B$300,$A39)+COUNTIF('Luisa'!$B$6:$B$300,$A39)+COUNTIF('Lui'!$B$6:$B$300,$A39)+COUNTIF('Thaís'!$B$6:$B$300,$A39)+COUNTIF('Daniel'!$B$6:$B$300,$A39)+COUNTIF('Fernando'!$B$6:$B$300,$A39)+COUNTIF('Stephanie'!$B$6:$B$300,$A39)+COUNTIF('Fox'!$B$6:$B$300,$A39)+COUNTIF('Bruna'!$B$6:$B$300,$A39)+COUNTIF('Stella'!$B$6:$B$300,$A39)+COUNTIF('Igor'!$B$6:$B$300,$A39)))</f>
        <v/>
      </c>
      <c r="K39" s="18" t="n">
        <v>46146</v>
      </c>
      <c r="L39" s="18" t="n">
        <v>46150</v>
      </c>
      <c r="M39" s="18" t="n">
        <v>46146</v>
      </c>
      <c r="N39" s="18" t="n">
        <v>46220</v>
      </c>
      <c r="O39" s="19" t="n"/>
      <c r="P39" s="20">
        <f>IF($A39="","",IF(M39&lt;&gt;"",M39,IF(K39&lt;&gt;"",K39,"")))</f>
        <v/>
      </c>
      <c r="Q39" s="20">
        <f>IF($A39="","",IF(N39&lt;&gt;"",N39,IF(L39&lt;&gt;"",L39,"")))</f>
        <v/>
      </c>
      <c r="R39" s="15" t="n"/>
      <c r="S39" s="16">
        <f t="array" ref="S39">IF($A39="","",_xlfn.TEXTJOIN(CHAR(10),TRUE,IF('Clarice'!$B$6:$B$300=$A39,"Clarice"&amp;IF('Clarice'!$E$6:$E$300="",""," : "&amp;'Clarice'!$E$6:$E$300)&amp;" ["&amp;'Clarice'!$F$6:$F$300&amp;"]",""),IF('Luisa'!$B$6:$B$300=$A39,"Luisa"&amp;IF('Luisa'!$E$6:$E$300="",""," : "&amp;'Luisa'!$E$6:$E$300)&amp;" ["&amp;'Luisa'!$F$6:$F$300&amp;"]",""),IF('Lui'!$B$6:$B$300=$A39,"Lui"&amp;IF('Lui'!$E$6:$E$300="",""," : "&amp;'Lui'!$E$6:$E$300)&amp;" ["&amp;'Lui'!$F$6:$F$300&amp;"]",""),IF('Thaís'!$B$6:$B$300=$A39,"Thaís"&amp;IF('Thaís'!$E$6:$E$300="",""," : "&amp;'Thaís'!$E$6:$E$300)&amp;" ["&amp;'Thaís'!$F$6:$F$300&amp;"]",""),IF('Daniel'!$B$6:$B$300=$A39,"Daniel"&amp;IF('Daniel'!$E$6:$E$300="",""," : "&amp;'Daniel'!$E$6:$E$300)&amp;" ["&amp;'Daniel'!$F$6:$F$300&amp;"]",""),IF('Fernando'!$B$6:$B$300=$A39,"Fernando"&amp;IF('Fernando'!$E$6:$E$300="",""," : "&amp;'Fernando'!$E$6:$E$300)&amp;" ["&amp;'Fernando'!$F$6:$F$300&amp;"]",""),IF('Stephanie'!$B$6:$B$300=$A39,"Stephanie"&amp;IF('Stephanie'!$E$6:$E$300="",""," : "&amp;'Stephanie'!$E$6:$E$300)&amp;" ["&amp;'Stephanie'!$F$6:$F$300&amp;"]",""),IF('Fox'!$B$6:$B$300=$A39,"Fox"&amp;IF('Fox'!$E$6:$E$300="",""," : "&amp;'Fox'!$E$6:$E$300)&amp;" ["&amp;'Fox'!$F$6:$F$300&amp;"]",""),IF('Bruna'!$B$6:$B$300=$A39,"Bruna"&amp;IF('Bruna'!$E$6:$E$300="",""," : "&amp;'Bruna'!$E$6:$E$300)&amp;" ["&amp;'Bruna'!$F$6:$F$300&amp;"]",""),IF('Stella'!$B$6:$B$300=$A39,"Stella"&amp;IF('Stella'!$E$6:$E$300="",""," : "&amp;'Stella'!$E$6:$E$300)&amp;" ["&amp;'Stella'!$F$6:$F$300&amp;"]",""),IF('Igor'!$B$6:$B$300=$A39,"Igor"&amp;IF('Igor'!$E$6:$E$300="",""," : "&amp;'Igor'!$E$6:$E$300)&amp;" ["&amp;'Igor'!$F$6:$F$300&amp;"]","")))</f>
        <v/>
      </c>
    </row>
    <row r="40">
      <c r="A40" s="21" t="n"/>
      <c r="B40" s="21" t="inlineStr">
        <is>
          <t>Etapa 2: Construção das métricas | Atividade 7: Operacionalização das métricas | Atividade 8: Aplicação das métricas</t>
        </is>
      </c>
      <c r="C40" s="21" t="inlineStr">
        <is>
          <t>2. Aplicação da EC</t>
        </is>
      </c>
      <c r="D40" s="21" t="inlineStr">
        <is>
          <t>2.2 Boaventura e GR3</t>
        </is>
      </c>
      <c r="E40" s="21" t="inlineStr">
        <is>
          <t>2.2 Boaventura e GR3</t>
        </is>
      </c>
      <c r="F40" s="21" t="inlineStr">
        <is>
          <t>Clarice</t>
        </is>
      </c>
      <c r="G40" s="21">
        <f>IF($A40="","",_xlfn.TEXTJOIN("; ",TRUE,IF(COUNTIF('Clarice'!$B$6:$B$300,$A40)&gt;0,"Clarice",""),IF(COUNTIF('Luisa'!$B$6:$B$300,$A40)&gt;0,"Luisa",""),IF(COUNTIF('Lui'!$B$6:$B$300,$A40)&gt;0,"Lui",""),IF(COUNTIF('Thaís'!$B$6:$B$300,$A40)&gt;0,"Thaís",""),IF(COUNTIF('Daniel'!$B$6:$B$300,$A40)&gt;0,"Daniel",""),IF(COUNTIF('Fernando'!$B$6:$B$300,$A40)&gt;0,"Fernando",""),IF(COUNTIF('Stephanie'!$B$6:$B$300,$A40)&gt;0,"Stephanie",""),IF(COUNTIF('Fox'!$B$6:$B$300,$A40)&gt;0,"Fox",""),IF(COUNTIF('Bruna'!$B$6:$B$300,$A40)&gt;0,"Bruna",""),IF(COUNTIF('Stella'!$B$6:$B$300,$A40)&gt;0,"Stella",""),IF(COUNTIF('Igor'!$B$6:$B$300,$A40)&gt;0,"Igor","")))</f>
        <v/>
      </c>
      <c r="H40" s="21" t="n"/>
      <c r="I40" s="21" t="n"/>
      <c r="J40" s="21">
        <f>IF(OR($A40="",(COUNTIF('Clarice'!$B$6:$B$300,$A40)+COUNTIF('Luisa'!$B$6:$B$300,$A40)+COUNTIF('Lui'!$B$6:$B$300,$A40)+COUNTIF('Thaís'!$B$6:$B$300,$A40)+COUNTIF('Daniel'!$B$6:$B$300,$A40)+COUNTIF('Fernando'!$B$6:$B$300,$A40)+COUNTIF('Stephanie'!$B$6:$B$300,$A40)+COUNTIF('Fox'!$B$6:$B$300,$A40)+COUNTIF('Bruna'!$B$6:$B$300,$A40)+COUNTIF('Stella'!$B$6:$B$300,$A40)+COUNTIF('Igor'!$B$6:$B$300,$A40))=0),"",(COUNTIFS('Clarice'!$B$6:$B$300,$A40,'Clarice'!$F$6:$F$300,"Concluído")+COUNTIFS('Luisa'!$B$6:$B$300,$A40,'Luisa'!$F$6:$F$300,"Concluído")+COUNTIFS('Lui'!$B$6:$B$300,$A40,'Lui'!$F$6:$F$300,"Concluído")+COUNTIFS('Thaís'!$B$6:$B$300,$A40,'Thaís'!$F$6:$F$300,"Concluído")+COUNTIFS('Daniel'!$B$6:$B$300,$A40,'Daniel'!$F$6:$F$300,"Concluído")+COUNTIFS('Fernando'!$B$6:$B$300,$A40,'Fernando'!$F$6:$F$300,"Concluído")+COUNTIFS('Stephanie'!$B$6:$B$300,$A40,'Stephanie'!$F$6:$F$300,"Concluído")+COUNTIFS('Fox'!$B$6:$B$300,$A40,'Fox'!$F$6:$F$300,"Concluído")+COUNTIFS('Bruna'!$B$6:$B$300,$A40,'Bruna'!$F$6:$F$300,"Concluído")+COUNTIFS('Stella'!$B$6:$B$300,$A40,'Stella'!$F$6:$F$300,"Concluído")+COUNTIFS('Igor'!$B$6:$B$300,$A40,'Igor'!$F$6:$F$300,"Concluído"))&amp;" / "&amp;(COUNTIF('Clarice'!$B$6:$B$300,$A40)+COUNTIF('Luisa'!$B$6:$B$300,$A40)+COUNTIF('Lui'!$B$6:$B$300,$A40)+COUNTIF('Thaís'!$B$6:$B$300,$A40)+COUNTIF('Daniel'!$B$6:$B$300,$A40)+COUNTIF('Fernando'!$B$6:$B$300,$A40)+COUNTIF('Stephanie'!$B$6:$B$300,$A40)+COUNTIF('Fox'!$B$6:$B$300,$A40)+COUNTIF('Bruna'!$B$6:$B$300,$A40)+COUNTIF('Stella'!$B$6:$B$300,$A40)+COUNTIF('Igor'!$B$6:$B$300,$A40)))</f>
        <v/>
      </c>
      <c r="K40" s="21" t="n"/>
      <c r="L40" s="21" t="n"/>
      <c r="M40" s="21" t="n"/>
      <c r="N40" s="21" t="n"/>
      <c r="O40" s="21" t="n"/>
      <c r="P40" s="22">
        <f>IF($A40="","",IF(M40&lt;&gt;"",M40,IF(K40&lt;&gt;"",K40,"")))</f>
        <v/>
      </c>
      <c r="Q40" s="22">
        <f>IF($A40="","",IF(N40&lt;&gt;"",N40,IF(L40&lt;&gt;"",L40,"")))</f>
        <v/>
      </c>
      <c r="R40" s="21" t="n"/>
      <c r="S40" s="21">
        <f t="array" ref="S40">IF($A40="","",_xlfn.TEXTJOIN(CHAR(10),TRUE,IF('Clarice'!$B$6:$B$300=$A40,"Clarice"&amp;IF('Clarice'!$E$6:$E$300="",""," : "&amp;'Clarice'!$E$6:$E$300)&amp;" ["&amp;'Clarice'!$F$6:$F$300&amp;"]",""),IF('Luisa'!$B$6:$B$300=$A40,"Luisa"&amp;IF('Luisa'!$E$6:$E$300="",""," : "&amp;'Luisa'!$E$6:$E$300)&amp;" ["&amp;'Luisa'!$F$6:$F$300&amp;"]",""),IF('Lui'!$B$6:$B$300=$A40,"Lui"&amp;IF('Lui'!$E$6:$E$300="",""," : "&amp;'Lui'!$E$6:$E$300)&amp;" ["&amp;'Lui'!$F$6:$F$300&amp;"]",""),IF('Thaís'!$B$6:$B$300=$A40,"Thaís"&amp;IF('Thaís'!$E$6:$E$300="",""," : "&amp;'Thaís'!$E$6:$E$300)&amp;" ["&amp;'Thaís'!$F$6:$F$300&amp;"]",""),IF('Daniel'!$B$6:$B$300=$A40,"Daniel"&amp;IF('Daniel'!$E$6:$E$300="",""," : "&amp;'Daniel'!$E$6:$E$300)&amp;" ["&amp;'Daniel'!$F$6:$F$300&amp;"]",""),IF('Fernando'!$B$6:$B$300=$A40,"Fernando"&amp;IF('Fernando'!$E$6:$E$300="",""," : "&amp;'Fernando'!$E$6:$E$300)&amp;" ["&amp;'Fernando'!$F$6:$F$300&amp;"]",""),IF('Stephanie'!$B$6:$B$300=$A40,"Stephanie"&amp;IF('Stephanie'!$E$6:$E$300="",""," : "&amp;'Stephanie'!$E$6:$E$300)&amp;" ["&amp;'Stephanie'!$F$6:$F$300&amp;"]",""),IF('Fox'!$B$6:$B$300=$A40,"Fox"&amp;IF('Fox'!$E$6:$E$300="",""," : "&amp;'Fox'!$E$6:$E$300)&amp;" ["&amp;'Fox'!$F$6:$F$300&amp;"]",""),IF('Bruna'!$B$6:$B$300=$A40,"Bruna"&amp;IF('Bruna'!$E$6:$E$300="",""," : "&amp;'Bruna'!$E$6:$E$300)&amp;" ["&amp;'Bruna'!$F$6:$F$300&amp;"]",""),IF('Stella'!$B$6:$B$300=$A40,"Stella"&amp;IF('Stella'!$E$6:$E$300="",""," : "&amp;'Stella'!$E$6:$E$300)&amp;" ["&amp;'Stella'!$F$6:$F$300&amp;"]",""),IF('Igor'!$B$6:$B$300=$A40,"Igor"&amp;IF('Igor'!$E$6:$E$300="",""," : "&amp;'Igor'!$E$6:$E$300)&amp;" ["&amp;'Igor'!$F$6:$F$300&amp;"]","")))</f>
        <v/>
      </c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</row>
    <row r="41" ht="40.5" customHeight="1">
      <c r="A41" s="13" t="inlineStr">
        <is>
          <t>EC-012</t>
        </is>
      </c>
      <c r="B41" s="14" t="inlineStr">
        <is>
          <t>Etapa 2: Construção das métricas | Atividade 7: Operacionalização das métricas | Atividade 8: Aplicação das métricas</t>
        </is>
      </c>
      <c r="C41" s="14" t="inlineStr">
        <is>
          <t>2. Aplicação da EC</t>
        </is>
      </c>
      <c r="D41" s="14" t="inlineStr">
        <is>
          <t>2.2 Boaventura e GR3</t>
        </is>
      </c>
      <c r="E41" s="15" t="inlineStr">
        <is>
          <t>Definir as espécies internamente (Boaventura)</t>
        </is>
      </c>
      <c r="F41" s="13" t="inlineStr">
        <is>
          <t>Clarice</t>
        </is>
      </c>
      <c r="G41" s="16">
        <f>IF($A41="","",_xlfn.TEXTJOIN("; ",TRUE,IF(COUNTIF('Clarice'!$B$6:$B$300,$A41)&gt;0,"Clarice",""),IF(COUNTIF('Luisa'!$B$6:$B$300,$A41)&gt;0,"Luisa",""),IF(COUNTIF('Lui'!$B$6:$B$300,$A41)&gt;0,"Lui",""),IF(COUNTIF('Thaís'!$B$6:$B$300,$A41)&gt;0,"Thaís",""),IF(COUNTIF('Daniel'!$B$6:$B$300,$A41)&gt;0,"Daniel",""),IF(COUNTIF('Fernando'!$B$6:$B$300,$A41)&gt;0,"Fernando",""),IF(COUNTIF('Stephanie'!$B$6:$B$300,$A41)&gt;0,"Stephanie",""),IF(COUNTIF('Fox'!$B$6:$B$300,$A41)&gt;0,"Fox",""),IF(COUNTIF('Bruna'!$B$6:$B$300,$A41)&gt;0,"Bruna",""),IF(COUNTIF('Stella'!$B$6:$B$300,$A41)&gt;0,"Stella",""),IF(COUNTIF('Igor'!$B$6:$B$300,$A41)&gt;0,"Igor","")))</f>
        <v/>
      </c>
      <c r="H41" s="13" t="n"/>
      <c r="I41" s="13" t="inlineStr">
        <is>
          <t>Concluído</t>
        </is>
      </c>
      <c r="J41" s="17">
        <f>IF(OR($A41="",(COUNTIF('Clarice'!$B$6:$B$300,$A41)+COUNTIF('Luisa'!$B$6:$B$300,$A41)+COUNTIF('Lui'!$B$6:$B$300,$A41)+COUNTIF('Thaís'!$B$6:$B$300,$A41)+COUNTIF('Daniel'!$B$6:$B$300,$A41)+COUNTIF('Fernando'!$B$6:$B$300,$A41)+COUNTIF('Stephanie'!$B$6:$B$300,$A41)+COUNTIF('Fox'!$B$6:$B$300,$A41)+COUNTIF('Bruna'!$B$6:$B$300,$A41)+COUNTIF('Stella'!$B$6:$B$300,$A41)+COUNTIF('Igor'!$B$6:$B$300,$A41))=0),"",(COUNTIFS('Clarice'!$B$6:$B$300,$A41,'Clarice'!$F$6:$F$300,"Concluído")+COUNTIFS('Luisa'!$B$6:$B$300,$A41,'Luisa'!$F$6:$F$300,"Concluído")+COUNTIFS('Lui'!$B$6:$B$300,$A41,'Lui'!$F$6:$F$300,"Concluído")+COUNTIFS('Thaís'!$B$6:$B$300,$A41,'Thaís'!$F$6:$F$300,"Concluído")+COUNTIFS('Daniel'!$B$6:$B$300,$A41,'Daniel'!$F$6:$F$300,"Concluído")+COUNTIFS('Fernando'!$B$6:$B$300,$A41,'Fernando'!$F$6:$F$300,"Concluído")+COUNTIFS('Stephanie'!$B$6:$B$300,$A41,'Stephanie'!$F$6:$F$300,"Concluído")+COUNTIFS('Fox'!$B$6:$B$300,$A41,'Fox'!$F$6:$F$300,"Concluído")+COUNTIFS('Bruna'!$B$6:$B$300,$A41,'Bruna'!$F$6:$F$300,"Concluído")+COUNTIFS('Stella'!$B$6:$B$300,$A41,'Stella'!$F$6:$F$300,"Concluído")+COUNTIFS('Igor'!$B$6:$B$300,$A41,'Igor'!$F$6:$F$300,"Concluído"))&amp;" / "&amp;(COUNTIF('Clarice'!$B$6:$B$300,$A41)+COUNTIF('Luisa'!$B$6:$B$300,$A41)+COUNTIF('Lui'!$B$6:$B$300,$A41)+COUNTIF('Thaís'!$B$6:$B$300,$A41)+COUNTIF('Daniel'!$B$6:$B$300,$A41)+COUNTIF('Fernando'!$B$6:$B$300,$A41)+COUNTIF('Stephanie'!$B$6:$B$300,$A41)+COUNTIF('Fox'!$B$6:$B$300,$A41)+COUNTIF('Bruna'!$B$6:$B$300,$A41)+COUNTIF('Stella'!$B$6:$B$300,$A41)+COUNTIF('Igor'!$B$6:$B$300,$A41)))</f>
        <v/>
      </c>
      <c r="K41" s="19" t="n"/>
      <c r="L41" s="19" t="n"/>
      <c r="M41" s="19" t="n"/>
      <c r="N41" s="19" t="n"/>
      <c r="O41" s="19" t="n"/>
      <c r="P41" s="20">
        <f>IF($A41="","",IF(M41&lt;&gt;"",M41,IF(K41&lt;&gt;"",K41,"")))</f>
        <v/>
      </c>
      <c r="Q41" s="20">
        <f>IF($A41="","",IF(N41&lt;&gt;"",N41,IF(L41&lt;&gt;"",L41,"")))</f>
        <v/>
      </c>
      <c r="R41" s="15" t="n"/>
      <c r="S41" s="16">
        <f t="array" ref="S41">IF($A41="","",_xlfn.TEXTJOIN(CHAR(10),TRUE,IF('Clarice'!$B$6:$B$300=$A41,"Clarice"&amp;IF('Clarice'!$E$6:$E$300="",""," : "&amp;'Clarice'!$E$6:$E$300)&amp;" ["&amp;'Clarice'!$F$6:$F$300&amp;"]",""),IF('Luisa'!$B$6:$B$300=$A41,"Luisa"&amp;IF('Luisa'!$E$6:$E$300="",""," : "&amp;'Luisa'!$E$6:$E$300)&amp;" ["&amp;'Luisa'!$F$6:$F$300&amp;"]",""),IF('Lui'!$B$6:$B$300=$A41,"Lui"&amp;IF('Lui'!$E$6:$E$300="",""," : "&amp;'Lui'!$E$6:$E$300)&amp;" ["&amp;'Lui'!$F$6:$F$300&amp;"]",""),IF('Thaís'!$B$6:$B$300=$A41,"Thaís"&amp;IF('Thaís'!$E$6:$E$300="",""," : "&amp;'Thaís'!$E$6:$E$300)&amp;" ["&amp;'Thaís'!$F$6:$F$300&amp;"]",""),IF('Daniel'!$B$6:$B$300=$A41,"Daniel"&amp;IF('Daniel'!$E$6:$E$300="",""," : "&amp;'Daniel'!$E$6:$E$300)&amp;" ["&amp;'Daniel'!$F$6:$F$300&amp;"]",""),IF('Fernando'!$B$6:$B$300=$A41,"Fernando"&amp;IF('Fernando'!$E$6:$E$300="",""," : "&amp;'Fernando'!$E$6:$E$300)&amp;" ["&amp;'Fernando'!$F$6:$F$300&amp;"]",""),IF('Stephanie'!$B$6:$B$300=$A41,"Stephanie"&amp;IF('Stephanie'!$E$6:$E$300="",""," : "&amp;'Stephanie'!$E$6:$E$300)&amp;" ["&amp;'Stephanie'!$F$6:$F$300&amp;"]",""),IF('Fox'!$B$6:$B$300=$A41,"Fox"&amp;IF('Fox'!$E$6:$E$300="",""," : "&amp;'Fox'!$E$6:$E$300)&amp;" ["&amp;'Fox'!$F$6:$F$300&amp;"]",""),IF('Bruna'!$B$6:$B$300=$A41,"Bruna"&amp;IF('Bruna'!$E$6:$E$300="",""," : "&amp;'Bruna'!$E$6:$E$300)&amp;" ["&amp;'Bruna'!$F$6:$F$300&amp;"]",""),IF('Stella'!$B$6:$B$300=$A41,"Stella"&amp;IF('Stella'!$E$6:$E$300="",""," : "&amp;'Stella'!$E$6:$E$300)&amp;" ["&amp;'Stella'!$F$6:$F$300&amp;"]",""),IF('Igor'!$B$6:$B$300=$A41,"Igor"&amp;IF('Igor'!$E$6:$E$300="",""," : "&amp;'Igor'!$E$6:$E$300)&amp;" ["&amp;'Igor'!$F$6:$F$300&amp;"]","")))</f>
        <v/>
      </c>
    </row>
    <row r="42" ht="15.5" customHeight="1">
      <c r="A42" s="13" t="inlineStr">
        <is>
          <t>EC-013</t>
        </is>
      </c>
      <c r="B42" s="14" t="inlineStr">
        <is>
          <t>Etapa 2: Construção das métricas | Atividade 7: Operacionalização das métricas | Atividade 8: Aplicação das métricas</t>
        </is>
      </c>
      <c r="C42" s="14" t="inlineStr">
        <is>
          <t>2. Aplicação da EC</t>
        </is>
      </c>
      <c r="D42" s="14" t="inlineStr">
        <is>
          <t>2.2 Boaventura e GR3</t>
        </is>
      </c>
      <c r="E42" s="15" t="inlineStr">
        <is>
          <t>Validar as espécies com a Petrobras (Boaventura e GR3)</t>
        </is>
      </c>
      <c r="F42" s="13" t="inlineStr">
        <is>
          <t>Clarice</t>
        </is>
      </c>
      <c r="G42" s="16">
        <f>IF($A42="","",_xlfn.TEXTJOIN("; ",TRUE,IF(COUNTIF('Clarice'!$B$6:$B$300,$A42)&gt;0,"Clarice",""),IF(COUNTIF('Luisa'!$B$6:$B$300,$A42)&gt;0,"Luisa",""),IF(COUNTIF('Lui'!$B$6:$B$300,$A42)&gt;0,"Lui",""),IF(COUNTIF('Thaís'!$B$6:$B$300,$A42)&gt;0,"Thaís",""),IF(COUNTIF('Daniel'!$B$6:$B$300,$A42)&gt;0,"Daniel",""),IF(COUNTIF('Fernando'!$B$6:$B$300,$A42)&gt;0,"Fernando",""),IF(COUNTIF('Stephanie'!$B$6:$B$300,$A42)&gt;0,"Stephanie",""),IF(COUNTIF('Fox'!$B$6:$B$300,$A42)&gt;0,"Fox",""),IF(COUNTIF('Bruna'!$B$6:$B$300,$A42)&gt;0,"Bruna",""),IF(COUNTIF('Stella'!$B$6:$B$300,$A42)&gt;0,"Stella",""),IF(COUNTIF('Igor'!$B$6:$B$300,$A42)&gt;0,"Igor","")))</f>
        <v/>
      </c>
      <c r="H42" s="13" t="n"/>
      <c r="I42" s="13" t="inlineStr">
        <is>
          <t>Concluído</t>
        </is>
      </c>
      <c r="J42" s="17">
        <f>IF(OR($A42="",(COUNTIF('Clarice'!$B$6:$B$300,$A42)+COUNTIF('Luisa'!$B$6:$B$300,$A42)+COUNTIF('Lui'!$B$6:$B$300,$A42)+COUNTIF('Thaís'!$B$6:$B$300,$A42)+COUNTIF('Daniel'!$B$6:$B$300,$A42)+COUNTIF('Fernando'!$B$6:$B$300,$A42)+COUNTIF('Stephanie'!$B$6:$B$300,$A42)+COUNTIF('Fox'!$B$6:$B$300,$A42)+COUNTIF('Bruna'!$B$6:$B$300,$A42)+COUNTIF('Stella'!$B$6:$B$300,$A42)+COUNTIF('Igor'!$B$6:$B$300,$A42))=0),"",(COUNTIFS('Clarice'!$B$6:$B$300,$A42,'Clarice'!$F$6:$F$300,"Concluído")+COUNTIFS('Luisa'!$B$6:$B$300,$A42,'Luisa'!$F$6:$F$300,"Concluído")+COUNTIFS('Lui'!$B$6:$B$300,$A42,'Lui'!$F$6:$F$300,"Concluído")+COUNTIFS('Thaís'!$B$6:$B$300,$A42,'Thaís'!$F$6:$F$300,"Concluído")+COUNTIFS('Daniel'!$B$6:$B$300,$A42,'Daniel'!$F$6:$F$300,"Concluído")+COUNTIFS('Fernando'!$B$6:$B$300,$A42,'Fernando'!$F$6:$F$300,"Concluído")+COUNTIFS('Stephanie'!$B$6:$B$300,$A42,'Stephanie'!$F$6:$F$300,"Concluído")+COUNTIFS('Fox'!$B$6:$B$300,$A42,'Fox'!$F$6:$F$300,"Concluído")+COUNTIFS('Bruna'!$B$6:$B$300,$A42,'Bruna'!$F$6:$F$300,"Concluído")+COUNTIFS('Stella'!$B$6:$B$300,$A42,'Stella'!$F$6:$F$300,"Concluído")+COUNTIFS('Igor'!$B$6:$B$300,$A42,'Igor'!$F$6:$F$300,"Concluído"))&amp;" / "&amp;(COUNTIF('Clarice'!$B$6:$B$300,$A42)+COUNTIF('Luisa'!$B$6:$B$300,$A42)+COUNTIF('Lui'!$B$6:$B$300,$A42)+COUNTIF('Thaís'!$B$6:$B$300,$A42)+COUNTIF('Daniel'!$B$6:$B$300,$A42)+COUNTIF('Fernando'!$B$6:$B$300,$A42)+COUNTIF('Stephanie'!$B$6:$B$300,$A42)+COUNTIF('Fox'!$B$6:$B$300,$A42)+COUNTIF('Bruna'!$B$6:$B$300,$A42)+COUNTIF('Stella'!$B$6:$B$300,$A42)+COUNTIF('Igor'!$B$6:$B$300,$A42)))</f>
        <v/>
      </c>
      <c r="K42" s="18" t="n">
        <v>46104</v>
      </c>
      <c r="L42" s="18" t="n">
        <v>46112</v>
      </c>
      <c r="M42" s="18" t="n">
        <v>46104</v>
      </c>
      <c r="N42" s="18" t="n">
        <v>46199</v>
      </c>
      <c r="O42" s="19" t="n"/>
      <c r="P42" s="20">
        <f>IF($A42="","",IF(M42&lt;&gt;"",M42,IF(K42&lt;&gt;"",K42,"")))</f>
        <v/>
      </c>
      <c r="Q42" s="20">
        <f>IF($A42="","",IF(N42&lt;&gt;"",N42,IF(L42&lt;&gt;"",L42,"")))</f>
        <v/>
      </c>
      <c r="R42" s="15" t="inlineStr">
        <is>
          <t>Envio à Petrobras no dia 15/06</t>
        </is>
      </c>
      <c r="S42" s="16">
        <f t="array" ref="S42">IF($A42="","",_xlfn.TEXTJOIN(CHAR(10),TRUE,IF('Clarice'!$B$6:$B$300=$A42,"Clarice"&amp;IF('Clarice'!$E$6:$E$300="",""," : "&amp;'Clarice'!$E$6:$E$300)&amp;" ["&amp;'Clarice'!$F$6:$F$300&amp;"]",""),IF('Luisa'!$B$6:$B$300=$A42,"Luisa"&amp;IF('Luisa'!$E$6:$E$300="",""," : "&amp;'Luisa'!$E$6:$E$300)&amp;" ["&amp;'Luisa'!$F$6:$F$300&amp;"]",""),IF('Lui'!$B$6:$B$300=$A42,"Lui"&amp;IF('Lui'!$E$6:$E$300="",""," : "&amp;'Lui'!$E$6:$E$300)&amp;" ["&amp;'Lui'!$F$6:$F$300&amp;"]",""),IF('Thaís'!$B$6:$B$300=$A42,"Thaís"&amp;IF('Thaís'!$E$6:$E$300="",""," : "&amp;'Thaís'!$E$6:$E$300)&amp;" ["&amp;'Thaís'!$F$6:$F$300&amp;"]",""),IF('Daniel'!$B$6:$B$300=$A42,"Daniel"&amp;IF('Daniel'!$E$6:$E$300="",""," : "&amp;'Daniel'!$E$6:$E$300)&amp;" ["&amp;'Daniel'!$F$6:$F$300&amp;"]",""),IF('Fernando'!$B$6:$B$300=$A42,"Fernando"&amp;IF('Fernando'!$E$6:$E$300="",""," : "&amp;'Fernando'!$E$6:$E$300)&amp;" ["&amp;'Fernando'!$F$6:$F$300&amp;"]",""),IF('Stephanie'!$B$6:$B$300=$A42,"Stephanie"&amp;IF('Stephanie'!$E$6:$E$300="",""," : "&amp;'Stephanie'!$E$6:$E$300)&amp;" ["&amp;'Stephanie'!$F$6:$F$300&amp;"]",""),IF('Fox'!$B$6:$B$300=$A42,"Fox"&amp;IF('Fox'!$E$6:$E$300="",""," : "&amp;'Fox'!$E$6:$E$300)&amp;" ["&amp;'Fox'!$F$6:$F$300&amp;"]",""),IF('Bruna'!$B$6:$B$300=$A42,"Bruna"&amp;IF('Bruna'!$E$6:$E$300="",""," : "&amp;'Bruna'!$E$6:$E$300)&amp;" ["&amp;'Bruna'!$F$6:$F$300&amp;"]",""),IF('Stella'!$B$6:$B$300=$A42,"Stella"&amp;IF('Stella'!$E$6:$E$300="",""," : "&amp;'Stella'!$E$6:$E$300)&amp;" ["&amp;'Stella'!$F$6:$F$300&amp;"]",""),IF('Igor'!$B$6:$B$300=$A42,"Igor"&amp;IF('Igor'!$E$6:$E$300="",""," : "&amp;'Igor'!$E$6:$E$300)&amp;" ["&amp;'Igor'!$F$6:$F$300&amp;"]","")))</f>
        <v/>
      </c>
    </row>
    <row r="43" ht="28" customHeight="1">
      <c r="A43" s="13" t="inlineStr">
        <is>
          <t>EC-014</t>
        </is>
      </c>
      <c r="B43" s="14" t="inlineStr">
        <is>
          <t>Etapa 2: Construção das métricas | Atividade 7: Operacionalização das métricas | Atividade 8: Aplicação das métricas</t>
        </is>
      </c>
      <c r="C43" s="14" t="inlineStr">
        <is>
          <t>2. Aplicação da EC</t>
        </is>
      </c>
      <c r="D43" s="14" t="inlineStr">
        <is>
          <t>2.2 Boaventura e GR3</t>
        </is>
      </c>
      <c r="E43" s="15" t="inlineStr">
        <is>
          <t>Pesquisar dados ecológicos das espécies na literatura (Boaventura e GR3)</t>
        </is>
      </c>
      <c r="F43" s="13" t="inlineStr">
        <is>
          <t>Clarice</t>
        </is>
      </c>
      <c r="G43" s="16">
        <f>IF($A43="","",_xlfn.TEXTJOIN("; ",TRUE,IF(COUNTIF('Clarice'!$B$6:$B$300,$A43)&gt;0,"Clarice",""),IF(COUNTIF('Luisa'!$B$6:$B$300,$A43)&gt;0,"Luisa",""),IF(COUNTIF('Lui'!$B$6:$B$300,$A43)&gt;0,"Lui",""),IF(COUNTIF('Thaís'!$B$6:$B$300,$A43)&gt;0,"Thaís",""),IF(COUNTIF('Daniel'!$B$6:$B$300,$A43)&gt;0,"Daniel",""),IF(COUNTIF('Fernando'!$B$6:$B$300,$A43)&gt;0,"Fernando",""),IF(COUNTIF('Stephanie'!$B$6:$B$300,$A43)&gt;0,"Stephanie",""),IF(COUNTIF('Fox'!$B$6:$B$300,$A43)&gt;0,"Fox",""),IF(COUNTIF('Bruna'!$B$6:$B$300,$A43)&gt;0,"Bruna",""),IF(COUNTIF('Stella'!$B$6:$B$300,$A43)&gt;0,"Stella",""),IF(COUNTIF('Igor'!$B$6:$B$300,$A43)&gt;0,"Igor","")))</f>
        <v/>
      </c>
      <c r="H43" s="13" t="n"/>
      <c r="I43" s="13" t="inlineStr">
        <is>
          <t>Em andamento</t>
        </is>
      </c>
      <c r="J43" s="17">
        <f>IF(OR($A43="",(COUNTIF('Clarice'!$B$6:$B$300,$A43)+COUNTIF('Luisa'!$B$6:$B$300,$A43)+COUNTIF('Lui'!$B$6:$B$300,$A43)+COUNTIF('Thaís'!$B$6:$B$300,$A43)+COUNTIF('Daniel'!$B$6:$B$300,$A43)+COUNTIF('Fernando'!$B$6:$B$300,$A43)+COUNTIF('Stephanie'!$B$6:$B$300,$A43)+COUNTIF('Fox'!$B$6:$B$300,$A43)+COUNTIF('Bruna'!$B$6:$B$300,$A43)+COUNTIF('Stella'!$B$6:$B$300,$A43)+COUNTIF('Igor'!$B$6:$B$300,$A43))=0),"",(COUNTIFS('Clarice'!$B$6:$B$300,$A43,'Clarice'!$F$6:$F$300,"Concluído")+COUNTIFS('Luisa'!$B$6:$B$300,$A43,'Luisa'!$F$6:$F$300,"Concluído")+COUNTIFS('Lui'!$B$6:$B$300,$A43,'Lui'!$F$6:$F$300,"Concluído")+COUNTIFS('Thaís'!$B$6:$B$300,$A43,'Thaís'!$F$6:$F$300,"Concluído")+COUNTIFS('Daniel'!$B$6:$B$300,$A43,'Daniel'!$F$6:$F$300,"Concluído")+COUNTIFS('Fernando'!$B$6:$B$300,$A43,'Fernando'!$F$6:$F$300,"Concluído")+COUNTIFS('Stephanie'!$B$6:$B$300,$A43,'Stephanie'!$F$6:$F$300,"Concluído")+COUNTIFS('Fox'!$B$6:$B$300,$A43,'Fox'!$F$6:$F$300,"Concluído")+COUNTIFS('Bruna'!$B$6:$B$300,$A43,'Bruna'!$F$6:$F$300,"Concluído")+COUNTIFS('Stella'!$B$6:$B$300,$A43,'Stella'!$F$6:$F$300,"Concluído")+COUNTIFS('Igor'!$B$6:$B$300,$A43,'Igor'!$F$6:$F$300,"Concluído"))&amp;" / "&amp;(COUNTIF('Clarice'!$B$6:$B$300,$A43)+COUNTIF('Luisa'!$B$6:$B$300,$A43)+COUNTIF('Lui'!$B$6:$B$300,$A43)+COUNTIF('Thaís'!$B$6:$B$300,$A43)+COUNTIF('Daniel'!$B$6:$B$300,$A43)+COUNTIF('Fernando'!$B$6:$B$300,$A43)+COUNTIF('Stephanie'!$B$6:$B$300,$A43)+COUNTIF('Fox'!$B$6:$B$300,$A43)+COUNTIF('Bruna'!$B$6:$B$300,$A43)+COUNTIF('Stella'!$B$6:$B$300,$A43)+COUNTIF('Igor'!$B$6:$B$300,$A43)))</f>
        <v/>
      </c>
      <c r="K43" s="18" t="n">
        <v>46113</v>
      </c>
      <c r="L43" s="18" t="n">
        <v>46129</v>
      </c>
      <c r="M43" s="18" t="n">
        <v>46113</v>
      </c>
      <c r="N43" s="18" t="n">
        <v>46234</v>
      </c>
      <c r="O43" s="19" t="n"/>
      <c r="P43" s="20">
        <f>IF($A43="","",IF(M43&lt;&gt;"",M43,IF(K43&lt;&gt;"",K43,"")))</f>
        <v/>
      </c>
      <c r="Q43" s="20">
        <f>IF($A43="","",IF(N43&lt;&gt;"",N43,IF(L43&lt;&gt;"",L43,"")))</f>
        <v/>
      </c>
      <c r="R43" s="15" t="n"/>
      <c r="S43" s="16">
        <f t="array" ref="S43">IF($A43="","",_xlfn.TEXTJOIN(CHAR(10),TRUE,IF('Clarice'!$B$6:$B$300=$A43,"Clarice"&amp;IF('Clarice'!$E$6:$E$300="",""," : "&amp;'Clarice'!$E$6:$E$300)&amp;" ["&amp;'Clarice'!$F$6:$F$300&amp;"]",""),IF('Luisa'!$B$6:$B$300=$A43,"Luisa"&amp;IF('Luisa'!$E$6:$E$300="",""," : "&amp;'Luisa'!$E$6:$E$300)&amp;" ["&amp;'Luisa'!$F$6:$F$300&amp;"]",""),IF('Lui'!$B$6:$B$300=$A43,"Lui"&amp;IF('Lui'!$E$6:$E$300="",""," : "&amp;'Lui'!$E$6:$E$300)&amp;" ["&amp;'Lui'!$F$6:$F$300&amp;"]",""),IF('Thaís'!$B$6:$B$300=$A43,"Thaís"&amp;IF('Thaís'!$E$6:$E$300="",""," : "&amp;'Thaís'!$E$6:$E$300)&amp;" ["&amp;'Thaís'!$F$6:$F$300&amp;"]",""),IF('Daniel'!$B$6:$B$300=$A43,"Daniel"&amp;IF('Daniel'!$E$6:$E$300="",""," : "&amp;'Daniel'!$E$6:$E$300)&amp;" ["&amp;'Daniel'!$F$6:$F$300&amp;"]",""),IF('Fernando'!$B$6:$B$300=$A43,"Fernando"&amp;IF('Fernando'!$E$6:$E$300="",""," : "&amp;'Fernando'!$E$6:$E$300)&amp;" ["&amp;'Fernando'!$F$6:$F$300&amp;"]",""),IF('Stephanie'!$B$6:$B$300=$A43,"Stephanie"&amp;IF('Stephanie'!$E$6:$E$300="",""," : "&amp;'Stephanie'!$E$6:$E$300)&amp;" ["&amp;'Stephanie'!$F$6:$F$300&amp;"]",""),IF('Fox'!$B$6:$B$300=$A43,"Fox"&amp;IF('Fox'!$E$6:$E$300="",""," : "&amp;'Fox'!$E$6:$E$300)&amp;" ["&amp;'Fox'!$F$6:$F$300&amp;"]",""),IF('Bruna'!$B$6:$B$300=$A43,"Bruna"&amp;IF('Bruna'!$E$6:$E$300="",""," : "&amp;'Bruna'!$E$6:$E$300)&amp;" ["&amp;'Bruna'!$F$6:$F$300&amp;"]",""),IF('Stella'!$B$6:$B$300=$A43,"Stella"&amp;IF('Stella'!$E$6:$E$300="",""," : "&amp;'Stella'!$E$6:$E$300)&amp;" ["&amp;'Stella'!$F$6:$F$300&amp;"]",""),IF('Igor'!$B$6:$B$300=$A43,"Igor"&amp;IF('Igor'!$E$6:$E$300="",""," : "&amp;'Igor'!$E$6:$E$300)&amp;" ["&amp;'Igor'!$F$6:$F$300&amp;"]","")))</f>
        <v/>
      </c>
    </row>
    <row r="44" ht="28" customHeight="1">
      <c r="A44" s="13" t="inlineStr">
        <is>
          <t>EC-015</t>
        </is>
      </c>
      <c r="B44" s="14" t="inlineStr">
        <is>
          <t>Etapa 2: Construção das métricas | Atividade 7: Operacionalização das métricas | Atividade 8: Aplicação das métricas</t>
        </is>
      </c>
      <c r="C44" s="14" t="inlineStr">
        <is>
          <t>2. Aplicação da EC</t>
        </is>
      </c>
      <c r="D44" s="14" t="inlineStr">
        <is>
          <t>2.2 Boaventura e GR3</t>
        </is>
      </c>
      <c r="E44" s="15" t="inlineStr">
        <is>
          <t>Validação das decisões sobre as espécies por especialistas</t>
        </is>
      </c>
      <c r="F44" s="13" t="inlineStr">
        <is>
          <t>Clarice</t>
        </is>
      </c>
      <c r="G44" s="16">
        <f>IF($A44="","",_xlfn.TEXTJOIN("; ",TRUE,IF(COUNTIF('Clarice'!$B$6:$B$300,$A44)&gt;0,"Clarice",""),IF(COUNTIF('Luisa'!$B$6:$B$300,$A44)&gt;0,"Luisa",""),IF(COUNTIF('Lui'!$B$6:$B$300,$A44)&gt;0,"Lui",""),IF(COUNTIF('Thaís'!$B$6:$B$300,$A44)&gt;0,"Thaís",""),IF(COUNTIF('Daniel'!$B$6:$B$300,$A44)&gt;0,"Daniel",""),IF(COUNTIF('Fernando'!$B$6:$B$300,$A44)&gt;0,"Fernando",""),IF(COUNTIF('Stephanie'!$B$6:$B$300,$A44)&gt;0,"Stephanie",""),IF(COUNTIF('Fox'!$B$6:$B$300,$A44)&gt;0,"Fox",""),IF(COUNTIF('Bruna'!$B$6:$B$300,$A44)&gt;0,"Bruna",""),IF(COUNTIF('Stella'!$B$6:$B$300,$A44)&gt;0,"Stella",""),IF(COUNTIF('Igor'!$B$6:$B$300,$A44)&gt;0,"Igor","")))</f>
        <v/>
      </c>
      <c r="H44" s="13" t="n"/>
      <c r="I44" s="13" t="inlineStr">
        <is>
          <t>Em andamento</t>
        </is>
      </c>
      <c r="J44" s="17">
        <f>IF(OR($A44="",(COUNTIF('Clarice'!$B$6:$B$300,$A44)+COUNTIF('Luisa'!$B$6:$B$300,$A44)+COUNTIF('Lui'!$B$6:$B$300,$A44)+COUNTIF('Thaís'!$B$6:$B$300,$A44)+COUNTIF('Daniel'!$B$6:$B$300,$A44)+COUNTIF('Fernando'!$B$6:$B$300,$A44)+COUNTIF('Stephanie'!$B$6:$B$300,$A44)+COUNTIF('Fox'!$B$6:$B$300,$A44)+COUNTIF('Bruna'!$B$6:$B$300,$A44)+COUNTIF('Stella'!$B$6:$B$300,$A44)+COUNTIF('Igor'!$B$6:$B$300,$A44))=0),"",(COUNTIFS('Clarice'!$B$6:$B$300,$A44,'Clarice'!$F$6:$F$300,"Concluído")+COUNTIFS('Luisa'!$B$6:$B$300,$A44,'Luisa'!$F$6:$F$300,"Concluído")+COUNTIFS('Lui'!$B$6:$B$300,$A44,'Lui'!$F$6:$F$300,"Concluído")+COUNTIFS('Thaís'!$B$6:$B$300,$A44,'Thaís'!$F$6:$F$300,"Concluído")+COUNTIFS('Daniel'!$B$6:$B$300,$A44,'Daniel'!$F$6:$F$300,"Concluído")+COUNTIFS('Fernando'!$B$6:$B$300,$A44,'Fernando'!$F$6:$F$300,"Concluído")+COUNTIFS('Stephanie'!$B$6:$B$300,$A44,'Stephanie'!$F$6:$F$300,"Concluído")+COUNTIFS('Fox'!$B$6:$B$300,$A44,'Fox'!$F$6:$F$300,"Concluído")+COUNTIFS('Bruna'!$B$6:$B$300,$A44,'Bruna'!$F$6:$F$300,"Concluído")+COUNTIFS('Stella'!$B$6:$B$300,$A44,'Stella'!$F$6:$F$300,"Concluído")+COUNTIFS('Igor'!$B$6:$B$300,$A44,'Igor'!$F$6:$F$300,"Concluído"))&amp;" / "&amp;(COUNTIF('Clarice'!$B$6:$B$300,$A44)+COUNTIF('Luisa'!$B$6:$B$300,$A44)+COUNTIF('Lui'!$B$6:$B$300,$A44)+COUNTIF('Thaís'!$B$6:$B$300,$A44)+COUNTIF('Daniel'!$B$6:$B$300,$A44)+COUNTIF('Fernando'!$B$6:$B$300,$A44)+COUNTIF('Stephanie'!$B$6:$B$300,$A44)+COUNTIF('Fox'!$B$6:$B$300,$A44)+COUNTIF('Bruna'!$B$6:$B$300,$A44)+COUNTIF('Stella'!$B$6:$B$300,$A44)+COUNTIF('Igor'!$B$6:$B$300,$A44)))</f>
        <v/>
      </c>
      <c r="K44" s="18" t="n">
        <v>46230</v>
      </c>
      <c r="L44" s="18" t="n">
        <v>46234</v>
      </c>
      <c r="M44" s="19" t="n"/>
      <c r="N44" s="19" t="n"/>
      <c r="O44" s="19" t="n"/>
      <c r="P44" s="20">
        <f>IF($A44="","",IF(M44&lt;&gt;"",M44,IF(K44&lt;&gt;"",K44,"")))</f>
        <v/>
      </c>
      <c r="Q44" s="20">
        <f>IF($A44="","",IF(N44&lt;&gt;"",N44,IF(L44&lt;&gt;"",L44,"")))</f>
        <v/>
      </c>
      <c r="R44" s="15" t="n"/>
      <c r="S44" s="16">
        <f t="array" ref="S44">IF($A44="","",_xlfn.TEXTJOIN(CHAR(10),TRUE,IF('Clarice'!$B$6:$B$300=$A44,"Clarice"&amp;IF('Clarice'!$E$6:$E$300="",""," : "&amp;'Clarice'!$E$6:$E$300)&amp;" ["&amp;'Clarice'!$F$6:$F$300&amp;"]",""),IF('Luisa'!$B$6:$B$300=$A44,"Luisa"&amp;IF('Luisa'!$E$6:$E$300="",""," : "&amp;'Luisa'!$E$6:$E$300)&amp;" ["&amp;'Luisa'!$F$6:$F$300&amp;"]",""),IF('Lui'!$B$6:$B$300=$A44,"Lui"&amp;IF('Lui'!$E$6:$E$300="",""," : "&amp;'Lui'!$E$6:$E$300)&amp;" ["&amp;'Lui'!$F$6:$F$300&amp;"]",""),IF('Thaís'!$B$6:$B$300=$A44,"Thaís"&amp;IF('Thaís'!$E$6:$E$300="",""," : "&amp;'Thaís'!$E$6:$E$300)&amp;" ["&amp;'Thaís'!$F$6:$F$300&amp;"]",""),IF('Daniel'!$B$6:$B$300=$A44,"Daniel"&amp;IF('Daniel'!$E$6:$E$300="",""," : "&amp;'Daniel'!$E$6:$E$300)&amp;" ["&amp;'Daniel'!$F$6:$F$300&amp;"]",""),IF('Fernando'!$B$6:$B$300=$A44,"Fernando"&amp;IF('Fernando'!$E$6:$E$300="",""," : "&amp;'Fernando'!$E$6:$E$300)&amp;" ["&amp;'Fernando'!$F$6:$F$300&amp;"]",""),IF('Stephanie'!$B$6:$B$300=$A44,"Stephanie"&amp;IF('Stephanie'!$E$6:$E$300="",""," : "&amp;'Stephanie'!$E$6:$E$300)&amp;" ["&amp;'Stephanie'!$F$6:$F$300&amp;"]",""),IF('Fox'!$B$6:$B$300=$A44,"Fox"&amp;IF('Fox'!$E$6:$E$300="",""," : "&amp;'Fox'!$E$6:$E$300)&amp;" ["&amp;'Fox'!$F$6:$F$300&amp;"]",""),IF('Bruna'!$B$6:$B$300=$A44,"Bruna"&amp;IF('Bruna'!$E$6:$E$300="",""," : "&amp;'Bruna'!$E$6:$E$300)&amp;" ["&amp;'Bruna'!$F$6:$F$300&amp;"]",""),IF('Stella'!$B$6:$B$300=$A44,"Stella"&amp;IF('Stella'!$E$6:$E$300="",""," : "&amp;'Stella'!$E$6:$E$300)&amp;" ["&amp;'Stella'!$F$6:$F$300&amp;"]",""),IF('Igor'!$B$6:$B$300=$A44,"Igor"&amp;IF('Igor'!$E$6:$E$300="",""," : "&amp;'Igor'!$E$6:$E$300)&amp;" ["&amp;'Igor'!$F$6:$F$300&amp;"]","")))</f>
        <v/>
      </c>
    </row>
    <row r="45" ht="40.5" customHeight="1">
      <c r="A45" s="13" t="inlineStr">
        <is>
          <t>EC-016</t>
        </is>
      </c>
      <c r="B45" s="14" t="inlineStr">
        <is>
          <t>Etapa 2: Construção das métricas | Atividade 7: Operacionalização das métricas | Atividade 8: Aplicação das métricas</t>
        </is>
      </c>
      <c r="C45" s="14" t="inlineStr">
        <is>
          <t>2. Aplicação da EC</t>
        </is>
      </c>
      <c r="D45" s="14" t="inlineStr">
        <is>
          <t>2.2 Boaventura e GR3</t>
        </is>
      </c>
      <c r="E45" s="15" t="inlineStr">
        <is>
          <t>Definir as camadas e dados espaciais para aplicação da métrica (Boaventura e GR3)</t>
        </is>
      </c>
      <c r="F45" s="13" t="inlineStr">
        <is>
          <t>Clarice</t>
        </is>
      </c>
      <c r="G45" s="16">
        <f>IF($A45="","",_xlfn.TEXTJOIN("; ",TRUE,IF(COUNTIF('Clarice'!$B$6:$B$300,$A45)&gt;0,"Clarice",""),IF(COUNTIF('Luisa'!$B$6:$B$300,$A45)&gt;0,"Luisa",""),IF(COUNTIF('Lui'!$B$6:$B$300,$A45)&gt;0,"Lui",""),IF(COUNTIF('Thaís'!$B$6:$B$300,$A45)&gt;0,"Thaís",""),IF(COUNTIF('Daniel'!$B$6:$B$300,$A45)&gt;0,"Daniel",""),IF(COUNTIF('Fernando'!$B$6:$B$300,$A45)&gt;0,"Fernando",""),IF(COUNTIF('Stephanie'!$B$6:$B$300,$A45)&gt;0,"Stephanie",""),IF(COUNTIF('Fox'!$B$6:$B$300,$A45)&gt;0,"Fox",""),IF(COUNTIF('Bruna'!$B$6:$B$300,$A45)&gt;0,"Bruna",""),IF(COUNTIF('Stella'!$B$6:$B$300,$A45)&gt;0,"Stella",""),IF(COUNTIF('Igor'!$B$6:$B$300,$A45)&gt;0,"Igor","")))</f>
        <v/>
      </c>
      <c r="H45" s="13" t="n"/>
      <c r="I45" s="13" t="inlineStr">
        <is>
          <t>Em andamento</t>
        </is>
      </c>
      <c r="J45" s="17">
        <f>IF(OR($A45="",(COUNTIF('Clarice'!$B$6:$B$300,$A45)+COUNTIF('Luisa'!$B$6:$B$300,$A45)+COUNTIF('Lui'!$B$6:$B$300,$A45)+COUNTIF('Thaís'!$B$6:$B$300,$A45)+COUNTIF('Daniel'!$B$6:$B$300,$A45)+COUNTIF('Fernando'!$B$6:$B$300,$A45)+COUNTIF('Stephanie'!$B$6:$B$300,$A45)+COUNTIF('Fox'!$B$6:$B$300,$A45)+COUNTIF('Bruna'!$B$6:$B$300,$A45)+COUNTIF('Stella'!$B$6:$B$300,$A45)+COUNTIF('Igor'!$B$6:$B$300,$A45))=0),"",(COUNTIFS('Clarice'!$B$6:$B$300,$A45,'Clarice'!$F$6:$F$300,"Concluído")+COUNTIFS('Luisa'!$B$6:$B$300,$A45,'Luisa'!$F$6:$F$300,"Concluído")+COUNTIFS('Lui'!$B$6:$B$300,$A45,'Lui'!$F$6:$F$300,"Concluído")+COUNTIFS('Thaís'!$B$6:$B$300,$A45,'Thaís'!$F$6:$F$300,"Concluído")+COUNTIFS('Daniel'!$B$6:$B$300,$A45,'Daniel'!$F$6:$F$300,"Concluído")+COUNTIFS('Fernando'!$B$6:$B$300,$A45,'Fernando'!$F$6:$F$300,"Concluído")+COUNTIFS('Stephanie'!$B$6:$B$300,$A45,'Stephanie'!$F$6:$F$300,"Concluído")+COUNTIFS('Fox'!$B$6:$B$300,$A45,'Fox'!$F$6:$F$300,"Concluído")+COUNTIFS('Bruna'!$B$6:$B$300,$A45,'Bruna'!$F$6:$F$300,"Concluído")+COUNTIFS('Stella'!$B$6:$B$300,$A45,'Stella'!$F$6:$F$300,"Concluído")+COUNTIFS('Igor'!$B$6:$B$300,$A45,'Igor'!$F$6:$F$300,"Concluído"))&amp;" / "&amp;(COUNTIF('Clarice'!$B$6:$B$300,$A45)+COUNTIF('Luisa'!$B$6:$B$300,$A45)+COUNTIF('Lui'!$B$6:$B$300,$A45)+COUNTIF('Thaís'!$B$6:$B$300,$A45)+COUNTIF('Daniel'!$B$6:$B$300,$A45)+COUNTIF('Fernando'!$B$6:$B$300,$A45)+COUNTIF('Stephanie'!$B$6:$B$300,$A45)+COUNTIF('Fox'!$B$6:$B$300,$A45)+COUNTIF('Bruna'!$B$6:$B$300,$A45)+COUNTIF('Stella'!$B$6:$B$300,$A45)+COUNTIF('Igor'!$B$6:$B$300,$A45)))</f>
        <v/>
      </c>
      <c r="K45" s="18" t="n">
        <v>46125</v>
      </c>
      <c r="L45" s="18" t="n">
        <v>46136</v>
      </c>
      <c r="M45" s="18" t="n">
        <v>46125</v>
      </c>
      <c r="N45" s="18" t="n">
        <v>46241</v>
      </c>
      <c r="O45" s="19" t="n"/>
      <c r="P45" s="20">
        <f>IF($A45="","",IF(M45&lt;&gt;"",M45,IF(K45&lt;&gt;"",K45,"")))</f>
        <v/>
      </c>
      <c r="Q45" s="20">
        <f>IF($A45="","",IF(N45&lt;&gt;"",N45,IF(L45&lt;&gt;"",L45,"")))</f>
        <v/>
      </c>
      <c r="R45" s="15" t="n"/>
      <c r="S45" s="16">
        <f t="array" ref="S45">IF($A45="","",_xlfn.TEXTJOIN(CHAR(10),TRUE,IF('Clarice'!$B$6:$B$300=$A45,"Clarice"&amp;IF('Clarice'!$E$6:$E$300="",""," : "&amp;'Clarice'!$E$6:$E$300)&amp;" ["&amp;'Clarice'!$F$6:$F$300&amp;"]",""),IF('Luisa'!$B$6:$B$300=$A45,"Luisa"&amp;IF('Luisa'!$E$6:$E$300="",""," : "&amp;'Luisa'!$E$6:$E$300)&amp;" ["&amp;'Luisa'!$F$6:$F$300&amp;"]",""),IF('Lui'!$B$6:$B$300=$A45,"Lui"&amp;IF('Lui'!$E$6:$E$300="",""," : "&amp;'Lui'!$E$6:$E$300)&amp;" ["&amp;'Lui'!$F$6:$F$300&amp;"]",""),IF('Thaís'!$B$6:$B$300=$A45,"Thaís"&amp;IF('Thaís'!$E$6:$E$300="",""," : "&amp;'Thaís'!$E$6:$E$300)&amp;" ["&amp;'Thaís'!$F$6:$F$300&amp;"]",""),IF('Daniel'!$B$6:$B$300=$A45,"Daniel"&amp;IF('Daniel'!$E$6:$E$300="",""," : "&amp;'Daniel'!$E$6:$E$300)&amp;" ["&amp;'Daniel'!$F$6:$F$300&amp;"]",""),IF('Fernando'!$B$6:$B$300=$A45,"Fernando"&amp;IF('Fernando'!$E$6:$E$300="",""," : "&amp;'Fernando'!$E$6:$E$300)&amp;" ["&amp;'Fernando'!$F$6:$F$300&amp;"]",""),IF('Stephanie'!$B$6:$B$300=$A45,"Stephanie"&amp;IF('Stephanie'!$E$6:$E$300="",""," : "&amp;'Stephanie'!$E$6:$E$300)&amp;" ["&amp;'Stephanie'!$F$6:$F$300&amp;"]",""),IF('Fox'!$B$6:$B$300=$A45,"Fox"&amp;IF('Fox'!$E$6:$E$300="",""," : "&amp;'Fox'!$E$6:$E$300)&amp;" ["&amp;'Fox'!$F$6:$F$300&amp;"]",""),IF('Bruna'!$B$6:$B$300=$A45,"Bruna"&amp;IF('Bruna'!$E$6:$E$300="",""," : "&amp;'Bruna'!$E$6:$E$300)&amp;" ["&amp;'Bruna'!$F$6:$F$300&amp;"]",""),IF('Stella'!$B$6:$B$300=$A45,"Stella"&amp;IF('Stella'!$E$6:$E$300="",""," : "&amp;'Stella'!$E$6:$E$300)&amp;" ["&amp;'Stella'!$F$6:$F$300&amp;"]",""),IF('Igor'!$B$6:$B$300=$A45,"Igor"&amp;IF('Igor'!$E$6:$E$300="",""," : "&amp;'Igor'!$E$6:$E$300)&amp;" ["&amp;'Igor'!$F$6:$F$300&amp;"]","")))</f>
        <v/>
      </c>
    </row>
    <row r="46" ht="15.5" customHeight="1">
      <c r="A46" s="13" t="inlineStr">
        <is>
          <t>EC-017</t>
        </is>
      </c>
      <c r="B46" s="14" t="inlineStr">
        <is>
          <t>Etapa 2: Construção das métricas | Atividade 7: Operacionalização das métricas | Atividade 8: Aplicação das métricas</t>
        </is>
      </c>
      <c r="C46" s="14" t="inlineStr">
        <is>
          <t>2. Aplicação da EC</t>
        </is>
      </c>
      <c r="D46" s="14" t="inlineStr">
        <is>
          <t>2.2 Boaventura e GR3</t>
        </is>
      </c>
      <c r="E46" s="15" t="inlineStr">
        <is>
          <t>Obter os dados de supressão e plantio (Boaventura)</t>
        </is>
      </c>
      <c r="F46" s="13" t="inlineStr">
        <is>
          <t>Clarice</t>
        </is>
      </c>
      <c r="G46" s="16">
        <f>IF($A46="","",_xlfn.TEXTJOIN("; ",TRUE,IF(COUNTIF('Clarice'!$B$6:$B$300,$A46)&gt;0,"Clarice",""),IF(COUNTIF('Luisa'!$B$6:$B$300,$A46)&gt;0,"Luisa",""),IF(COUNTIF('Lui'!$B$6:$B$300,$A46)&gt;0,"Lui",""),IF(COUNTIF('Thaís'!$B$6:$B$300,$A46)&gt;0,"Thaís",""),IF(COUNTIF('Daniel'!$B$6:$B$300,$A46)&gt;0,"Daniel",""),IF(COUNTIF('Fernando'!$B$6:$B$300,$A46)&gt;0,"Fernando",""),IF(COUNTIF('Stephanie'!$B$6:$B$300,$A46)&gt;0,"Stephanie",""),IF(COUNTIF('Fox'!$B$6:$B$300,$A46)&gt;0,"Fox",""),IF(COUNTIF('Bruna'!$B$6:$B$300,$A46)&gt;0,"Bruna",""),IF(COUNTIF('Stella'!$B$6:$B$300,$A46)&gt;0,"Stella",""),IF(COUNTIF('Igor'!$B$6:$B$300,$A46)&gt;0,"Igor","")))</f>
        <v/>
      </c>
      <c r="H46" s="13" t="inlineStr">
        <is>
          <t>Petrobras</t>
        </is>
      </c>
      <c r="I46" s="13" t="inlineStr">
        <is>
          <t>Concluído</t>
        </is>
      </c>
      <c r="J46" s="17">
        <f>IF(OR($A46="",(COUNTIF('Clarice'!$B$6:$B$300,$A46)+COUNTIF('Luisa'!$B$6:$B$300,$A46)+COUNTIF('Lui'!$B$6:$B$300,$A46)+COUNTIF('Thaís'!$B$6:$B$300,$A46)+COUNTIF('Daniel'!$B$6:$B$300,$A46)+COUNTIF('Fernando'!$B$6:$B$300,$A46)+COUNTIF('Stephanie'!$B$6:$B$300,$A46)+COUNTIF('Fox'!$B$6:$B$300,$A46)+COUNTIF('Bruna'!$B$6:$B$300,$A46)+COUNTIF('Stella'!$B$6:$B$300,$A46)+COUNTIF('Igor'!$B$6:$B$300,$A46))=0),"",(COUNTIFS('Clarice'!$B$6:$B$300,$A46,'Clarice'!$F$6:$F$300,"Concluído")+COUNTIFS('Luisa'!$B$6:$B$300,$A46,'Luisa'!$F$6:$F$300,"Concluído")+COUNTIFS('Lui'!$B$6:$B$300,$A46,'Lui'!$F$6:$F$300,"Concluído")+COUNTIFS('Thaís'!$B$6:$B$300,$A46,'Thaís'!$F$6:$F$300,"Concluído")+COUNTIFS('Daniel'!$B$6:$B$300,$A46,'Daniel'!$F$6:$F$300,"Concluído")+COUNTIFS('Fernando'!$B$6:$B$300,$A46,'Fernando'!$F$6:$F$300,"Concluído")+COUNTIFS('Stephanie'!$B$6:$B$300,$A46,'Stephanie'!$F$6:$F$300,"Concluído")+COUNTIFS('Fox'!$B$6:$B$300,$A46,'Fox'!$F$6:$F$300,"Concluído")+COUNTIFS('Bruna'!$B$6:$B$300,$A46,'Bruna'!$F$6:$F$300,"Concluído")+COUNTIFS('Stella'!$B$6:$B$300,$A46,'Stella'!$F$6:$F$300,"Concluído")+COUNTIFS('Igor'!$B$6:$B$300,$A46,'Igor'!$F$6:$F$300,"Concluído"))&amp;" / "&amp;(COUNTIF('Clarice'!$B$6:$B$300,$A46)+COUNTIF('Luisa'!$B$6:$B$300,$A46)+COUNTIF('Lui'!$B$6:$B$300,$A46)+COUNTIF('Thaís'!$B$6:$B$300,$A46)+COUNTIF('Daniel'!$B$6:$B$300,$A46)+COUNTIF('Fernando'!$B$6:$B$300,$A46)+COUNTIF('Stephanie'!$B$6:$B$300,$A46)+COUNTIF('Fox'!$B$6:$B$300,$A46)+COUNTIF('Bruna'!$B$6:$B$300,$A46)+COUNTIF('Stella'!$B$6:$B$300,$A46)+COUNTIF('Igor'!$B$6:$B$300,$A46)))</f>
        <v/>
      </c>
      <c r="K46" s="18" t="n">
        <v>46097</v>
      </c>
      <c r="L46" s="18" t="n">
        <v>46112</v>
      </c>
      <c r="M46" s="18" t="n">
        <v>46097</v>
      </c>
      <c r="N46" s="18" t="n">
        <v>46192</v>
      </c>
      <c r="O46" s="19" t="n"/>
      <c r="P46" s="20">
        <f>IF($A46="","",IF(M46&lt;&gt;"",M46,IF(K46&lt;&gt;"",K46,"")))</f>
        <v/>
      </c>
      <c r="Q46" s="20">
        <f>IF($A46="","",IF(N46&lt;&gt;"",N46,IF(L46&lt;&gt;"",L46,"")))</f>
        <v/>
      </c>
      <c r="R46" s="15" t="n"/>
      <c r="S46" s="16">
        <f t="array" ref="S46">IF($A46="","",_xlfn.TEXTJOIN(CHAR(10),TRUE,IF('Clarice'!$B$6:$B$300=$A46,"Clarice"&amp;IF('Clarice'!$E$6:$E$300="",""," : "&amp;'Clarice'!$E$6:$E$300)&amp;" ["&amp;'Clarice'!$F$6:$F$300&amp;"]",""),IF('Luisa'!$B$6:$B$300=$A46,"Luisa"&amp;IF('Luisa'!$E$6:$E$300="",""," : "&amp;'Luisa'!$E$6:$E$300)&amp;" ["&amp;'Luisa'!$F$6:$F$300&amp;"]",""),IF('Lui'!$B$6:$B$300=$A46,"Lui"&amp;IF('Lui'!$E$6:$E$300="",""," : "&amp;'Lui'!$E$6:$E$300)&amp;" ["&amp;'Lui'!$F$6:$F$300&amp;"]",""),IF('Thaís'!$B$6:$B$300=$A46,"Thaís"&amp;IF('Thaís'!$E$6:$E$300="",""," : "&amp;'Thaís'!$E$6:$E$300)&amp;" ["&amp;'Thaís'!$F$6:$F$300&amp;"]",""),IF('Daniel'!$B$6:$B$300=$A46,"Daniel"&amp;IF('Daniel'!$E$6:$E$300="",""," : "&amp;'Daniel'!$E$6:$E$300)&amp;" ["&amp;'Daniel'!$F$6:$F$300&amp;"]",""),IF('Fernando'!$B$6:$B$300=$A46,"Fernando"&amp;IF('Fernando'!$E$6:$E$300="",""," : "&amp;'Fernando'!$E$6:$E$300)&amp;" ["&amp;'Fernando'!$F$6:$F$300&amp;"]",""),IF('Stephanie'!$B$6:$B$300=$A46,"Stephanie"&amp;IF('Stephanie'!$E$6:$E$300="",""," : "&amp;'Stephanie'!$E$6:$E$300)&amp;" ["&amp;'Stephanie'!$F$6:$F$300&amp;"]",""),IF('Fox'!$B$6:$B$300=$A46,"Fox"&amp;IF('Fox'!$E$6:$E$300="",""," : "&amp;'Fox'!$E$6:$E$300)&amp;" ["&amp;'Fox'!$F$6:$F$300&amp;"]",""),IF('Bruna'!$B$6:$B$300=$A46,"Bruna"&amp;IF('Bruna'!$E$6:$E$300="",""," : "&amp;'Bruna'!$E$6:$E$300)&amp;" ["&amp;'Bruna'!$F$6:$F$300&amp;"]",""),IF('Stella'!$B$6:$B$300=$A46,"Stella"&amp;IF('Stella'!$E$6:$E$300="",""," : "&amp;'Stella'!$E$6:$E$300)&amp;" ["&amp;'Stella'!$F$6:$F$300&amp;"]",""),IF('Igor'!$B$6:$B$300=$A46,"Igor"&amp;IF('Igor'!$E$6:$E$300="",""," : "&amp;'Igor'!$E$6:$E$300)&amp;" ["&amp;'Igor'!$F$6:$F$300&amp;"]","")))</f>
        <v/>
      </c>
    </row>
    <row r="47" ht="28" customHeight="1">
      <c r="A47" s="13" t="inlineStr">
        <is>
          <t>EC-018</t>
        </is>
      </c>
      <c r="B47" s="14" t="inlineStr">
        <is>
          <t>Etapa 2: Construção das métricas | Atividade 7: Operacionalização das métricas | Atividade 8: Aplicação das métricas</t>
        </is>
      </c>
      <c r="C47" s="14" t="inlineStr">
        <is>
          <t>2. Aplicação da EC</t>
        </is>
      </c>
      <c r="D47" s="14" t="inlineStr">
        <is>
          <t>2.2 Boaventura e GR3</t>
        </is>
      </c>
      <c r="E47" s="15" t="inlineStr">
        <is>
          <t>Preparar os dados espaciais (rasters e shape) para os cenários a serem avaliados (Boaventura e GR3)</t>
        </is>
      </c>
      <c r="F47" s="13" t="inlineStr">
        <is>
          <t>Clarice</t>
        </is>
      </c>
      <c r="G47" s="16">
        <f>IF($A47="","",_xlfn.TEXTJOIN("; ",TRUE,IF(COUNTIF('Clarice'!$B$6:$B$300,$A47)&gt;0,"Clarice",""),IF(COUNTIF('Luisa'!$B$6:$B$300,$A47)&gt;0,"Luisa",""),IF(COUNTIF('Lui'!$B$6:$B$300,$A47)&gt;0,"Lui",""),IF(COUNTIF('Thaís'!$B$6:$B$300,$A47)&gt;0,"Thaís",""),IF(COUNTIF('Daniel'!$B$6:$B$300,$A47)&gt;0,"Daniel",""),IF(COUNTIF('Fernando'!$B$6:$B$300,$A47)&gt;0,"Fernando",""),IF(COUNTIF('Stephanie'!$B$6:$B$300,$A47)&gt;0,"Stephanie",""),IF(COUNTIF('Fox'!$B$6:$B$300,$A47)&gt;0,"Fox",""),IF(COUNTIF('Bruna'!$B$6:$B$300,$A47)&gt;0,"Bruna",""),IF(COUNTIF('Stella'!$B$6:$B$300,$A47)&gt;0,"Stella",""),IF(COUNTIF('Igor'!$B$6:$B$300,$A47)&gt;0,"Igor","")))</f>
        <v/>
      </c>
      <c r="H47" s="13" t="n"/>
      <c r="I47" s="13" t="inlineStr">
        <is>
          <t>Não iniciado</t>
        </is>
      </c>
      <c r="J47" s="17">
        <f>IF(OR($A47="",(COUNTIF('Clarice'!$B$6:$B$300,$A47)+COUNTIF('Luisa'!$B$6:$B$300,$A47)+COUNTIF('Lui'!$B$6:$B$300,$A47)+COUNTIF('Thaís'!$B$6:$B$300,$A47)+COUNTIF('Daniel'!$B$6:$B$300,$A47)+COUNTIF('Fernando'!$B$6:$B$300,$A47)+COUNTIF('Stephanie'!$B$6:$B$300,$A47)+COUNTIF('Fox'!$B$6:$B$300,$A47)+COUNTIF('Bruna'!$B$6:$B$300,$A47)+COUNTIF('Stella'!$B$6:$B$300,$A47)+COUNTIF('Igor'!$B$6:$B$300,$A47))=0),"",(COUNTIFS('Clarice'!$B$6:$B$300,$A47,'Clarice'!$F$6:$F$300,"Concluído")+COUNTIFS('Luisa'!$B$6:$B$300,$A47,'Luisa'!$F$6:$F$300,"Concluído")+COUNTIFS('Lui'!$B$6:$B$300,$A47,'Lui'!$F$6:$F$300,"Concluído")+COUNTIFS('Thaís'!$B$6:$B$300,$A47,'Thaís'!$F$6:$F$300,"Concluído")+COUNTIFS('Daniel'!$B$6:$B$300,$A47,'Daniel'!$F$6:$F$300,"Concluído")+COUNTIFS('Fernando'!$B$6:$B$300,$A47,'Fernando'!$F$6:$F$300,"Concluído")+COUNTIFS('Stephanie'!$B$6:$B$300,$A47,'Stephanie'!$F$6:$F$300,"Concluído")+COUNTIFS('Fox'!$B$6:$B$300,$A47,'Fox'!$F$6:$F$300,"Concluído")+COUNTIFS('Bruna'!$B$6:$B$300,$A47,'Bruna'!$F$6:$F$300,"Concluído")+COUNTIFS('Stella'!$B$6:$B$300,$A47,'Stella'!$F$6:$F$300,"Concluído")+COUNTIFS('Igor'!$B$6:$B$300,$A47,'Igor'!$F$6:$F$300,"Concluído"))&amp;" / "&amp;(COUNTIF('Clarice'!$B$6:$B$300,$A47)+COUNTIF('Luisa'!$B$6:$B$300,$A47)+COUNTIF('Lui'!$B$6:$B$300,$A47)+COUNTIF('Thaís'!$B$6:$B$300,$A47)+COUNTIF('Daniel'!$B$6:$B$300,$A47)+COUNTIF('Fernando'!$B$6:$B$300,$A47)+COUNTIF('Stephanie'!$B$6:$B$300,$A47)+COUNTIF('Fox'!$B$6:$B$300,$A47)+COUNTIF('Bruna'!$B$6:$B$300,$A47)+COUNTIF('Stella'!$B$6:$B$300,$A47)+COUNTIF('Igor'!$B$6:$B$300,$A47)))</f>
        <v/>
      </c>
      <c r="K47" s="18" t="n">
        <v>46118</v>
      </c>
      <c r="L47" s="18" t="n">
        <v>46142</v>
      </c>
      <c r="M47" s="18" t="n">
        <v>46118</v>
      </c>
      <c r="N47" s="18" t="n">
        <v>46227</v>
      </c>
      <c r="O47" s="19" t="n"/>
      <c r="P47" s="20">
        <f>IF($A47="","",IF(M47&lt;&gt;"",M47,IF(K47&lt;&gt;"",K47,"")))</f>
        <v/>
      </c>
      <c r="Q47" s="20">
        <f>IF($A47="","",IF(N47&lt;&gt;"",N47,IF(L47&lt;&gt;"",L47,"")))</f>
        <v/>
      </c>
      <c r="R47" s="15" t="n"/>
      <c r="S47" s="16">
        <f t="array" ref="S47">IF($A47="","",_xlfn.TEXTJOIN(CHAR(10),TRUE,IF('Clarice'!$B$6:$B$300=$A47,"Clarice"&amp;IF('Clarice'!$E$6:$E$300="",""," : "&amp;'Clarice'!$E$6:$E$300)&amp;" ["&amp;'Clarice'!$F$6:$F$300&amp;"]",""),IF('Luisa'!$B$6:$B$300=$A47,"Luisa"&amp;IF('Luisa'!$E$6:$E$300="",""," : "&amp;'Luisa'!$E$6:$E$300)&amp;" ["&amp;'Luisa'!$F$6:$F$300&amp;"]",""),IF('Lui'!$B$6:$B$300=$A47,"Lui"&amp;IF('Lui'!$E$6:$E$300="",""," : "&amp;'Lui'!$E$6:$E$300)&amp;" ["&amp;'Lui'!$F$6:$F$300&amp;"]",""),IF('Thaís'!$B$6:$B$300=$A47,"Thaís"&amp;IF('Thaís'!$E$6:$E$300="",""," : "&amp;'Thaís'!$E$6:$E$300)&amp;" ["&amp;'Thaís'!$F$6:$F$300&amp;"]",""),IF('Daniel'!$B$6:$B$300=$A47,"Daniel"&amp;IF('Daniel'!$E$6:$E$300="",""," : "&amp;'Daniel'!$E$6:$E$300)&amp;" ["&amp;'Daniel'!$F$6:$F$300&amp;"]",""),IF('Fernando'!$B$6:$B$300=$A47,"Fernando"&amp;IF('Fernando'!$E$6:$E$300="",""," : "&amp;'Fernando'!$E$6:$E$300)&amp;" ["&amp;'Fernando'!$F$6:$F$300&amp;"]",""),IF('Stephanie'!$B$6:$B$300=$A47,"Stephanie"&amp;IF('Stephanie'!$E$6:$E$300="",""," : "&amp;'Stephanie'!$E$6:$E$300)&amp;" ["&amp;'Stephanie'!$F$6:$F$300&amp;"]",""),IF('Fox'!$B$6:$B$300=$A47,"Fox"&amp;IF('Fox'!$E$6:$E$300="",""," : "&amp;'Fox'!$E$6:$E$300)&amp;" ["&amp;'Fox'!$F$6:$F$300&amp;"]",""),IF('Bruna'!$B$6:$B$300=$A47,"Bruna"&amp;IF('Bruna'!$E$6:$E$300="",""," : "&amp;'Bruna'!$E$6:$E$300)&amp;" ["&amp;'Bruna'!$F$6:$F$300&amp;"]",""),IF('Stella'!$B$6:$B$300=$A47,"Stella"&amp;IF('Stella'!$E$6:$E$300="",""," : "&amp;'Stella'!$E$6:$E$300)&amp;" ["&amp;'Stella'!$F$6:$F$300&amp;"]",""),IF('Igor'!$B$6:$B$300=$A47,"Igor"&amp;IF('Igor'!$E$6:$E$300="",""," : "&amp;'Igor'!$E$6:$E$300)&amp;" ["&amp;'Igor'!$F$6:$F$300&amp;"]","")))</f>
        <v/>
      </c>
    </row>
    <row r="48" ht="28" customHeight="1">
      <c r="A48" s="13" t="inlineStr">
        <is>
          <t>EC-019</t>
        </is>
      </c>
      <c r="B48" s="14" t="inlineStr">
        <is>
          <t>Etapa 2: Construção das métricas | Atividade 7: Operacionalização das métricas | Atividade 8: Aplicação das métricas</t>
        </is>
      </c>
      <c r="C48" s="14" t="inlineStr">
        <is>
          <t>2. Aplicação da EC</t>
        </is>
      </c>
      <c r="D48" s="14" t="inlineStr">
        <is>
          <t>2.2 Boaventura e GR3</t>
        </is>
      </c>
      <c r="E48" s="15" t="inlineStr">
        <is>
          <t>Rodar as análises no R (Boaventura e GR3)</t>
        </is>
      </c>
      <c r="F48" s="13" t="inlineStr">
        <is>
          <t>Clarice</t>
        </is>
      </c>
      <c r="G48" s="16">
        <f>IF($A48="","",_xlfn.TEXTJOIN("; ",TRUE,IF(COUNTIF('Clarice'!$B$6:$B$300,$A48)&gt;0,"Clarice",""),IF(COUNTIF('Luisa'!$B$6:$B$300,$A48)&gt;0,"Luisa",""),IF(COUNTIF('Lui'!$B$6:$B$300,$A48)&gt;0,"Lui",""),IF(COUNTIF('Thaís'!$B$6:$B$300,$A48)&gt;0,"Thaís",""),IF(COUNTIF('Daniel'!$B$6:$B$300,$A48)&gt;0,"Daniel",""),IF(COUNTIF('Fernando'!$B$6:$B$300,$A48)&gt;0,"Fernando",""),IF(COUNTIF('Stephanie'!$B$6:$B$300,$A48)&gt;0,"Stephanie",""),IF(COUNTIF('Fox'!$B$6:$B$300,$A48)&gt;0,"Fox",""),IF(COUNTIF('Bruna'!$B$6:$B$300,$A48)&gt;0,"Bruna",""),IF(COUNTIF('Stella'!$B$6:$B$300,$A48)&gt;0,"Stella",""),IF(COUNTIF('Igor'!$B$6:$B$300,$A48)&gt;0,"Igor","")))</f>
        <v/>
      </c>
      <c r="H48" s="13" t="n"/>
      <c r="I48" s="13" t="inlineStr">
        <is>
          <t>Não iniciado</t>
        </is>
      </c>
      <c r="J48" s="17">
        <f>IF(OR($A48="",(COUNTIF('Clarice'!$B$6:$B$300,$A48)+COUNTIF('Luisa'!$B$6:$B$300,$A48)+COUNTIF('Lui'!$B$6:$B$300,$A48)+COUNTIF('Thaís'!$B$6:$B$300,$A48)+COUNTIF('Daniel'!$B$6:$B$300,$A48)+COUNTIF('Fernando'!$B$6:$B$300,$A48)+COUNTIF('Stephanie'!$B$6:$B$300,$A48)+COUNTIF('Fox'!$B$6:$B$300,$A48)+COUNTIF('Bruna'!$B$6:$B$300,$A48)+COUNTIF('Stella'!$B$6:$B$300,$A48)+COUNTIF('Igor'!$B$6:$B$300,$A48))=0),"",(COUNTIFS('Clarice'!$B$6:$B$300,$A48,'Clarice'!$F$6:$F$300,"Concluído")+COUNTIFS('Luisa'!$B$6:$B$300,$A48,'Luisa'!$F$6:$F$300,"Concluído")+COUNTIFS('Lui'!$B$6:$B$300,$A48,'Lui'!$F$6:$F$300,"Concluído")+COUNTIFS('Thaís'!$B$6:$B$300,$A48,'Thaís'!$F$6:$F$300,"Concluído")+COUNTIFS('Daniel'!$B$6:$B$300,$A48,'Daniel'!$F$6:$F$300,"Concluído")+COUNTIFS('Fernando'!$B$6:$B$300,$A48,'Fernando'!$F$6:$F$300,"Concluído")+COUNTIFS('Stephanie'!$B$6:$B$300,$A48,'Stephanie'!$F$6:$F$300,"Concluído")+COUNTIFS('Fox'!$B$6:$B$300,$A48,'Fox'!$F$6:$F$300,"Concluído")+COUNTIFS('Bruna'!$B$6:$B$300,$A48,'Bruna'!$F$6:$F$300,"Concluído")+COUNTIFS('Stella'!$B$6:$B$300,$A48,'Stella'!$F$6:$F$300,"Concluído")+COUNTIFS('Igor'!$B$6:$B$300,$A48,'Igor'!$F$6:$F$300,"Concluído"))&amp;" / "&amp;(COUNTIF('Clarice'!$B$6:$B$300,$A48)+COUNTIF('Luisa'!$B$6:$B$300,$A48)+COUNTIF('Lui'!$B$6:$B$300,$A48)+COUNTIF('Thaís'!$B$6:$B$300,$A48)+COUNTIF('Daniel'!$B$6:$B$300,$A48)+COUNTIF('Fernando'!$B$6:$B$300,$A48)+COUNTIF('Stephanie'!$B$6:$B$300,$A48)+COUNTIF('Fox'!$B$6:$B$300,$A48)+COUNTIF('Bruna'!$B$6:$B$300,$A48)+COUNTIF('Stella'!$B$6:$B$300,$A48)+COUNTIF('Igor'!$B$6:$B$300,$A48)))</f>
        <v/>
      </c>
      <c r="K48" s="18" t="n">
        <v>46139</v>
      </c>
      <c r="L48" s="18" t="n">
        <v>46157</v>
      </c>
      <c r="M48" s="18" t="n">
        <v>46139</v>
      </c>
      <c r="N48" s="18" t="n">
        <v>46283</v>
      </c>
      <c r="O48" s="19" t="n"/>
      <c r="P48" s="20">
        <f>IF($A48="","",IF(M48&lt;&gt;"",M48,IF(K48&lt;&gt;"",K48,"")))</f>
        <v/>
      </c>
      <c r="Q48" s="20">
        <f>IF($A48="","",IF(N48&lt;&gt;"",N48,IF(L48&lt;&gt;"",L48,"")))</f>
        <v/>
      </c>
      <c r="R48" s="15" t="n"/>
      <c r="S48" s="16">
        <f t="array" ref="S48">IF($A48="","",_xlfn.TEXTJOIN(CHAR(10),TRUE,IF('Clarice'!$B$6:$B$300=$A48,"Clarice"&amp;IF('Clarice'!$E$6:$E$300="",""," : "&amp;'Clarice'!$E$6:$E$300)&amp;" ["&amp;'Clarice'!$F$6:$F$300&amp;"]",""),IF('Luisa'!$B$6:$B$300=$A48,"Luisa"&amp;IF('Luisa'!$E$6:$E$300="",""," : "&amp;'Luisa'!$E$6:$E$300)&amp;" ["&amp;'Luisa'!$F$6:$F$300&amp;"]",""),IF('Lui'!$B$6:$B$300=$A48,"Lui"&amp;IF('Lui'!$E$6:$E$300="",""," : "&amp;'Lui'!$E$6:$E$300)&amp;" ["&amp;'Lui'!$F$6:$F$300&amp;"]",""),IF('Thaís'!$B$6:$B$300=$A48,"Thaís"&amp;IF('Thaís'!$E$6:$E$300="",""," : "&amp;'Thaís'!$E$6:$E$300)&amp;" ["&amp;'Thaís'!$F$6:$F$300&amp;"]",""),IF('Daniel'!$B$6:$B$300=$A48,"Daniel"&amp;IF('Daniel'!$E$6:$E$300="",""," : "&amp;'Daniel'!$E$6:$E$300)&amp;" ["&amp;'Daniel'!$F$6:$F$300&amp;"]",""),IF('Fernando'!$B$6:$B$300=$A48,"Fernando"&amp;IF('Fernando'!$E$6:$E$300="",""," : "&amp;'Fernando'!$E$6:$E$300)&amp;" ["&amp;'Fernando'!$F$6:$F$300&amp;"]",""),IF('Stephanie'!$B$6:$B$300=$A48,"Stephanie"&amp;IF('Stephanie'!$E$6:$E$300="",""," : "&amp;'Stephanie'!$E$6:$E$300)&amp;" ["&amp;'Stephanie'!$F$6:$F$300&amp;"]",""),IF('Fox'!$B$6:$B$300=$A48,"Fox"&amp;IF('Fox'!$E$6:$E$300="",""," : "&amp;'Fox'!$E$6:$E$300)&amp;" ["&amp;'Fox'!$F$6:$F$300&amp;"]",""),IF('Bruna'!$B$6:$B$300=$A48,"Bruna"&amp;IF('Bruna'!$E$6:$E$300="",""," : "&amp;'Bruna'!$E$6:$E$300)&amp;" ["&amp;'Bruna'!$F$6:$F$300&amp;"]",""),IF('Stella'!$B$6:$B$300=$A48,"Stella"&amp;IF('Stella'!$E$6:$E$300="",""," : "&amp;'Stella'!$E$6:$E$300)&amp;" ["&amp;'Stella'!$F$6:$F$300&amp;"]",""),IF('Igor'!$B$6:$B$300=$A48,"Igor"&amp;IF('Igor'!$E$6:$E$300="",""," : "&amp;'Igor'!$E$6:$E$300)&amp;" ["&amp;'Igor'!$F$6:$F$300&amp;"]","")))</f>
        <v/>
      </c>
    </row>
    <row r="49" ht="40.5" customHeight="1">
      <c r="A49" s="13" t="inlineStr">
        <is>
          <t>EC-020</t>
        </is>
      </c>
      <c r="B49" s="14" t="inlineStr">
        <is>
          <t>Etapa 2: Construção das métricas | Atividade 7: Operacionalização das métricas | Atividade 8: Aplicação das métricas</t>
        </is>
      </c>
      <c r="C49" s="14" t="inlineStr">
        <is>
          <t>2. Aplicação da EC</t>
        </is>
      </c>
      <c r="D49" s="14" t="inlineStr">
        <is>
          <t>2.2 Boaventura e GR3</t>
        </is>
      </c>
      <c r="E49" s="15" t="inlineStr">
        <is>
          <t>Consolidar os resultados e apresentar internamente (Boaventura e GR3)</t>
        </is>
      </c>
      <c r="F49" s="13" t="inlineStr">
        <is>
          <t>Clarice</t>
        </is>
      </c>
      <c r="G49" s="16">
        <f>IF($A49="","",_xlfn.TEXTJOIN("; ",TRUE,IF(COUNTIF('Clarice'!$B$6:$B$300,$A49)&gt;0,"Clarice",""),IF(COUNTIF('Luisa'!$B$6:$B$300,$A49)&gt;0,"Luisa",""),IF(COUNTIF('Lui'!$B$6:$B$300,$A49)&gt;0,"Lui",""),IF(COUNTIF('Thaís'!$B$6:$B$300,$A49)&gt;0,"Thaís",""),IF(COUNTIF('Daniel'!$B$6:$B$300,$A49)&gt;0,"Daniel",""),IF(COUNTIF('Fernando'!$B$6:$B$300,$A49)&gt;0,"Fernando",""),IF(COUNTIF('Stephanie'!$B$6:$B$300,$A49)&gt;0,"Stephanie",""),IF(COUNTIF('Fox'!$B$6:$B$300,$A49)&gt;0,"Fox",""),IF(COUNTIF('Bruna'!$B$6:$B$300,$A49)&gt;0,"Bruna",""),IF(COUNTIF('Stella'!$B$6:$B$300,$A49)&gt;0,"Stella",""),IF(COUNTIF('Igor'!$B$6:$B$300,$A49)&gt;0,"Igor","")))</f>
        <v/>
      </c>
      <c r="H49" s="13" t="n"/>
      <c r="I49" s="13" t="inlineStr">
        <is>
          <t>Não iniciado</t>
        </is>
      </c>
      <c r="J49" s="17">
        <f>IF(OR($A49="",(COUNTIF('Clarice'!$B$6:$B$300,$A49)+COUNTIF('Luisa'!$B$6:$B$300,$A49)+COUNTIF('Lui'!$B$6:$B$300,$A49)+COUNTIF('Thaís'!$B$6:$B$300,$A49)+COUNTIF('Daniel'!$B$6:$B$300,$A49)+COUNTIF('Fernando'!$B$6:$B$300,$A49)+COUNTIF('Stephanie'!$B$6:$B$300,$A49)+COUNTIF('Fox'!$B$6:$B$300,$A49)+COUNTIF('Bruna'!$B$6:$B$300,$A49)+COUNTIF('Stella'!$B$6:$B$300,$A49)+COUNTIF('Igor'!$B$6:$B$300,$A49))=0),"",(COUNTIFS('Clarice'!$B$6:$B$300,$A49,'Clarice'!$F$6:$F$300,"Concluído")+COUNTIFS('Luisa'!$B$6:$B$300,$A49,'Luisa'!$F$6:$F$300,"Concluído")+COUNTIFS('Lui'!$B$6:$B$300,$A49,'Lui'!$F$6:$F$300,"Concluído")+COUNTIFS('Thaís'!$B$6:$B$300,$A49,'Thaís'!$F$6:$F$300,"Concluído")+COUNTIFS('Daniel'!$B$6:$B$300,$A49,'Daniel'!$F$6:$F$300,"Concluído")+COUNTIFS('Fernando'!$B$6:$B$300,$A49,'Fernando'!$F$6:$F$300,"Concluído")+COUNTIFS('Stephanie'!$B$6:$B$300,$A49,'Stephanie'!$F$6:$F$300,"Concluído")+COUNTIFS('Fox'!$B$6:$B$300,$A49,'Fox'!$F$6:$F$300,"Concluído")+COUNTIFS('Bruna'!$B$6:$B$300,$A49,'Bruna'!$F$6:$F$300,"Concluído")+COUNTIFS('Stella'!$B$6:$B$300,$A49,'Stella'!$F$6:$F$300,"Concluído")+COUNTIFS('Igor'!$B$6:$B$300,$A49,'Igor'!$F$6:$F$300,"Concluído"))&amp;" / "&amp;(COUNTIF('Clarice'!$B$6:$B$300,$A49)+COUNTIF('Luisa'!$B$6:$B$300,$A49)+COUNTIF('Lui'!$B$6:$B$300,$A49)+COUNTIF('Thaís'!$B$6:$B$300,$A49)+COUNTIF('Daniel'!$B$6:$B$300,$A49)+COUNTIF('Fernando'!$B$6:$B$300,$A49)+COUNTIF('Stephanie'!$B$6:$B$300,$A49)+COUNTIF('Fox'!$B$6:$B$300,$A49)+COUNTIF('Bruna'!$B$6:$B$300,$A49)+COUNTIF('Stella'!$B$6:$B$300,$A49)+COUNTIF('Igor'!$B$6:$B$300,$A49)))</f>
        <v/>
      </c>
      <c r="K49" s="18" t="n">
        <v>46160</v>
      </c>
      <c r="L49" s="18" t="n">
        <v>46171</v>
      </c>
      <c r="M49" s="18" t="n">
        <v>46160</v>
      </c>
      <c r="N49" s="18" t="n">
        <v>46283</v>
      </c>
      <c r="O49" s="19" t="n"/>
      <c r="P49" s="20">
        <f>IF($A49="","",IF(M49&lt;&gt;"",M49,IF(K49&lt;&gt;"",K49,"")))</f>
        <v/>
      </c>
      <c r="Q49" s="20">
        <f>IF($A49="","",IF(N49&lt;&gt;"",N49,IF(L49&lt;&gt;"",L49,"")))</f>
        <v/>
      </c>
      <c r="R49" s="15" t="n"/>
      <c r="S49" s="16">
        <f t="array" ref="S49">IF($A49="","",_xlfn.TEXTJOIN(CHAR(10),TRUE,IF('Clarice'!$B$6:$B$300=$A49,"Clarice"&amp;IF('Clarice'!$E$6:$E$300="",""," : "&amp;'Clarice'!$E$6:$E$300)&amp;" ["&amp;'Clarice'!$F$6:$F$300&amp;"]",""),IF('Luisa'!$B$6:$B$300=$A49,"Luisa"&amp;IF('Luisa'!$E$6:$E$300="",""," : "&amp;'Luisa'!$E$6:$E$300)&amp;" ["&amp;'Luisa'!$F$6:$F$300&amp;"]",""),IF('Lui'!$B$6:$B$300=$A49,"Lui"&amp;IF('Lui'!$E$6:$E$300="",""," : "&amp;'Lui'!$E$6:$E$300)&amp;" ["&amp;'Lui'!$F$6:$F$300&amp;"]",""),IF('Thaís'!$B$6:$B$300=$A49,"Thaís"&amp;IF('Thaís'!$E$6:$E$300="",""," : "&amp;'Thaís'!$E$6:$E$300)&amp;" ["&amp;'Thaís'!$F$6:$F$300&amp;"]",""),IF('Daniel'!$B$6:$B$300=$A49,"Daniel"&amp;IF('Daniel'!$E$6:$E$300="",""," : "&amp;'Daniel'!$E$6:$E$300)&amp;" ["&amp;'Daniel'!$F$6:$F$300&amp;"]",""),IF('Fernando'!$B$6:$B$300=$A49,"Fernando"&amp;IF('Fernando'!$E$6:$E$300="",""," : "&amp;'Fernando'!$E$6:$E$300)&amp;" ["&amp;'Fernando'!$F$6:$F$300&amp;"]",""),IF('Stephanie'!$B$6:$B$300=$A49,"Stephanie"&amp;IF('Stephanie'!$E$6:$E$300="",""," : "&amp;'Stephanie'!$E$6:$E$300)&amp;" ["&amp;'Stephanie'!$F$6:$F$300&amp;"]",""),IF('Fox'!$B$6:$B$300=$A49,"Fox"&amp;IF('Fox'!$E$6:$E$300="",""," : "&amp;'Fox'!$E$6:$E$300)&amp;" ["&amp;'Fox'!$F$6:$F$300&amp;"]",""),IF('Bruna'!$B$6:$B$300=$A49,"Bruna"&amp;IF('Bruna'!$E$6:$E$300="",""," : "&amp;'Bruna'!$E$6:$E$300)&amp;" ["&amp;'Bruna'!$F$6:$F$300&amp;"]",""),IF('Stella'!$B$6:$B$300=$A49,"Stella"&amp;IF('Stella'!$E$6:$E$300="",""," : "&amp;'Stella'!$E$6:$E$300)&amp;" ["&amp;'Stella'!$F$6:$F$300&amp;"]",""),IF('Igor'!$B$6:$B$300=$A49,"Igor"&amp;IF('Igor'!$E$6:$E$300="",""," : "&amp;'Igor'!$E$6:$E$300)&amp;" ["&amp;'Igor'!$F$6:$F$300&amp;"]","")))</f>
        <v/>
      </c>
    </row>
    <row r="50" ht="40.5" customHeight="1">
      <c r="A50" s="13" t="inlineStr">
        <is>
          <t>EC-021</t>
        </is>
      </c>
      <c r="B50" s="14" t="inlineStr">
        <is>
          <t>Etapa 2: Construção das métricas | Atividade 7: Operacionalização das métricas | Atividade 8: Aplicação das métricas</t>
        </is>
      </c>
      <c r="C50" s="14" t="inlineStr">
        <is>
          <t>2. Aplicação da EC</t>
        </is>
      </c>
      <c r="D50" s="14" t="inlineStr">
        <is>
          <t>2.2 Boaventura e GR3</t>
        </is>
      </c>
      <c r="E50" s="15" t="inlineStr">
        <is>
          <t>Apresentar os resultados para a Petrobras (Boaventura e GR3)</t>
        </is>
      </c>
      <c r="F50" s="13" t="inlineStr">
        <is>
          <t>Clarice</t>
        </is>
      </c>
      <c r="G50" s="16">
        <f>IF($A50="","",_xlfn.TEXTJOIN("; ",TRUE,IF(COUNTIF('Clarice'!$B$6:$B$300,$A50)&gt;0,"Clarice",""),IF(COUNTIF('Luisa'!$B$6:$B$300,$A50)&gt;0,"Luisa",""),IF(COUNTIF('Lui'!$B$6:$B$300,$A50)&gt;0,"Lui",""),IF(COUNTIF('Thaís'!$B$6:$B$300,$A50)&gt;0,"Thaís",""),IF(COUNTIF('Daniel'!$B$6:$B$300,$A50)&gt;0,"Daniel",""),IF(COUNTIF('Fernando'!$B$6:$B$300,$A50)&gt;0,"Fernando",""),IF(COUNTIF('Stephanie'!$B$6:$B$300,$A50)&gt;0,"Stephanie",""),IF(COUNTIF('Fox'!$B$6:$B$300,$A50)&gt;0,"Fox",""),IF(COUNTIF('Bruna'!$B$6:$B$300,$A50)&gt;0,"Bruna",""),IF(COUNTIF('Stella'!$B$6:$B$300,$A50)&gt;0,"Stella",""),IF(COUNTIF('Igor'!$B$6:$B$300,$A50)&gt;0,"Igor","")))</f>
        <v/>
      </c>
      <c r="H50" s="13" t="n"/>
      <c r="I50" s="13" t="inlineStr">
        <is>
          <t>Não iniciado</t>
        </is>
      </c>
      <c r="J50" s="17">
        <f>IF(OR($A50="",(COUNTIF('Clarice'!$B$6:$B$300,$A50)+COUNTIF('Luisa'!$B$6:$B$300,$A50)+COUNTIF('Lui'!$B$6:$B$300,$A50)+COUNTIF('Thaís'!$B$6:$B$300,$A50)+COUNTIF('Daniel'!$B$6:$B$300,$A50)+COUNTIF('Fernando'!$B$6:$B$300,$A50)+COUNTIF('Stephanie'!$B$6:$B$300,$A50)+COUNTIF('Fox'!$B$6:$B$300,$A50)+COUNTIF('Bruna'!$B$6:$B$300,$A50)+COUNTIF('Stella'!$B$6:$B$300,$A50)+COUNTIF('Igor'!$B$6:$B$300,$A50))=0),"",(COUNTIFS('Clarice'!$B$6:$B$300,$A50,'Clarice'!$F$6:$F$300,"Concluído")+COUNTIFS('Luisa'!$B$6:$B$300,$A50,'Luisa'!$F$6:$F$300,"Concluído")+COUNTIFS('Lui'!$B$6:$B$300,$A50,'Lui'!$F$6:$F$300,"Concluído")+COUNTIFS('Thaís'!$B$6:$B$300,$A50,'Thaís'!$F$6:$F$300,"Concluído")+COUNTIFS('Daniel'!$B$6:$B$300,$A50,'Daniel'!$F$6:$F$300,"Concluído")+COUNTIFS('Fernando'!$B$6:$B$300,$A50,'Fernando'!$F$6:$F$300,"Concluído")+COUNTIFS('Stephanie'!$B$6:$B$300,$A50,'Stephanie'!$F$6:$F$300,"Concluído")+COUNTIFS('Fox'!$B$6:$B$300,$A50,'Fox'!$F$6:$F$300,"Concluído")+COUNTIFS('Bruna'!$B$6:$B$300,$A50,'Bruna'!$F$6:$F$300,"Concluído")+COUNTIFS('Stella'!$B$6:$B$300,$A50,'Stella'!$F$6:$F$300,"Concluído")+COUNTIFS('Igor'!$B$6:$B$300,$A50,'Igor'!$F$6:$F$300,"Concluído"))&amp;" / "&amp;(COUNTIF('Clarice'!$B$6:$B$300,$A50)+COUNTIF('Luisa'!$B$6:$B$300,$A50)+COUNTIF('Lui'!$B$6:$B$300,$A50)+COUNTIF('Thaís'!$B$6:$B$300,$A50)+COUNTIF('Daniel'!$B$6:$B$300,$A50)+COUNTIF('Fernando'!$B$6:$B$300,$A50)+COUNTIF('Stephanie'!$B$6:$B$300,$A50)+COUNTIF('Fox'!$B$6:$B$300,$A50)+COUNTIF('Bruna'!$B$6:$B$300,$A50)+COUNTIF('Stella'!$B$6:$B$300,$A50)+COUNTIF('Igor'!$B$6:$B$300,$A50)))</f>
        <v/>
      </c>
      <c r="K50" s="18" t="n">
        <v>46167</v>
      </c>
      <c r="L50" s="18" t="n">
        <v>46171</v>
      </c>
      <c r="M50" s="18" t="n">
        <v>46167</v>
      </c>
      <c r="N50" s="18" t="n">
        <v>46290</v>
      </c>
      <c r="O50" s="19" t="n"/>
      <c r="P50" s="20">
        <f>IF($A50="","",IF(M50&lt;&gt;"",M50,IF(K50&lt;&gt;"",K50,"")))</f>
        <v/>
      </c>
      <c r="Q50" s="20">
        <f>IF($A50="","",IF(N50&lt;&gt;"",N50,IF(L50&lt;&gt;"",L50,"")))</f>
        <v/>
      </c>
      <c r="R50" s="15" t="n"/>
      <c r="S50" s="16">
        <f t="array" ref="S50">IF($A50="","",_xlfn.TEXTJOIN(CHAR(10),TRUE,IF('Clarice'!$B$6:$B$300=$A50,"Clarice"&amp;IF('Clarice'!$E$6:$E$300="",""," : "&amp;'Clarice'!$E$6:$E$300)&amp;" ["&amp;'Clarice'!$F$6:$F$300&amp;"]",""),IF('Luisa'!$B$6:$B$300=$A50,"Luisa"&amp;IF('Luisa'!$E$6:$E$300="",""," : "&amp;'Luisa'!$E$6:$E$300)&amp;" ["&amp;'Luisa'!$F$6:$F$300&amp;"]",""),IF('Lui'!$B$6:$B$300=$A50,"Lui"&amp;IF('Lui'!$E$6:$E$300="",""," : "&amp;'Lui'!$E$6:$E$300)&amp;" ["&amp;'Lui'!$F$6:$F$300&amp;"]",""),IF('Thaís'!$B$6:$B$300=$A50,"Thaís"&amp;IF('Thaís'!$E$6:$E$300="",""," : "&amp;'Thaís'!$E$6:$E$300)&amp;" ["&amp;'Thaís'!$F$6:$F$300&amp;"]",""),IF('Daniel'!$B$6:$B$300=$A50,"Daniel"&amp;IF('Daniel'!$E$6:$E$300="",""," : "&amp;'Daniel'!$E$6:$E$300)&amp;" ["&amp;'Daniel'!$F$6:$F$300&amp;"]",""),IF('Fernando'!$B$6:$B$300=$A50,"Fernando"&amp;IF('Fernando'!$E$6:$E$300="",""," : "&amp;'Fernando'!$E$6:$E$300)&amp;" ["&amp;'Fernando'!$F$6:$F$300&amp;"]",""),IF('Stephanie'!$B$6:$B$300=$A50,"Stephanie"&amp;IF('Stephanie'!$E$6:$E$300="",""," : "&amp;'Stephanie'!$E$6:$E$300)&amp;" ["&amp;'Stephanie'!$F$6:$F$300&amp;"]",""),IF('Fox'!$B$6:$B$300=$A50,"Fox"&amp;IF('Fox'!$E$6:$E$300="",""," : "&amp;'Fox'!$E$6:$E$300)&amp;" ["&amp;'Fox'!$F$6:$F$300&amp;"]",""),IF('Bruna'!$B$6:$B$300=$A50,"Bruna"&amp;IF('Bruna'!$E$6:$E$300="",""," : "&amp;'Bruna'!$E$6:$E$300)&amp;" ["&amp;'Bruna'!$F$6:$F$300&amp;"]",""),IF('Stella'!$B$6:$B$300=$A50,"Stella"&amp;IF('Stella'!$E$6:$E$300="",""," : "&amp;'Stella'!$E$6:$E$300)&amp;" ["&amp;'Stella'!$F$6:$F$300&amp;"]",""),IF('Igor'!$B$6:$B$300=$A50,"Igor"&amp;IF('Igor'!$E$6:$E$300="",""," : "&amp;'Igor'!$E$6:$E$300)&amp;" ["&amp;'Igor'!$F$6:$F$300&amp;"]","")))</f>
        <v/>
      </c>
    </row>
    <row r="51" ht="28" customHeight="1">
      <c r="A51" s="13" t="inlineStr">
        <is>
          <t>EC-022</t>
        </is>
      </c>
      <c r="B51" s="14" t="inlineStr">
        <is>
          <t>Etapa 2: Construção das métricas | Atividade 7: Operacionalização das métricas | Atividade 8: Aplicação das métricas</t>
        </is>
      </c>
      <c r="C51" s="14" t="inlineStr">
        <is>
          <t>2. Aplicação da EC</t>
        </is>
      </c>
      <c r="D51" s="14" t="inlineStr">
        <is>
          <t>2.2 Boaventura e GR3</t>
        </is>
      </c>
      <c r="E51" s="15" t="inlineStr">
        <is>
          <t>Fazer os ajustes necessários (Boaventura e GR3)</t>
        </is>
      </c>
      <c r="F51" s="13" t="inlineStr">
        <is>
          <t>Clarice</t>
        </is>
      </c>
      <c r="G51" s="16">
        <f>IF($A51="","",_xlfn.TEXTJOIN("; ",TRUE,IF(COUNTIF('Clarice'!$B$6:$B$300,$A51)&gt;0,"Clarice",""),IF(COUNTIF('Luisa'!$B$6:$B$300,$A51)&gt;0,"Luisa",""),IF(COUNTIF('Lui'!$B$6:$B$300,$A51)&gt;0,"Lui",""),IF(COUNTIF('Thaís'!$B$6:$B$300,$A51)&gt;0,"Thaís",""),IF(COUNTIF('Daniel'!$B$6:$B$300,$A51)&gt;0,"Daniel",""),IF(COUNTIF('Fernando'!$B$6:$B$300,$A51)&gt;0,"Fernando",""),IF(COUNTIF('Stephanie'!$B$6:$B$300,$A51)&gt;0,"Stephanie",""),IF(COUNTIF('Fox'!$B$6:$B$300,$A51)&gt;0,"Fox",""),IF(COUNTIF('Bruna'!$B$6:$B$300,$A51)&gt;0,"Bruna",""),IF(COUNTIF('Stella'!$B$6:$B$300,$A51)&gt;0,"Stella",""),IF(COUNTIF('Igor'!$B$6:$B$300,$A51)&gt;0,"Igor","")))</f>
        <v/>
      </c>
      <c r="H51" s="13" t="n"/>
      <c r="I51" s="13" t="inlineStr">
        <is>
          <t>Não iniciado</t>
        </is>
      </c>
      <c r="J51" s="17">
        <f>IF(OR($A51="",(COUNTIF('Clarice'!$B$6:$B$300,$A51)+COUNTIF('Luisa'!$B$6:$B$300,$A51)+COUNTIF('Lui'!$B$6:$B$300,$A51)+COUNTIF('Thaís'!$B$6:$B$300,$A51)+COUNTIF('Daniel'!$B$6:$B$300,$A51)+COUNTIF('Fernando'!$B$6:$B$300,$A51)+COUNTIF('Stephanie'!$B$6:$B$300,$A51)+COUNTIF('Fox'!$B$6:$B$300,$A51)+COUNTIF('Bruna'!$B$6:$B$300,$A51)+COUNTIF('Stella'!$B$6:$B$300,$A51)+COUNTIF('Igor'!$B$6:$B$300,$A51))=0),"",(COUNTIFS('Clarice'!$B$6:$B$300,$A51,'Clarice'!$F$6:$F$300,"Concluído")+COUNTIFS('Luisa'!$B$6:$B$300,$A51,'Luisa'!$F$6:$F$300,"Concluído")+COUNTIFS('Lui'!$B$6:$B$300,$A51,'Lui'!$F$6:$F$300,"Concluído")+COUNTIFS('Thaís'!$B$6:$B$300,$A51,'Thaís'!$F$6:$F$300,"Concluído")+COUNTIFS('Daniel'!$B$6:$B$300,$A51,'Daniel'!$F$6:$F$300,"Concluído")+COUNTIFS('Fernando'!$B$6:$B$300,$A51,'Fernando'!$F$6:$F$300,"Concluído")+COUNTIFS('Stephanie'!$B$6:$B$300,$A51,'Stephanie'!$F$6:$F$300,"Concluído")+COUNTIFS('Fox'!$B$6:$B$300,$A51,'Fox'!$F$6:$F$300,"Concluído")+COUNTIFS('Bruna'!$B$6:$B$300,$A51,'Bruna'!$F$6:$F$300,"Concluído")+COUNTIFS('Stella'!$B$6:$B$300,$A51,'Stella'!$F$6:$F$300,"Concluído")+COUNTIFS('Igor'!$B$6:$B$300,$A51,'Igor'!$F$6:$F$300,"Concluído"))&amp;" / "&amp;(COUNTIF('Clarice'!$B$6:$B$300,$A51)+COUNTIF('Luisa'!$B$6:$B$300,$A51)+COUNTIF('Lui'!$B$6:$B$300,$A51)+COUNTIF('Thaís'!$B$6:$B$300,$A51)+COUNTIF('Daniel'!$B$6:$B$300,$A51)+COUNTIF('Fernando'!$B$6:$B$300,$A51)+COUNTIF('Stephanie'!$B$6:$B$300,$A51)+COUNTIF('Fox'!$B$6:$B$300,$A51)+COUNTIF('Bruna'!$B$6:$B$300,$A51)+COUNTIF('Stella'!$B$6:$B$300,$A51)+COUNTIF('Igor'!$B$6:$B$300,$A51)))</f>
        <v/>
      </c>
      <c r="K51" s="18" t="n">
        <v>46174</v>
      </c>
      <c r="L51" s="18" t="n">
        <v>46178</v>
      </c>
      <c r="M51" s="18" t="n">
        <v>46174</v>
      </c>
      <c r="N51" s="18" t="n">
        <v>46325</v>
      </c>
      <c r="O51" s="19" t="n"/>
      <c r="P51" s="20">
        <f>IF($A51="","",IF(M51&lt;&gt;"",M51,IF(K51&lt;&gt;"",K51,"")))</f>
        <v/>
      </c>
      <c r="Q51" s="20">
        <f>IF($A51="","",IF(N51&lt;&gt;"",N51,IF(L51&lt;&gt;"",L51,"")))</f>
        <v/>
      </c>
      <c r="R51" s="15" t="n"/>
      <c r="S51" s="16">
        <f t="array" ref="S51">IF($A51="","",_xlfn.TEXTJOIN(CHAR(10),TRUE,IF('Clarice'!$B$6:$B$300=$A51,"Clarice"&amp;IF('Clarice'!$E$6:$E$300="",""," : "&amp;'Clarice'!$E$6:$E$300)&amp;" ["&amp;'Clarice'!$F$6:$F$300&amp;"]",""),IF('Luisa'!$B$6:$B$300=$A51,"Luisa"&amp;IF('Luisa'!$E$6:$E$300="",""," : "&amp;'Luisa'!$E$6:$E$300)&amp;" ["&amp;'Luisa'!$F$6:$F$300&amp;"]",""),IF('Lui'!$B$6:$B$300=$A51,"Lui"&amp;IF('Lui'!$E$6:$E$300="",""," : "&amp;'Lui'!$E$6:$E$300)&amp;" ["&amp;'Lui'!$F$6:$F$300&amp;"]",""),IF('Thaís'!$B$6:$B$300=$A51,"Thaís"&amp;IF('Thaís'!$E$6:$E$300="",""," : "&amp;'Thaís'!$E$6:$E$300)&amp;" ["&amp;'Thaís'!$F$6:$F$300&amp;"]",""),IF('Daniel'!$B$6:$B$300=$A51,"Daniel"&amp;IF('Daniel'!$E$6:$E$300="",""," : "&amp;'Daniel'!$E$6:$E$300)&amp;" ["&amp;'Daniel'!$F$6:$F$300&amp;"]",""),IF('Fernando'!$B$6:$B$300=$A51,"Fernando"&amp;IF('Fernando'!$E$6:$E$300="",""," : "&amp;'Fernando'!$E$6:$E$300)&amp;" ["&amp;'Fernando'!$F$6:$F$300&amp;"]",""),IF('Stephanie'!$B$6:$B$300=$A51,"Stephanie"&amp;IF('Stephanie'!$E$6:$E$300="",""," : "&amp;'Stephanie'!$E$6:$E$300)&amp;" ["&amp;'Stephanie'!$F$6:$F$300&amp;"]",""),IF('Fox'!$B$6:$B$300=$A51,"Fox"&amp;IF('Fox'!$E$6:$E$300="",""," : "&amp;'Fox'!$E$6:$E$300)&amp;" ["&amp;'Fox'!$F$6:$F$300&amp;"]",""),IF('Bruna'!$B$6:$B$300=$A51,"Bruna"&amp;IF('Bruna'!$E$6:$E$300="",""," : "&amp;'Bruna'!$E$6:$E$300)&amp;" ["&amp;'Bruna'!$F$6:$F$300&amp;"]",""),IF('Stella'!$B$6:$B$300=$A51,"Stella"&amp;IF('Stella'!$E$6:$E$300="",""," : "&amp;'Stella'!$E$6:$E$300)&amp;" ["&amp;'Stella'!$F$6:$F$300&amp;"]",""),IF('Igor'!$B$6:$B$300=$A51,"Igor"&amp;IF('Igor'!$E$6:$E$300="",""," : "&amp;'Igor'!$E$6:$E$300)&amp;" ["&amp;'Igor'!$F$6:$F$300&amp;"]","")))</f>
        <v/>
      </c>
    </row>
    <row r="52">
      <c r="A52" s="21" t="n"/>
      <c r="B52" s="21" t="inlineStr">
        <is>
          <t>Etapa 2: Construção das métricas | Atividade 7: Operacionalização das métricas | Atividade 8: Aplicação das métricas</t>
        </is>
      </c>
      <c r="C52" s="21" t="inlineStr">
        <is>
          <t>2. Aplicação da EC</t>
        </is>
      </c>
      <c r="D52" s="21" t="inlineStr">
        <is>
          <t>2.3 GR3</t>
        </is>
      </c>
      <c r="E52" s="21" t="inlineStr">
        <is>
          <t>2.3 GR3</t>
        </is>
      </c>
      <c r="F52" s="21" t="inlineStr">
        <is>
          <t>Clarice</t>
        </is>
      </c>
      <c r="G52" s="21">
        <f>IF($A52="","",_xlfn.TEXTJOIN("; ",TRUE,IF(COUNTIF('Clarice'!$B$6:$B$300,$A52)&gt;0,"Clarice",""),IF(COUNTIF('Luisa'!$B$6:$B$300,$A52)&gt;0,"Luisa",""),IF(COUNTIF('Lui'!$B$6:$B$300,$A52)&gt;0,"Lui",""),IF(COUNTIF('Thaís'!$B$6:$B$300,$A52)&gt;0,"Thaís",""),IF(COUNTIF('Daniel'!$B$6:$B$300,$A52)&gt;0,"Daniel",""),IF(COUNTIF('Fernando'!$B$6:$B$300,$A52)&gt;0,"Fernando",""),IF(COUNTIF('Stephanie'!$B$6:$B$300,$A52)&gt;0,"Stephanie",""),IF(COUNTIF('Fox'!$B$6:$B$300,$A52)&gt;0,"Fox",""),IF(COUNTIF('Bruna'!$B$6:$B$300,$A52)&gt;0,"Bruna",""),IF(COUNTIF('Stella'!$B$6:$B$300,$A52)&gt;0,"Stella",""),IF(COUNTIF('Igor'!$B$6:$B$300,$A52)&gt;0,"Igor","")))</f>
        <v/>
      </c>
      <c r="H52" s="21" t="n"/>
      <c r="I52" s="21" t="n"/>
      <c r="J52" s="21">
        <f>IF(OR($A52="",(COUNTIF('Clarice'!$B$6:$B$300,$A52)+COUNTIF('Luisa'!$B$6:$B$300,$A52)+COUNTIF('Lui'!$B$6:$B$300,$A52)+COUNTIF('Thaís'!$B$6:$B$300,$A52)+COUNTIF('Daniel'!$B$6:$B$300,$A52)+COUNTIF('Fernando'!$B$6:$B$300,$A52)+COUNTIF('Stephanie'!$B$6:$B$300,$A52)+COUNTIF('Fox'!$B$6:$B$300,$A52)+COUNTIF('Bruna'!$B$6:$B$300,$A52)+COUNTIF('Stella'!$B$6:$B$300,$A52)+COUNTIF('Igor'!$B$6:$B$300,$A52))=0),"",(COUNTIFS('Clarice'!$B$6:$B$300,$A52,'Clarice'!$F$6:$F$300,"Concluído")+COUNTIFS('Luisa'!$B$6:$B$300,$A52,'Luisa'!$F$6:$F$300,"Concluído")+COUNTIFS('Lui'!$B$6:$B$300,$A52,'Lui'!$F$6:$F$300,"Concluído")+COUNTIFS('Thaís'!$B$6:$B$300,$A52,'Thaís'!$F$6:$F$300,"Concluído")+COUNTIFS('Daniel'!$B$6:$B$300,$A52,'Daniel'!$F$6:$F$300,"Concluído")+COUNTIFS('Fernando'!$B$6:$B$300,$A52,'Fernando'!$F$6:$F$300,"Concluído")+COUNTIFS('Stephanie'!$B$6:$B$300,$A52,'Stephanie'!$F$6:$F$300,"Concluído")+COUNTIFS('Fox'!$B$6:$B$300,$A52,'Fox'!$F$6:$F$300,"Concluído")+COUNTIFS('Bruna'!$B$6:$B$300,$A52,'Bruna'!$F$6:$F$300,"Concluído")+COUNTIFS('Stella'!$B$6:$B$300,$A52,'Stella'!$F$6:$F$300,"Concluído")+COUNTIFS('Igor'!$B$6:$B$300,$A52,'Igor'!$F$6:$F$300,"Concluído"))&amp;" / "&amp;(COUNTIF('Clarice'!$B$6:$B$300,$A52)+COUNTIF('Luisa'!$B$6:$B$300,$A52)+COUNTIF('Lui'!$B$6:$B$300,$A52)+COUNTIF('Thaís'!$B$6:$B$300,$A52)+COUNTIF('Daniel'!$B$6:$B$300,$A52)+COUNTIF('Fernando'!$B$6:$B$300,$A52)+COUNTIF('Stephanie'!$B$6:$B$300,$A52)+COUNTIF('Fox'!$B$6:$B$300,$A52)+COUNTIF('Bruna'!$B$6:$B$300,$A52)+COUNTIF('Stella'!$B$6:$B$300,$A52)+COUNTIF('Igor'!$B$6:$B$300,$A52)))</f>
        <v/>
      </c>
      <c r="K52" s="21" t="n"/>
      <c r="L52" s="21" t="n"/>
      <c r="M52" s="21" t="n"/>
      <c r="N52" s="21" t="n"/>
      <c r="O52" s="21" t="n"/>
      <c r="P52" s="22">
        <f>IF($A52="","",IF(M52&lt;&gt;"",M52,IF(K52&lt;&gt;"",K52,"")))</f>
        <v/>
      </c>
      <c r="Q52" s="22">
        <f>IF($A52="","",IF(N52&lt;&gt;"",N52,IF(L52&lt;&gt;"",L52,"")))</f>
        <v/>
      </c>
      <c r="R52" s="21" t="n"/>
      <c r="S52" s="21">
        <f t="array" ref="S52">IF($A52="","",_xlfn.TEXTJOIN(CHAR(10),TRUE,IF('Clarice'!$B$6:$B$300=$A52,"Clarice"&amp;IF('Clarice'!$E$6:$E$300="",""," : "&amp;'Clarice'!$E$6:$E$300)&amp;" ["&amp;'Clarice'!$F$6:$F$300&amp;"]",""),IF('Luisa'!$B$6:$B$300=$A52,"Luisa"&amp;IF('Luisa'!$E$6:$E$300="",""," : "&amp;'Luisa'!$E$6:$E$300)&amp;" ["&amp;'Luisa'!$F$6:$F$300&amp;"]",""),IF('Lui'!$B$6:$B$300=$A52,"Lui"&amp;IF('Lui'!$E$6:$E$300="",""," : "&amp;'Lui'!$E$6:$E$300)&amp;" ["&amp;'Lui'!$F$6:$F$300&amp;"]",""),IF('Thaís'!$B$6:$B$300=$A52,"Thaís"&amp;IF('Thaís'!$E$6:$E$300="",""," : "&amp;'Thaís'!$E$6:$E$300)&amp;" ["&amp;'Thaís'!$F$6:$F$300&amp;"]",""),IF('Daniel'!$B$6:$B$300=$A52,"Daniel"&amp;IF('Daniel'!$E$6:$E$300="",""," : "&amp;'Daniel'!$E$6:$E$300)&amp;" ["&amp;'Daniel'!$F$6:$F$300&amp;"]",""),IF('Fernando'!$B$6:$B$300=$A52,"Fernando"&amp;IF('Fernando'!$E$6:$E$300="",""," : "&amp;'Fernando'!$E$6:$E$300)&amp;" ["&amp;'Fernando'!$F$6:$F$300&amp;"]",""),IF('Stephanie'!$B$6:$B$300=$A52,"Stephanie"&amp;IF('Stephanie'!$E$6:$E$300="",""," : "&amp;'Stephanie'!$E$6:$E$300)&amp;" ["&amp;'Stephanie'!$F$6:$F$300&amp;"]",""),IF('Fox'!$B$6:$B$300=$A52,"Fox"&amp;IF('Fox'!$E$6:$E$300="",""," : "&amp;'Fox'!$E$6:$E$300)&amp;" ["&amp;'Fox'!$F$6:$F$300&amp;"]",""),IF('Bruna'!$B$6:$B$300=$A52,"Bruna"&amp;IF('Bruna'!$E$6:$E$300="",""," : "&amp;'Bruna'!$E$6:$E$300)&amp;" ["&amp;'Bruna'!$F$6:$F$300&amp;"]",""),IF('Stella'!$B$6:$B$300=$A52,"Stella"&amp;IF('Stella'!$E$6:$E$300="",""," : "&amp;'Stella'!$E$6:$E$300)&amp;" ["&amp;'Stella'!$F$6:$F$300&amp;"]",""),IF('Igor'!$B$6:$B$300=$A52,"Igor"&amp;IF('Igor'!$E$6:$E$300="",""," : "&amp;'Igor'!$E$6:$E$300)&amp;" ["&amp;'Igor'!$F$6:$F$300&amp;"]","")))</f>
        <v/>
      </c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</row>
    <row r="53" ht="40.5" customHeight="1">
      <c r="A53" s="13" t="inlineStr">
        <is>
          <t>EC-023</t>
        </is>
      </c>
      <c r="B53" s="14" t="inlineStr">
        <is>
          <t>Etapa 2: Construção das métricas | Atividade 7: Operacionalização das métricas | Atividade 8: Aplicação das métricas</t>
        </is>
      </c>
      <c r="C53" s="14" t="inlineStr">
        <is>
          <t>2. Aplicação da EC</t>
        </is>
      </c>
      <c r="D53" s="14" t="inlineStr">
        <is>
          <t>2.3 GR3</t>
        </is>
      </c>
      <c r="E53" s="15" t="inlineStr">
        <is>
          <t>Definir as espécies internamente (GR3)</t>
        </is>
      </c>
      <c r="F53" s="13" t="inlineStr">
        <is>
          <t>Clarice</t>
        </is>
      </c>
      <c r="G53" s="16">
        <f>IF($A53="","",_xlfn.TEXTJOIN("; ",TRUE,IF(COUNTIF('Clarice'!$B$6:$B$300,$A53)&gt;0,"Clarice",""),IF(COUNTIF('Luisa'!$B$6:$B$300,$A53)&gt;0,"Luisa",""),IF(COUNTIF('Lui'!$B$6:$B$300,$A53)&gt;0,"Lui",""),IF(COUNTIF('Thaís'!$B$6:$B$300,$A53)&gt;0,"Thaís",""),IF(COUNTIF('Daniel'!$B$6:$B$300,$A53)&gt;0,"Daniel",""),IF(COUNTIF('Fernando'!$B$6:$B$300,$A53)&gt;0,"Fernando",""),IF(COUNTIF('Stephanie'!$B$6:$B$300,$A53)&gt;0,"Stephanie",""),IF(COUNTIF('Fox'!$B$6:$B$300,$A53)&gt;0,"Fox",""),IF(COUNTIF('Bruna'!$B$6:$B$300,$A53)&gt;0,"Bruna",""),IF(COUNTIF('Stella'!$B$6:$B$300,$A53)&gt;0,"Stella",""),IF(COUNTIF('Igor'!$B$6:$B$300,$A53)&gt;0,"Igor","")))</f>
        <v/>
      </c>
      <c r="H53" s="13" t="n"/>
      <c r="I53" s="13" t="inlineStr">
        <is>
          <t>Concluído</t>
        </is>
      </c>
      <c r="J53" s="17">
        <f>IF(OR($A53="",(COUNTIF('Clarice'!$B$6:$B$300,$A53)+COUNTIF('Luisa'!$B$6:$B$300,$A53)+COUNTIF('Lui'!$B$6:$B$300,$A53)+COUNTIF('Thaís'!$B$6:$B$300,$A53)+COUNTIF('Daniel'!$B$6:$B$300,$A53)+COUNTIF('Fernando'!$B$6:$B$300,$A53)+COUNTIF('Stephanie'!$B$6:$B$300,$A53)+COUNTIF('Fox'!$B$6:$B$300,$A53)+COUNTIF('Bruna'!$B$6:$B$300,$A53)+COUNTIF('Stella'!$B$6:$B$300,$A53)+COUNTIF('Igor'!$B$6:$B$300,$A53))=0),"",(COUNTIFS('Clarice'!$B$6:$B$300,$A53,'Clarice'!$F$6:$F$300,"Concluído")+COUNTIFS('Luisa'!$B$6:$B$300,$A53,'Luisa'!$F$6:$F$300,"Concluído")+COUNTIFS('Lui'!$B$6:$B$300,$A53,'Lui'!$F$6:$F$300,"Concluído")+COUNTIFS('Thaís'!$B$6:$B$300,$A53,'Thaís'!$F$6:$F$300,"Concluído")+COUNTIFS('Daniel'!$B$6:$B$300,$A53,'Daniel'!$F$6:$F$300,"Concluído")+COUNTIFS('Fernando'!$B$6:$B$300,$A53,'Fernando'!$F$6:$F$300,"Concluído")+COUNTIFS('Stephanie'!$B$6:$B$300,$A53,'Stephanie'!$F$6:$F$300,"Concluído")+COUNTIFS('Fox'!$B$6:$B$300,$A53,'Fox'!$F$6:$F$300,"Concluído")+COUNTIFS('Bruna'!$B$6:$B$300,$A53,'Bruna'!$F$6:$F$300,"Concluído")+COUNTIFS('Stella'!$B$6:$B$300,$A53,'Stella'!$F$6:$F$300,"Concluído")+COUNTIFS('Igor'!$B$6:$B$300,$A53,'Igor'!$F$6:$F$300,"Concluído"))&amp;" / "&amp;(COUNTIF('Clarice'!$B$6:$B$300,$A53)+COUNTIF('Luisa'!$B$6:$B$300,$A53)+COUNTIF('Lui'!$B$6:$B$300,$A53)+COUNTIF('Thaís'!$B$6:$B$300,$A53)+COUNTIF('Daniel'!$B$6:$B$300,$A53)+COUNTIF('Fernando'!$B$6:$B$300,$A53)+COUNTIF('Stephanie'!$B$6:$B$300,$A53)+COUNTIF('Fox'!$B$6:$B$300,$A53)+COUNTIF('Bruna'!$B$6:$B$300,$A53)+COUNTIF('Stella'!$B$6:$B$300,$A53)+COUNTIF('Igor'!$B$6:$B$300,$A53)))</f>
        <v/>
      </c>
      <c r="K53" s="19" t="n"/>
      <c r="L53" s="19" t="n"/>
      <c r="M53" s="19" t="n"/>
      <c r="N53" s="19" t="n"/>
      <c r="O53" s="19" t="n"/>
      <c r="P53" s="20">
        <f>IF($A53="","",IF(M53&lt;&gt;"",M53,IF(K53&lt;&gt;"",K53,"")))</f>
        <v/>
      </c>
      <c r="Q53" s="20">
        <f>IF($A53="","",IF(N53&lt;&gt;"",N53,IF(L53&lt;&gt;"",L53,"")))</f>
        <v/>
      </c>
      <c r="R53" s="15" t="n"/>
      <c r="S53" s="16">
        <f t="array" ref="S53">IF($A53="","",_xlfn.TEXTJOIN(CHAR(10),TRUE,IF('Clarice'!$B$6:$B$300=$A53,"Clarice"&amp;IF('Clarice'!$E$6:$E$300="",""," : "&amp;'Clarice'!$E$6:$E$300)&amp;" ["&amp;'Clarice'!$F$6:$F$300&amp;"]",""),IF('Luisa'!$B$6:$B$300=$A53,"Luisa"&amp;IF('Luisa'!$E$6:$E$300="",""," : "&amp;'Luisa'!$E$6:$E$300)&amp;" ["&amp;'Luisa'!$F$6:$F$300&amp;"]",""),IF('Lui'!$B$6:$B$300=$A53,"Lui"&amp;IF('Lui'!$E$6:$E$300="",""," : "&amp;'Lui'!$E$6:$E$300)&amp;" ["&amp;'Lui'!$F$6:$F$300&amp;"]",""),IF('Thaís'!$B$6:$B$300=$A53,"Thaís"&amp;IF('Thaís'!$E$6:$E$300="",""," : "&amp;'Thaís'!$E$6:$E$300)&amp;" ["&amp;'Thaís'!$F$6:$F$300&amp;"]",""),IF('Daniel'!$B$6:$B$300=$A53,"Daniel"&amp;IF('Daniel'!$E$6:$E$300="",""," : "&amp;'Daniel'!$E$6:$E$300)&amp;" ["&amp;'Daniel'!$F$6:$F$300&amp;"]",""),IF('Fernando'!$B$6:$B$300=$A53,"Fernando"&amp;IF('Fernando'!$E$6:$E$300="",""," : "&amp;'Fernando'!$E$6:$E$300)&amp;" ["&amp;'Fernando'!$F$6:$F$300&amp;"]",""),IF('Stephanie'!$B$6:$B$300=$A53,"Stephanie"&amp;IF('Stephanie'!$E$6:$E$300="",""," : "&amp;'Stephanie'!$E$6:$E$300)&amp;" ["&amp;'Stephanie'!$F$6:$F$300&amp;"]",""),IF('Fox'!$B$6:$B$300=$A53,"Fox"&amp;IF('Fox'!$E$6:$E$300="",""," : "&amp;'Fox'!$E$6:$E$300)&amp;" ["&amp;'Fox'!$F$6:$F$300&amp;"]",""),IF('Bruna'!$B$6:$B$300=$A53,"Bruna"&amp;IF('Bruna'!$E$6:$E$300="",""," : "&amp;'Bruna'!$E$6:$E$300)&amp;" ["&amp;'Bruna'!$F$6:$F$300&amp;"]",""),IF('Stella'!$B$6:$B$300=$A53,"Stella"&amp;IF('Stella'!$E$6:$E$300="",""," : "&amp;'Stella'!$E$6:$E$300)&amp;" ["&amp;'Stella'!$F$6:$F$300&amp;"]",""),IF('Igor'!$B$6:$B$300=$A53,"Igor"&amp;IF('Igor'!$E$6:$E$300="",""," : "&amp;'Igor'!$E$6:$E$300)&amp;" ["&amp;'Igor'!$F$6:$F$300&amp;"]","")))</f>
        <v/>
      </c>
    </row>
    <row r="54" ht="15.5" customHeight="1">
      <c r="A54" s="13" t="inlineStr">
        <is>
          <t>EC-024</t>
        </is>
      </c>
      <c r="B54" s="14" t="inlineStr">
        <is>
          <t>Etapa 2: Construção das métricas | Atividade 7: Operacionalização das métricas | Atividade 8: Aplicação das métricas</t>
        </is>
      </c>
      <c r="C54" s="14" t="inlineStr">
        <is>
          <t>2. Aplicação da EC</t>
        </is>
      </c>
      <c r="D54" s="14" t="inlineStr">
        <is>
          <t>2.3 GR3</t>
        </is>
      </c>
      <c r="E54" s="15" t="inlineStr">
        <is>
          <t>Validar as espécies com a Petrobras (GR3)</t>
        </is>
      </c>
      <c r="F54" s="13" t="inlineStr">
        <is>
          <t>Clarice</t>
        </is>
      </c>
      <c r="G54" s="16">
        <f>IF($A54="","",_xlfn.TEXTJOIN("; ",TRUE,IF(COUNTIF('Clarice'!$B$6:$B$300,$A54)&gt;0,"Clarice",""),IF(COUNTIF('Luisa'!$B$6:$B$300,$A54)&gt;0,"Luisa",""),IF(COUNTIF('Lui'!$B$6:$B$300,$A54)&gt;0,"Lui",""),IF(COUNTIF('Thaís'!$B$6:$B$300,$A54)&gt;0,"Thaís",""),IF(COUNTIF('Daniel'!$B$6:$B$300,$A54)&gt;0,"Daniel",""),IF(COUNTIF('Fernando'!$B$6:$B$300,$A54)&gt;0,"Fernando",""),IF(COUNTIF('Stephanie'!$B$6:$B$300,$A54)&gt;0,"Stephanie",""),IF(COUNTIF('Fox'!$B$6:$B$300,$A54)&gt;0,"Fox",""),IF(COUNTIF('Bruna'!$B$6:$B$300,$A54)&gt;0,"Bruna",""),IF(COUNTIF('Stella'!$B$6:$B$300,$A54)&gt;0,"Stella",""),IF(COUNTIF('Igor'!$B$6:$B$300,$A54)&gt;0,"Igor","")))</f>
        <v/>
      </c>
      <c r="H54" s="13" t="n"/>
      <c r="I54" s="13" t="inlineStr">
        <is>
          <t>Em andamento</t>
        </is>
      </c>
      <c r="J54" s="17">
        <f>IF(OR($A54="",(COUNTIF('Clarice'!$B$6:$B$300,$A54)+COUNTIF('Luisa'!$B$6:$B$300,$A54)+COUNTIF('Lui'!$B$6:$B$300,$A54)+COUNTIF('Thaís'!$B$6:$B$300,$A54)+COUNTIF('Daniel'!$B$6:$B$300,$A54)+COUNTIF('Fernando'!$B$6:$B$300,$A54)+COUNTIF('Stephanie'!$B$6:$B$300,$A54)+COUNTIF('Fox'!$B$6:$B$300,$A54)+COUNTIF('Bruna'!$B$6:$B$300,$A54)+COUNTIF('Stella'!$B$6:$B$300,$A54)+COUNTIF('Igor'!$B$6:$B$300,$A54))=0),"",(COUNTIFS('Clarice'!$B$6:$B$300,$A54,'Clarice'!$F$6:$F$300,"Concluído")+COUNTIFS('Luisa'!$B$6:$B$300,$A54,'Luisa'!$F$6:$F$300,"Concluído")+COUNTIFS('Lui'!$B$6:$B$300,$A54,'Lui'!$F$6:$F$300,"Concluído")+COUNTIFS('Thaís'!$B$6:$B$300,$A54,'Thaís'!$F$6:$F$300,"Concluído")+COUNTIFS('Daniel'!$B$6:$B$300,$A54,'Daniel'!$F$6:$F$300,"Concluído")+COUNTIFS('Fernando'!$B$6:$B$300,$A54,'Fernando'!$F$6:$F$300,"Concluído")+COUNTIFS('Stephanie'!$B$6:$B$300,$A54,'Stephanie'!$F$6:$F$300,"Concluído")+COUNTIFS('Fox'!$B$6:$B$300,$A54,'Fox'!$F$6:$F$300,"Concluído")+COUNTIFS('Bruna'!$B$6:$B$300,$A54,'Bruna'!$F$6:$F$300,"Concluído")+COUNTIFS('Stella'!$B$6:$B$300,$A54,'Stella'!$F$6:$F$300,"Concluído")+COUNTIFS('Igor'!$B$6:$B$300,$A54,'Igor'!$F$6:$F$300,"Concluído"))&amp;" / "&amp;(COUNTIF('Clarice'!$B$6:$B$300,$A54)+COUNTIF('Luisa'!$B$6:$B$300,$A54)+COUNTIF('Lui'!$B$6:$B$300,$A54)+COUNTIF('Thaís'!$B$6:$B$300,$A54)+COUNTIF('Daniel'!$B$6:$B$300,$A54)+COUNTIF('Fernando'!$B$6:$B$300,$A54)+COUNTIF('Stephanie'!$B$6:$B$300,$A54)+COUNTIF('Fox'!$B$6:$B$300,$A54)+COUNTIF('Bruna'!$B$6:$B$300,$A54)+COUNTIF('Stella'!$B$6:$B$300,$A54)+COUNTIF('Igor'!$B$6:$B$300,$A54)))</f>
        <v/>
      </c>
      <c r="K54" s="18" t="n">
        <v>46104</v>
      </c>
      <c r="L54" s="18" t="n">
        <v>46112</v>
      </c>
      <c r="M54" s="18" t="n">
        <v>46104</v>
      </c>
      <c r="N54" s="18" t="n">
        <v>46192</v>
      </c>
      <c r="O54" s="19" t="n"/>
      <c r="P54" s="20">
        <f>IF($A54="","",IF(M54&lt;&gt;"",M54,IF(K54&lt;&gt;"",K54,"")))</f>
        <v/>
      </c>
      <c r="Q54" s="20">
        <f>IF($A54="","",IF(N54&lt;&gt;"",N54,IF(L54&lt;&gt;"",L54,"")))</f>
        <v/>
      </c>
      <c r="R54" s="15" t="inlineStr">
        <is>
          <t>Envio à Petrobras no dia 15/06</t>
        </is>
      </c>
      <c r="S54" s="16">
        <f t="array" ref="S54">IF($A54="","",_xlfn.TEXTJOIN(CHAR(10),TRUE,IF('Clarice'!$B$6:$B$300=$A54,"Clarice"&amp;IF('Clarice'!$E$6:$E$300="",""," : "&amp;'Clarice'!$E$6:$E$300)&amp;" ["&amp;'Clarice'!$F$6:$F$300&amp;"]",""),IF('Luisa'!$B$6:$B$300=$A54,"Luisa"&amp;IF('Luisa'!$E$6:$E$300="",""," : "&amp;'Luisa'!$E$6:$E$300)&amp;" ["&amp;'Luisa'!$F$6:$F$300&amp;"]",""),IF('Lui'!$B$6:$B$300=$A54,"Lui"&amp;IF('Lui'!$E$6:$E$300="",""," : "&amp;'Lui'!$E$6:$E$300)&amp;" ["&amp;'Lui'!$F$6:$F$300&amp;"]",""),IF('Thaís'!$B$6:$B$300=$A54,"Thaís"&amp;IF('Thaís'!$E$6:$E$300="",""," : "&amp;'Thaís'!$E$6:$E$300)&amp;" ["&amp;'Thaís'!$F$6:$F$300&amp;"]",""),IF('Daniel'!$B$6:$B$300=$A54,"Daniel"&amp;IF('Daniel'!$E$6:$E$300="",""," : "&amp;'Daniel'!$E$6:$E$300)&amp;" ["&amp;'Daniel'!$F$6:$F$300&amp;"]",""),IF('Fernando'!$B$6:$B$300=$A54,"Fernando"&amp;IF('Fernando'!$E$6:$E$300="",""," : "&amp;'Fernando'!$E$6:$E$300)&amp;" ["&amp;'Fernando'!$F$6:$F$300&amp;"]",""),IF('Stephanie'!$B$6:$B$300=$A54,"Stephanie"&amp;IF('Stephanie'!$E$6:$E$300="",""," : "&amp;'Stephanie'!$E$6:$E$300)&amp;" ["&amp;'Stephanie'!$F$6:$F$300&amp;"]",""),IF('Fox'!$B$6:$B$300=$A54,"Fox"&amp;IF('Fox'!$E$6:$E$300="",""," : "&amp;'Fox'!$E$6:$E$300)&amp;" ["&amp;'Fox'!$F$6:$F$300&amp;"]",""),IF('Bruna'!$B$6:$B$300=$A54,"Bruna"&amp;IF('Bruna'!$E$6:$E$300="",""," : "&amp;'Bruna'!$E$6:$E$300)&amp;" ["&amp;'Bruna'!$F$6:$F$300&amp;"]",""),IF('Stella'!$B$6:$B$300=$A54,"Stella"&amp;IF('Stella'!$E$6:$E$300="",""," : "&amp;'Stella'!$E$6:$E$300)&amp;" ["&amp;'Stella'!$F$6:$F$300&amp;"]",""),IF('Igor'!$B$6:$B$300=$A54,"Igor"&amp;IF('Igor'!$E$6:$E$300="",""," : "&amp;'Igor'!$E$6:$E$300)&amp;" ["&amp;'Igor'!$F$6:$F$300&amp;"]","")))</f>
        <v/>
      </c>
    </row>
    <row r="55" ht="28" customHeight="1">
      <c r="A55" s="13" t="inlineStr">
        <is>
          <t>EC-025</t>
        </is>
      </c>
      <c r="B55" s="14" t="inlineStr">
        <is>
          <t>Etapa 2: Construção das métricas | Atividade 7: Operacionalização das métricas | Atividade 8: Aplicação das métricas</t>
        </is>
      </c>
      <c r="C55" s="14" t="inlineStr">
        <is>
          <t>2. Aplicação da EC</t>
        </is>
      </c>
      <c r="D55" s="14" t="inlineStr">
        <is>
          <t>2.3 GR3</t>
        </is>
      </c>
      <c r="E55" s="15" t="inlineStr">
        <is>
          <t>Procurar os dados das espécies na literatura (GR3)</t>
        </is>
      </c>
      <c r="F55" s="13" t="inlineStr">
        <is>
          <t>Clarice</t>
        </is>
      </c>
      <c r="G55" s="16">
        <f>IF($A55="","",_xlfn.TEXTJOIN("; ",TRUE,IF(COUNTIF('Clarice'!$B$6:$B$300,$A55)&gt;0,"Clarice",""),IF(COUNTIF('Luisa'!$B$6:$B$300,$A55)&gt;0,"Luisa",""),IF(COUNTIF('Lui'!$B$6:$B$300,$A55)&gt;0,"Lui",""),IF(COUNTIF('Thaís'!$B$6:$B$300,$A55)&gt;0,"Thaís",""),IF(COUNTIF('Daniel'!$B$6:$B$300,$A55)&gt;0,"Daniel",""),IF(COUNTIF('Fernando'!$B$6:$B$300,$A55)&gt;0,"Fernando",""),IF(COUNTIF('Stephanie'!$B$6:$B$300,$A55)&gt;0,"Stephanie",""),IF(COUNTIF('Fox'!$B$6:$B$300,$A55)&gt;0,"Fox",""),IF(COUNTIF('Bruna'!$B$6:$B$300,$A55)&gt;0,"Bruna",""),IF(COUNTIF('Stella'!$B$6:$B$300,$A55)&gt;0,"Stella",""),IF(COUNTIF('Igor'!$B$6:$B$300,$A55)&gt;0,"Igor","")))</f>
        <v/>
      </c>
      <c r="H55" s="13" t="n"/>
      <c r="I55" s="13" t="inlineStr">
        <is>
          <t>Não iniciado</t>
        </is>
      </c>
      <c r="J55" s="17">
        <f>IF(OR($A55="",(COUNTIF('Clarice'!$B$6:$B$300,$A55)+COUNTIF('Luisa'!$B$6:$B$300,$A55)+COUNTIF('Lui'!$B$6:$B$300,$A55)+COUNTIF('Thaís'!$B$6:$B$300,$A55)+COUNTIF('Daniel'!$B$6:$B$300,$A55)+COUNTIF('Fernando'!$B$6:$B$300,$A55)+COUNTIF('Stephanie'!$B$6:$B$300,$A55)+COUNTIF('Fox'!$B$6:$B$300,$A55)+COUNTIF('Bruna'!$B$6:$B$300,$A55)+COUNTIF('Stella'!$B$6:$B$300,$A55)+COUNTIF('Igor'!$B$6:$B$300,$A55))=0),"",(COUNTIFS('Clarice'!$B$6:$B$300,$A55,'Clarice'!$F$6:$F$300,"Concluído")+COUNTIFS('Luisa'!$B$6:$B$300,$A55,'Luisa'!$F$6:$F$300,"Concluído")+COUNTIFS('Lui'!$B$6:$B$300,$A55,'Lui'!$F$6:$F$300,"Concluído")+COUNTIFS('Thaís'!$B$6:$B$300,$A55,'Thaís'!$F$6:$F$300,"Concluído")+COUNTIFS('Daniel'!$B$6:$B$300,$A55,'Daniel'!$F$6:$F$300,"Concluído")+COUNTIFS('Fernando'!$B$6:$B$300,$A55,'Fernando'!$F$6:$F$300,"Concluído")+COUNTIFS('Stephanie'!$B$6:$B$300,$A55,'Stephanie'!$F$6:$F$300,"Concluído")+COUNTIFS('Fox'!$B$6:$B$300,$A55,'Fox'!$F$6:$F$300,"Concluído")+COUNTIFS('Bruna'!$B$6:$B$300,$A55,'Bruna'!$F$6:$F$300,"Concluído")+COUNTIFS('Stella'!$B$6:$B$300,$A55,'Stella'!$F$6:$F$300,"Concluído")+COUNTIFS('Igor'!$B$6:$B$300,$A55,'Igor'!$F$6:$F$300,"Concluído"))&amp;" / "&amp;(COUNTIF('Clarice'!$B$6:$B$300,$A55)+COUNTIF('Luisa'!$B$6:$B$300,$A55)+COUNTIF('Lui'!$B$6:$B$300,$A55)+COUNTIF('Thaís'!$B$6:$B$300,$A55)+COUNTIF('Daniel'!$B$6:$B$300,$A55)+COUNTIF('Fernando'!$B$6:$B$300,$A55)+COUNTIF('Stephanie'!$B$6:$B$300,$A55)+COUNTIF('Fox'!$B$6:$B$300,$A55)+COUNTIF('Bruna'!$B$6:$B$300,$A55)+COUNTIF('Stella'!$B$6:$B$300,$A55)+COUNTIF('Igor'!$B$6:$B$300,$A55)))</f>
        <v/>
      </c>
      <c r="K55" s="18" t="n">
        <v>46146</v>
      </c>
      <c r="L55" s="18" t="n">
        <v>46157</v>
      </c>
      <c r="M55" s="18" t="n">
        <v>46146</v>
      </c>
      <c r="N55" s="18" t="n">
        <v>46199</v>
      </c>
      <c r="O55" s="19" t="n"/>
      <c r="P55" s="20">
        <f>IF($A55="","",IF(M55&lt;&gt;"",M55,IF(K55&lt;&gt;"",K55,"")))</f>
        <v/>
      </c>
      <c r="Q55" s="20">
        <f>IF($A55="","",IF(N55&lt;&gt;"",N55,IF(L55&lt;&gt;"",L55,"")))</f>
        <v/>
      </c>
      <c r="R55" s="15" t="n"/>
      <c r="S55" s="16">
        <f t="array" ref="S55">IF($A55="","",_xlfn.TEXTJOIN(CHAR(10),TRUE,IF('Clarice'!$B$6:$B$300=$A55,"Clarice"&amp;IF('Clarice'!$E$6:$E$300="",""," : "&amp;'Clarice'!$E$6:$E$300)&amp;" ["&amp;'Clarice'!$F$6:$F$300&amp;"]",""),IF('Luisa'!$B$6:$B$300=$A55,"Luisa"&amp;IF('Luisa'!$E$6:$E$300="",""," : "&amp;'Luisa'!$E$6:$E$300)&amp;" ["&amp;'Luisa'!$F$6:$F$300&amp;"]",""),IF('Lui'!$B$6:$B$300=$A55,"Lui"&amp;IF('Lui'!$E$6:$E$300="",""," : "&amp;'Lui'!$E$6:$E$300)&amp;" ["&amp;'Lui'!$F$6:$F$300&amp;"]",""),IF('Thaís'!$B$6:$B$300=$A55,"Thaís"&amp;IF('Thaís'!$E$6:$E$300="",""," : "&amp;'Thaís'!$E$6:$E$300)&amp;" ["&amp;'Thaís'!$F$6:$F$300&amp;"]",""),IF('Daniel'!$B$6:$B$300=$A55,"Daniel"&amp;IF('Daniel'!$E$6:$E$300="",""," : "&amp;'Daniel'!$E$6:$E$300)&amp;" ["&amp;'Daniel'!$F$6:$F$300&amp;"]",""),IF('Fernando'!$B$6:$B$300=$A55,"Fernando"&amp;IF('Fernando'!$E$6:$E$300="",""," : "&amp;'Fernando'!$E$6:$E$300)&amp;" ["&amp;'Fernando'!$F$6:$F$300&amp;"]",""),IF('Stephanie'!$B$6:$B$300=$A55,"Stephanie"&amp;IF('Stephanie'!$E$6:$E$300="",""," : "&amp;'Stephanie'!$E$6:$E$300)&amp;" ["&amp;'Stephanie'!$F$6:$F$300&amp;"]",""),IF('Fox'!$B$6:$B$300=$A55,"Fox"&amp;IF('Fox'!$E$6:$E$300="",""," : "&amp;'Fox'!$E$6:$E$300)&amp;" ["&amp;'Fox'!$F$6:$F$300&amp;"]",""),IF('Bruna'!$B$6:$B$300=$A55,"Bruna"&amp;IF('Bruna'!$E$6:$E$300="",""," : "&amp;'Bruna'!$E$6:$E$300)&amp;" ["&amp;'Bruna'!$F$6:$F$300&amp;"]",""),IF('Stella'!$B$6:$B$300=$A55,"Stella"&amp;IF('Stella'!$E$6:$E$300="",""," : "&amp;'Stella'!$E$6:$E$300)&amp;" ["&amp;'Stella'!$F$6:$F$300&amp;"]",""),IF('Igor'!$B$6:$B$300=$A55,"Igor"&amp;IF('Igor'!$E$6:$E$300="",""," : "&amp;'Igor'!$E$6:$E$300)&amp;" ["&amp;'Igor'!$F$6:$F$300&amp;"]","")))</f>
        <v/>
      </c>
    </row>
    <row r="56" ht="40.5" customHeight="1">
      <c r="A56" s="13" t="inlineStr">
        <is>
          <t>EC-026</t>
        </is>
      </c>
      <c r="B56" s="14" t="inlineStr">
        <is>
          <t>Etapa 2: Construção das métricas | Atividade 7: Operacionalização das métricas | Atividade 8: Aplicação das métricas</t>
        </is>
      </c>
      <c r="C56" s="14" t="inlineStr">
        <is>
          <t>2. Aplicação da EC</t>
        </is>
      </c>
      <c r="D56" s="14" t="inlineStr">
        <is>
          <t>2.3 GR3</t>
        </is>
      </c>
      <c r="E56" s="15" t="inlineStr">
        <is>
          <t>Definir os buffers e as áreas de estudo (GR3)</t>
        </is>
      </c>
      <c r="F56" s="13" t="inlineStr">
        <is>
          <t>Clarice</t>
        </is>
      </c>
      <c r="G56" s="16">
        <f>IF($A56="","",_xlfn.TEXTJOIN("; ",TRUE,IF(COUNTIF('Clarice'!$B$6:$B$300,$A56)&gt;0,"Clarice",""),IF(COUNTIF('Luisa'!$B$6:$B$300,$A56)&gt;0,"Luisa",""),IF(COUNTIF('Lui'!$B$6:$B$300,$A56)&gt;0,"Lui",""),IF(COUNTIF('Thaís'!$B$6:$B$300,$A56)&gt;0,"Thaís",""),IF(COUNTIF('Daniel'!$B$6:$B$300,$A56)&gt;0,"Daniel",""),IF(COUNTIF('Fernando'!$B$6:$B$300,$A56)&gt;0,"Fernando",""),IF(COUNTIF('Stephanie'!$B$6:$B$300,$A56)&gt;0,"Stephanie",""),IF(COUNTIF('Fox'!$B$6:$B$300,$A56)&gt;0,"Fox",""),IF(COUNTIF('Bruna'!$B$6:$B$300,$A56)&gt;0,"Bruna",""),IF(COUNTIF('Stella'!$B$6:$B$300,$A56)&gt;0,"Stella",""),IF(COUNTIF('Igor'!$B$6:$B$300,$A56)&gt;0,"Igor","")))</f>
        <v/>
      </c>
      <c r="H56" s="13" t="n"/>
      <c r="I56" s="13" t="inlineStr">
        <is>
          <t>Não iniciado</t>
        </is>
      </c>
      <c r="J56" s="17">
        <f>IF(OR($A56="",(COUNTIF('Clarice'!$B$6:$B$300,$A56)+COUNTIF('Luisa'!$B$6:$B$300,$A56)+COUNTIF('Lui'!$B$6:$B$300,$A56)+COUNTIF('Thaís'!$B$6:$B$300,$A56)+COUNTIF('Daniel'!$B$6:$B$300,$A56)+COUNTIF('Fernando'!$B$6:$B$300,$A56)+COUNTIF('Stephanie'!$B$6:$B$300,$A56)+COUNTIF('Fox'!$B$6:$B$300,$A56)+COUNTIF('Bruna'!$B$6:$B$300,$A56)+COUNTIF('Stella'!$B$6:$B$300,$A56)+COUNTIF('Igor'!$B$6:$B$300,$A56))=0),"",(COUNTIFS('Clarice'!$B$6:$B$300,$A56,'Clarice'!$F$6:$F$300,"Concluído")+COUNTIFS('Luisa'!$B$6:$B$300,$A56,'Luisa'!$F$6:$F$300,"Concluído")+COUNTIFS('Lui'!$B$6:$B$300,$A56,'Lui'!$F$6:$F$300,"Concluído")+COUNTIFS('Thaís'!$B$6:$B$300,$A56,'Thaís'!$F$6:$F$300,"Concluído")+COUNTIFS('Daniel'!$B$6:$B$300,$A56,'Daniel'!$F$6:$F$300,"Concluído")+COUNTIFS('Fernando'!$B$6:$B$300,$A56,'Fernando'!$F$6:$F$300,"Concluído")+COUNTIFS('Stephanie'!$B$6:$B$300,$A56,'Stephanie'!$F$6:$F$300,"Concluído")+COUNTIFS('Fox'!$B$6:$B$300,$A56,'Fox'!$F$6:$F$300,"Concluído")+COUNTIFS('Bruna'!$B$6:$B$300,$A56,'Bruna'!$F$6:$F$300,"Concluído")+COUNTIFS('Stella'!$B$6:$B$300,$A56,'Stella'!$F$6:$F$300,"Concluído")+COUNTIFS('Igor'!$B$6:$B$300,$A56,'Igor'!$F$6:$F$300,"Concluído"))&amp;" / "&amp;(COUNTIF('Clarice'!$B$6:$B$300,$A56)+COUNTIF('Luisa'!$B$6:$B$300,$A56)+COUNTIF('Lui'!$B$6:$B$300,$A56)+COUNTIF('Thaís'!$B$6:$B$300,$A56)+COUNTIF('Daniel'!$B$6:$B$300,$A56)+COUNTIF('Fernando'!$B$6:$B$300,$A56)+COUNTIF('Stephanie'!$B$6:$B$300,$A56)+COUNTIF('Fox'!$B$6:$B$300,$A56)+COUNTIF('Bruna'!$B$6:$B$300,$A56)+COUNTIF('Stella'!$B$6:$B$300,$A56)+COUNTIF('Igor'!$B$6:$B$300,$A56)))</f>
        <v/>
      </c>
      <c r="K56" s="18" t="n">
        <v>46153</v>
      </c>
      <c r="L56" s="18" t="n">
        <v>46164</v>
      </c>
      <c r="M56" s="18" t="n">
        <v>46153</v>
      </c>
      <c r="N56" s="18" t="n">
        <v>46199</v>
      </c>
      <c r="O56" s="19" t="n"/>
      <c r="P56" s="20">
        <f>IF($A56="","",IF(M56&lt;&gt;"",M56,IF(K56&lt;&gt;"",K56,"")))</f>
        <v/>
      </c>
      <c r="Q56" s="20">
        <f>IF($A56="","",IF(N56&lt;&gt;"",N56,IF(L56&lt;&gt;"",L56,"")))</f>
        <v/>
      </c>
      <c r="R56" s="15" t="n"/>
      <c r="S56" s="16">
        <f t="array" ref="S56">IF($A56="","",_xlfn.TEXTJOIN(CHAR(10),TRUE,IF('Clarice'!$B$6:$B$300=$A56,"Clarice"&amp;IF('Clarice'!$E$6:$E$300="",""," : "&amp;'Clarice'!$E$6:$E$300)&amp;" ["&amp;'Clarice'!$F$6:$F$300&amp;"]",""),IF('Luisa'!$B$6:$B$300=$A56,"Luisa"&amp;IF('Luisa'!$E$6:$E$300="",""," : "&amp;'Luisa'!$E$6:$E$300)&amp;" ["&amp;'Luisa'!$F$6:$F$300&amp;"]",""),IF('Lui'!$B$6:$B$300=$A56,"Lui"&amp;IF('Lui'!$E$6:$E$300="",""," : "&amp;'Lui'!$E$6:$E$300)&amp;" ["&amp;'Lui'!$F$6:$F$300&amp;"]",""),IF('Thaís'!$B$6:$B$300=$A56,"Thaís"&amp;IF('Thaís'!$E$6:$E$300="",""," : "&amp;'Thaís'!$E$6:$E$300)&amp;" ["&amp;'Thaís'!$F$6:$F$300&amp;"]",""),IF('Daniel'!$B$6:$B$300=$A56,"Daniel"&amp;IF('Daniel'!$E$6:$E$300="",""," : "&amp;'Daniel'!$E$6:$E$300)&amp;" ["&amp;'Daniel'!$F$6:$F$300&amp;"]",""),IF('Fernando'!$B$6:$B$300=$A56,"Fernando"&amp;IF('Fernando'!$E$6:$E$300="",""," : "&amp;'Fernando'!$E$6:$E$300)&amp;" ["&amp;'Fernando'!$F$6:$F$300&amp;"]",""),IF('Stephanie'!$B$6:$B$300=$A56,"Stephanie"&amp;IF('Stephanie'!$E$6:$E$300="",""," : "&amp;'Stephanie'!$E$6:$E$300)&amp;" ["&amp;'Stephanie'!$F$6:$F$300&amp;"]",""),IF('Fox'!$B$6:$B$300=$A56,"Fox"&amp;IF('Fox'!$E$6:$E$300="",""," : "&amp;'Fox'!$E$6:$E$300)&amp;" ["&amp;'Fox'!$F$6:$F$300&amp;"]",""),IF('Bruna'!$B$6:$B$300=$A56,"Bruna"&amp;IF('Bruna'!$E$6:$E$300="",""," : "&amp;'Bruna'!$E$6:$E$300)&amp;" ["&amp;'Bruna'!$F$6:$F$300&amp;"]",""),IF('Stella'!$B$6:$B$300=$A56,"Stella"&amp;IF('Stella'!$E$6:$E$300="",""," : "&amp;'Stella'!$E$6:$E$300)&amp;" ["&amp;'Stella'!$F$6:$F$300&amp;"]",""),IF('Igor'!$B$6:$B$300=$A56,"Igor"&amp;IF('Igor'!$E$6:$E$300="",""," : "&amp;'Igor'!$E$6:$E$300)&amp;" ["&amp;'Igor'!$F$6:$F$300&amp;"]","")))</f>
        <v/>
      </c>
    </row>
    <row r="57" ht="28" customHeight="1">
      <c r="A57" s="13" t="inlineStr">
        <is>
          <t>EC-027</t>
        </is>
      </c>
      <c r="B57" s="14" t="inlineStr">
        <is>
          <t>Etapa 2: Construção das métricas | Atividade 7: Operacionalização das métricas | Atividade 8: Aplicação das métricas</t>
        </is>
      </c>
      <c r="C57" s="14" t="inlineStr">
        <is>
          <t>2. Aplicação da EC</t>
        </is>
      </c>
      <c r="D57" s="14" t="inlineStr">
        <is>
          <t>2.3 GR3</t>
        </is>
      </c>
      <c r="E57" s="15" t="inlineStr">
        <is>
          <t>Definir os rasters de uso da terra e shapes de fragmentos para os cenários avaliados (GR3)</t>
        </is>
      </c>
      <c r="F57" s="13" t="inlineStr">
        <is>
          <t>Clarice</t>
        </is>
      </c>
      <c r="G57" s="16">
        <f>IF($A57="","",_xlfn.TEXTJOIN("; ",TRUE,IF(COUNTIF('Clarice'!$B$6:$B$300,$A57)&gt;0,"Clarice",""),IF(COUNTIF('Luisa'!$B$6:$B$300,$A57)&gt;0,"Luisa",""),IF(COUNTIF('Lui'!$B$6:$B$300,$A57)&gt;0,"Lui",""),IF(COUNTIF('Thaís'!$B$6:$B$300,$A57)&gt;0,"Thaís",""),IF(COUNTIF('Daniel'!$B$6:$B$300,$A57)&gt;0,"Daniel",""),IF(COUNTIF('Fernando'!$B$6:$B$300,$A57)&gt;0,"Fernando",""),IF(COUNTIF('Stephanie'!$B$6:$B$300,$A57)&gt;0,"Stephanie",""),IF(COUNTIF('Fox'!$B$6:$B$300,$A57)&gt;0,"Fox",""),IF(COUNTIF('Bruna'!$B$6:$B$300,$A57)&gt;0,"Bruna",""),IF(COUNTIF('Stella'!$B$6:$B$300,$A57)&gt;0,"Stella",""),IF(COUNTIF('Igor'!$B$6:$B$300,$A57)&gt;0,"Igor","")))</f>
        <v/>
      </c>
      <c r="H57" s="13" t="n"/>
      <c r="I57" s="13" t="inlineStr">
        <is>
          <t>Não iniciado</t>
        </is>
      </c>
      <c r="J57" s="17">
        <f>IF(OR($A57="",(COUNTIF('Clarice'!$B$6:$B$300,$A57)+COUNTIF('Luisa'!$B$6:$B$300,$A57)+COUNTIF('Lui'!$B$6:$B$300,$A57)+COUNTIF('Thaís'!$B$6:$B$300,$A57)+COUNTIF('Daniel'!$B$6:$B$300,$A57)+COUNTIF('Fernando'!$B$6:$B$300,$A57)+COUNTIF('Stephanie'!$B$6:$B$300,$A57)+COUNTIF('Fox'!$B$6:$B$300,$A57)+COUNTIF('Bruna'!$B$6:$B$300,$A57)+COUNTIF('Stella'!$B$6:$B$300,$A57)+COUNTIF('Igor'!$B$6:$B$300,$A57))=0),"",(COUNTIFS('Clarice'!$B$6:$B$300,$A57,'Clarice'!$F$6:$F$300,"Concluído")+COUNTIFS('Luisa'!$B$6:$B$300,$A57,'Luisa'!$F$6:$F$300,"Concluído")+COUNTIFS('Lui'!$B$6:$B$300,$A57,'Lui'!$F$6:$F$300,"Concluído")+COUNTIFS('Thaís'!$B$6:$B$300,$A57,'Thaís'!$F$6:$F$300,"Concluído")+COUNTIFS('Daniel'!$B$6:$B$300,$A57,'Daniel'!$F$6:$F$300,"Concluído")+COUNTIFS('Fernando'!$B$6:$B$300,$A57,'Fernando'!$F$6:$F$300,"Concluído")+COUNTIFS('Stephanie'!$B$6:$B$300,$A57,'Stephanie'!$F$6:$F$300,"Concluído")+COUNTIFS('Fox'!$B$6:$B$300,$A57,'Fox'!$F$6:$F$300,"Concluído")+COUNTIFS('Bruna'!$B$6:$B$300,$A57,'Bruna'!$F$6:$F$300,"Concluído")+COUNTIFS('Stella'!$B$6:$B$300,$A57,'Stella'!$F$6:$F$300,"Concluído")+COUNTIFS('Igor'!$B$6:$B$300,$A57,'Igor'!$F$6:$F$300,"Concluído"))&amp;" / "&amp;(COUNTIF('Clarice'!$B$6:$B$300,$A57)+COUNTIF('Luisa'!$B$6:$B$300,$A57)+COUNTIF('Lui'!$B$6:$B$300,$A57)+COUNTIF('Thaís'!$B$6:$B$300,$A57)+COUNTIF('Daniel'!$B$6:$B$300,$A57)+COUNTIF('Fernando'!$B$6:$B$300,$A57)+COUNTIF('Stephanie'!$B$6:$B$300,$A57)+COUNTIF('Fox'!$B$6:$B$300,$A57)+COUNTIF('Bruna'!$B$6:$B$300,$A57)+COUNTIF('Stella'!$B$6:$B$300,$A57)+COUNTIF('Igor'!$B$6:$B$300,$A57)))</f>
        <v/>
      </c>
      <c r="K57" s="18" t="n">
        <v>46146</v>
      </c>
      <c r="L57" s="18" t="n">
        <v>46171</v>
      </c>
      <c r="M57" s="18" t="n">
        <v>46146</v>
      </c>
      <c r="N57" s="18" t="n">
        <v>46192</v>
      </c>
      <c r="O57" s="19" t="n"/>
      <c r="P57" s="20">
        <f>IF($A57="","",IF(M57&lt;&gt;"",M57,IF(K57&lt;&gt;"",K57,"")))</f>
        <v/>
      </c>
      <c r="Q57" s="20">
        <f>IF($A57="","",IF(N57&lt;&gt;"",N57,IF(L57&lt;&gt;"",L57,"")))</f>
        <v/>
      </c>
      <c r="R57" s="15" t="n"/>
      <c r="S57" s="16">
        <f t="array" ref="S57">IF($A57="","",_xlfn.TEXTJOIN(CHAR(10),TRUE,IF('Clarice'!$B$6:$B$300=$A57,"Clarice"&amp;IF('Clarice'!$E$6:$E$300="",""," : "&amp;'Clarice'!$E$6:$E$300)&amp;" ["&amp;'Clarice'!$F$6:$F$300&amp;"]",""),IF('Luisa'!$B$6:$B$300=$A57,"Luisa"&amp;IF('Luisa'!$E$6:$E$300="",""," : "&amp;'Luisa'!$E$6:$E$300)&amp;" ["&amp;'Luisa'!$F$6:$F$300&amp;"]",""),IF('Lui'!$B$6:$B$300=$A57,"Lui"&amp;IF('Lui'!$E$6:$E$300="",""," : "&amp;'Lui'!$E$6:$E$300)&amp;" ["&amp;'Lui'!$F$6:$F$300&amp;"]",""),IF('Thaís'!$B$6:$B$300=$A57,"Thaís"&amp;IF('Thaís'!$E$6:$E$300="",""," : "&amp;'Thaís'!$E$6:$E$300)&amp;" ["&amp;'Thaís'!$F$6:$F$300&amp;"]",""),IF('Daniel'!$B$6:$B$300=$A57,"Daniel"&amp;IF('Daniel'!$E$6:$E$300="",""," : "&amp;'Daniel'!$E$6:$E$300)&amp;" ["&amp;'Daniel'!$F$6:$F$300&amp;"]",""),IF('Fernando'!$B$6:$B$300=$A57,"Fernando"&amp;IF('Fernando'!$E$6:$E$300="",""," : "&amp;'Fernando'!$E$6:$E$300)&amp;" ["&amp;'Fernando'!$F$6:$F$300&amp;"]",""),IF('Stephanie'!$B$6:$B$300=$A57,"Stephanie"&amp;IF('Stephanie'!$E$6:$E$300="",""," : "&amp;'Stephanie'!$E$6:$E$300)&amp;" ["&amp;'Stephanie'!$F$6:$F$300&amp;"]",""),IF('Fox'!$B$6:$B$300=$A57,"Fox"&amp;IF('Fox'!$E$6:$E$300="",""," : "&amp;'Fox'!$E$6:$E$300)&amp;" ["&amp;'Fox'!$F$6:$F$300&amp;"]",""),IF('Bruna'!$B$6:$B$300=$A57,"Bruna"&amp;IF('Bruna'!$E$6:$E$300="",""," : "&amp;'Bruna'!$E$6:$E$300)&amp;" ["&amp;'Bruna'!$F$6:$F$300&amp;"]",""),IF('Stella'!$B$6:$B$300=$A57,"Stella"&amp;IF('Stella'!$E$6:$E$300="",""," : "&amp;'Stella'!$E$6:$E$300)&amp;" ["&amp;'Stella'!$F$6:$F$300&amp;"]",""),IF('Igor'!$B$6:$B$300=$A57,"Igor"&amp;IF('Igor'!$E$6:$E$300="",""," : "&amp;'Igor'!$E$6:$E$300)&amp;" ["&amp;'Igor'!$F$6:$F$300&amp;"]","")))</f>
        <v/>
      </c>
    </row>
    <row r="58" ht="28" customHeight="1">
      <c r="A58" s="13" t="inlineStr">
        <is>
          <t>EC-028</t>
        </is>
      </c>
      <c r="B58" s="14" t="inlineStr">
        <is>
          <t>Etapa 2: Construção das métricas | Atividade 7: Operacionalização das métricas | Atividade 8: Aplicação das métricas</t>
        </is>
      </c>
      <c r="C58" s="14" t="inlineStr">
        <is>
          <t>2. Aplicação da EC</t>
        </is>
      </c>
      <c r="D58" s="14" t="inlineStr">
        <is>
          <t>2.3 GR3</t>
        </is>
      </c>
      <c r="E58" s="15" t="inlineStr">
        <is>
          <t>Rodar as análises no R (GR3)</t>
        </is>
      </c>
      <c r="F58" s="13" t="inlineStr">
        <is>
          <t>Clarice</t>
        </is>
      </c>
      <c r="G58" s="16">
        <f>IF($A58="","",_xlfn.TEXTJOIN("; ",TRUE,IF(COUNTIF('Clarice'!$B$6:$B$300,$A58)&gt;0,"Clarice",""),IF(COUNTIF('Luisa'!$B$6:$B$300,$A58)&gt;0,"Luisa",""),IF(COUNTIF('Lui'!$B$6:$B$300,$A58)&gt;0,"Lui",""),IF(COUNTIF('Thaís'!$B$6:$B$300,$A58)&gt;0,"Thaís",""),IF(COUNTIF('Daniel'!$B$6:$B$300,$A58)&gt;0,"Daniel",""),IF(COUNTIF('Fernando'!$B$6:$B$300,$A58)&gt;0,"Fernando",""),IF(COUNTIF('Stephanie'!$B$6:$B$300,$A58)&gt;0,"Stephanie",""),IF(COUNTIF('Fox'!$B$6:$B$300,$A58)&gt;0,"Fox",""),IF(COUNTIF('Bruna'!$B$6:$B$300,$A58)&gt;0,"Bruna",""),IF(COUNTIF('Stella'!$B$6:$B$300,$A58)&gt;0,"Stella",""),IF(COUNTIF('Igor'!$B$6:$B$300,$A58)&gt;0,"Igor","")))</f>
        <v/>
      </c>
      <c r="H58" s="13" t="n"/>
      <c r="I58" s="13" t="inlineStr">
        <is>
          <t>Não iniciado</t>
        </is>
      </c>
      <c r="J58" s="17">
        <f>IF(OR($A58="",(COUNTIF('Clarice'!$B$6:$B$300,$A58)+COUNTIF('Luisa'!$B$6:$B$300,$A58)+COUNTIF('Lui'!$B$6:$B$300,$A58)+COUNTIF('Thaís'!$B$6:$B$300,$A58)+COUNTIF('Daniel'!$B$6:$B$300,$A58)+COUNTIF('Fernando'!$B$6:$B$300,$A58)+COUNTIF('Stephanie'!$B$6:$B$300,$A58)+COUNTIF('Fox'!$B$6:$B$300,$A58)+COUNTIF('Bruna'!$B$6:$B$300,$A58)+COUNTIF('Stella'!$B$6:$B$300,$A58)+COUNTIF('Igor'!$B$6:$B$300,$A58))=0),"",(COUNTIFS('Clarice'!$B$6:$B$300,$A58,'Clarice'!$F$6:$F$300,"Concluído")+COUNTIFS('Luisa'!$B$6:$B$300,$A58,'Luisa'!$F$6:$F$300,"Concluído")+COUNTIFS('Lui'!$B$6:$B$300,$A58,'Lui'!$F$6:$F$300,"Concluído")+COUNTIFS('Thaís'!$B$6:$B$300,$A58,'Thaís'!$F$6:$F$300,"Concluído")+COUNTIFS('Daniel'!$B$6:$B$300,$A58,'Daniel'!$F$6:$F$300,"Concluído")+COUNTIFS('Fernando'!$B$6:$B$300,$A58,'Fernando'!$F$6:$F$300,"Concluído")+COUNTIFS('Stephanie'!$B$6:$B$300,$A58,'Stephanie'!$F$6:$F$300,"Concluído")+COUNTIFS('Fox'!$B$6:$B$300,$A58,'Fox'!$F$6:$F$300,"Concluído")+COUNTIFS('Bruna'!$B$6:$B$300,$A58,'Bruna'!$F$6:$F$300,"Concluído")+COUNTIFS('Stella'!$B$6:$B$300,$A58,'Stella'!$F$6:$F$300,"Concluído")+COUNTIFS('Igor'!$B$6:$B$300,$A58,'Igor'!$F$6:$F$300,"Concluído"))&amp;" / "&amp;(COUNTIF('Clarice'!$B$6:$B$300,$A58)+COUNTIF('Luisa'!$B$6:$B$300,$A58)+COUNTIF('Lui'!$B$6:$B$300,$A58)+COUNTIF('Thaís'!$B$6:$B$300,$A58)+COUNTIF('Daniel'!$B$6:$B$300,$A58)+COUNTIF('Fernando'!$B$6:$B$300,$A58)+COUNTIF('Stephanie'!$B$6:$B$300,$A58)+COUNTIF('Fox'!$B$6:$B$300,$A58)+COUNTIF('Bruna'!$B$6:$B$300,$A58)+COUNTIF('Stella'!$B$6:$B$300,$A58)+COUNTIF('Igor'!$B$6:$B$300,$A58)))</f>
        <v/>
      </c>
      <c r="K58" s="19" t="n"/>
      <c r="L58" s="19" t="n"/>
      <c r="M58" s="18" t="n">
        <v>46188</v>
      </c>
      <c r="N58" s="18" t="n">
        <v>46199</v>
      </c>
      <c r="O58" s="19" t="n"/>
      <c r="P58" s="20">
        <f>IF($A58="","",IF(M58&lt;&gt;"",M58,IF(K58&lt;&gt;"",K58,"")))</f>
        <v/>
      </c>
      <c r="Q58" s="20">
        <f>IF($A58="","",IF(N58&lt;&gt;"",N58,IF(L58&lt;&gt;"",L58,"")))</f>
        <v/>
      </c>
      <c r="R58" s="15" t="n"/>
      <c r="S58" s="16">
        <f t="array" ref="S58">IF($A58="","",_xlfn.TEXTJOIN(CHAR(10),TRUE,IF('Clarice'!$B$6:$B$300=$A58,"Clarice"&amp;IF('Clarice'!$E$6:$E$300="",""," : "&amp;'Clarice'!$E$6:$E$300)&amp;" ["&amp;'Clarice'!$F$6:$F$300&amp;"]",""),IF('Luisa'!$B$6:$B$300=$A58,"Luisa"&amp;IF('Luisa'!$E$6:$E$300="",""," : "&amp;'Luisa'!$E$6:$E$300)&amp;" ["&amp;'Luisa'!$F$6:$F$300&amp;"]",""),IF('Lui'!$B$6:$B$300=$A58,"Lui"&amp;IF('Lui'!$E$6:$E$300="",""," : "&amp;'Lui'!$E$6:$E$300)&amp;" ["&amp;'Lui'!$F$6:$F$300&amp;"]",""),IF('Thaís'!$B$6:$B$300=$A58,"Thaís"&amp;IF('Thaís'!$E$6:$E$300="",""," : "&amp;'Thaís'!$E$6:$E$300)&amp;" ["&amp;'Thaís'!$F$6:$F$300&amp;"]",""),IF('Daniel'!$B$6:$B$300=$A58,"Daniel"&amp;IF('Daniel'!$E$6:$E$300="",""," : "&amp;'Daniel'!$E$6:$E$300)&amp;" ["&amp;'Daniel'!$F$6:$F$300&amp;"]",""),IF('Fernando'!$B$6:$B$300=$A58,"Fernando"&amp;IF('Fernando'!$E$6:$E$300="",""," : "&amp;'Fernando'!$E$6:$E$300)&amp;" ["&amp;'Fernando'!$F$6:$F$300&amp;"]",""),IF('Stephanie'!$B$6:$B$300=$A58,"Stephanie"&amp;IF('Stephanie'!$E$6:$E$300="",""," : "&amp;'Stephanie'!$E$6:$E$300)&amp;" ["&amp;'Stephanie'!$F$6:$F$300&amp;"]",""),IF('Fox'!$B$6:$B$300=$A58,"Fox"&amp;IF('Fox'!$E$6:$E$300="",""," : "&amp;'Fox'!$E$6:$E$300)&amp;" ["&amp;'Fox'!$F$6:$F$300&amp;"]",""),IF('Bruna'!$B$6:$B$300=$A58,"Bruna"&amp;IF('Bruna'!$E$6:$E$300="",""," : "&amp;'Bruna'!$E$6:$E$300)&amp;" ["&amp;'Bruna'!$F$6:$F$300&amp;"]",""),IF('Stella'!$B$6:$B$300=$A58,"Stella"&amp;IF('Stella'!$E$6:$E$300="",""," : "&amp;'Stella'!$E$6:$E$300)&amp;" ["&amp;'Stella'!$F$6:$F$300&amp;"]",""),IF('Igor'!$B$6:$B$300=$A58,"Igor"&amp;IF('Igor'!$E$6:$E$300="",""," : "&amp;'Igor'!$E$6:$E$300)&amp;" ["&amp;'Igor'!$F$6:$F$300&amp;"]","")))</f>
        <v/>
      </c>
    </row>
    <row r="59" ht="40.5" customHeight="1">
      <c r="A59" s="13" t="inlineStr">
        <is>
          <t>EC-029</t>
        </is>
      </c>
      <c r="B59" s="14" t="inlineStr">
        <is>
          <t>Etapa 2: Construção das métricas | Atividade 7: Operacionalização das métricas | Atividade 8: Aplicação das métricas</t>
        </is>
      </c>
      <c r="C59" s="14" t="inlineStr">
        <is>
          <t>2. Aplicação da EC</t>
        </is>
      </c>
      <c r="D59" s="14" t="inlineStr">
        <is>
          <t>2.3 GR3</t>
        </is>
      </c>
      <c r="E59" s="15" t="inlineStr">
        <is>
          <t>Apresentar e consolidar os resultados internamente (GR3)</t>
        </is>
      </c>
      <c r="F59" s="13" t="inlineStr">
        <is>
          <t>Clarice</t>
        </is>
      </c>
      <c r="G59" s="16">
        <f>IF($A59="","",_xlfn.TEXTJOIN("; ",TRUE,IF(COUNTIF('Clarice'!$B$6:$B$300,$A59)&gt;0,"Clarice",""),IF(COUNTIF('Luisa'!$B$6:$B$300,$A59)&gt;0,"Luisa",""),IF(COUNTIF('Lui'!$B$6:$B$300,$A59)&gt;0,"Lui",""),IF(COUNTIF('Thaís'!$B$6:$B$300,$A59)&gt;0,"Thaís",""),IF(COUNTIF('Daniel'!$B$6:$B$300,$A59)&gt;0,"Daniel",""),IF(COUNTIF('Fernando'!$B$6:$B$300,$A59)&gt;0,"Fernando",""),IF(COUNTIF('Stephanie'!$B$6:$B$300,$A59)&gt;0,"Stephanie",""),IF(COUNTIF('Fox'!$B$6:$B$300,$A59)&gt;0,"Fox",""),IF(COUNTIF('Bruna'!$B$6:$B$300,$A59)&gt;0,"Bruna",""),IF(COUNTIF('Stella'!$B$6:$B$300,$A59)&gt;0,"Stella",""),IF(COUNTIF('Igor'!$B$6:$B$300,$A59)&gt;0,"Igor","")))</f>
        <v/>
      </c>
      <c r="H59" s="13" t="n"/>
      <c r="I59" s="13" t="inlineStr">
        <is>
          <t>Não iniciado</t>
        </is>
      </c>
      <c r="J59" s="17">
        <f>IF(OR($A59="",(COUNTIF('Clarice'!$B$6:$B$300,$A59)+COUNTIF('Luisa'!$B$6:$B$300,$A59)+COUNTIF('Lui'!$B$6:$B$300,$A59)+COUNTIF('Thaís'!$B$6:$B$300,$A59)+COUNTIF('Daniel'!$B$6:$B$300,$A59)+COUNTIF('Fernando'!$B$6:$B$300,$A59)+COUNTIF('Stephanie'!$B$6:$B$300,$A59)+COUNTIF('Fox'!$B$6:$B$300,$A59)+COUNTIF('Bruna'!$B$6:$B$300,$A59)+COUNTIF('Stella'!$B$6:$B$300,$A59)+COUNTIF('Igor'!$B$6:$B$300,$A59))=0),"",(COUNTIFS('Clarice'!$B$6:$B$300,$A59,'Clarice'!$F$6:$F$300,"Concluído")+COUNTIFS('Luisa'!$B$6:$B$300,$A59,'Luisa'!$F$6:$F$300,"Concluído")+COUNTIFS('Lui'!$B$6:$B$300,$A59,'Lui'!$F$6:$F$300,"Concluído")+COUNTIFS('Thaís'!$B$6:$B$300,$A59,'Thaís'!$F$6:$F$300,"Concluído")+COUNTIFS('Daniel'!$B$6:$B$300,$A59,'Daniel'!$F$6:$F$300,"Concluído")+COUNTIFS('Fernando'!$B$6:$B$300,$A59,'Fernando'!$F$6:$F$300,"Concluído")+COUNTIFS('Stephanie'!$B$6:$B$300,$A59,'Stephanie'!$F$6:$F$300,"Concluído")+COUNTIFS('Fox'!$B$6:$B$300,$A59,'Fox'!$F$6:$F$300,"Concluído")+COUNTIFS('Bruna'!$B$6:$B$300,$A59,'Bruna'!$F$6:$F$300,"Concluído")+COUNTIFS('Stella'!$B$6:$B$300,$A59,'Stella'!$F$6:$F$300,"Concluído")+COUNTIFS('Igor'!$B$6:$B$300,$A59,'Igor'!$F$6:$F$300,"Concluído"))&amp;" / "&amp;(COUNTIF('Clarice'!$B$6:$B$300,$A59)+COUNTIF('Luisa'!$B$6:$B$300,$A59)+COUNTIF('Lui'!$B$6:$B$300,$A59)+COUNTIF('Thaís'!$B$6:$B$300,$A59)+COUNTIF('Daniel'!$B$6:$B$300,$A59)+COUNTIF('Fernando'!$B$6:$B$300,$A59)+COUNTIF('Stephanie'!$B$6:$B$300,$A59)+COUNTIF('Fox'!$B$6:$B$300,$A59)+COUNTIF('Bruna'!$B$6:$B$300,$A59)+COUNTIF('Stella'!$B$6:$B$300,$A59)+COUNTIF('Igor'!$B$6:$B$300,$A59)))</f>
        <v/>
      </c>
      <c r="K59" s="19" t="n"/>
      <c r="L59" s="19" t="n"/>
      <c r="M59" s="18" t="n">
        <v>46195</v>
      </c>
      <c r="N59" s="18" t="n">
        <v>46206</v>
      </c>
      <c r="O59" s="19" t="n"/>
      <c r="P59" s="20">
        <f>IF($A59="","",IF(M59&lt;&gt;"",M59,IF(K59&lt;&gt;"",K59,"")))</f>
        <v/>
      </c>
      <c r="Q59" s="20">
        <f>IF($A59="","",IF(N59&lt;&gt;"",N59,IF(L59&lt;&gt;"",L59,"")))</f>
        <v/>
      </c>
      <c r="R59" s="15" t="n"/>
      <c r="S59" s="16">
        <f t="array" ref="S59">IF($A59="","",_xlfn.TEXTJOIN(CHAR(10),TRUE,IF('Clarice'!$B$6:$B$300=$A59,"Clarice"&amp;IF('Clarice'!$E$6:$E$300="",""," : "&amp;'Clarice'!$E$6:$E$300)&amp;" ["&amp;'Clarice'!$F$6:$F$300&amp;"]",""),IF('Luisa'!$B$6:$B$300=$A59,"Luisa"&amp;IF('Luisa'!$E$6:$E$300="",""," : "&amp;'Luisa'!$E$6:$E$300)&amp;" ["&amp;'Luisa'!$F$6:$F$300&amp;"]",""),IF('Lui'!$B$6:$B$300=$A59,"Lui"&amp;IF('Lui'!$E$6:$E$300="",""," : "&amp;'Lui'!$E$6:$E$300)&amp;" ["&amp;'Lui'!$F$6:$F$300&amp;"]",""),IF('Thaís'!$B$6:$B$300=$A59,"Thaís"&amp;IF('Thaís'!$E$6:$E$300="",""," : "&amp;'Thaís'!$E$6:$E$300)&amp;" ["&amp;'Thaís'!$F$6:$F$300&amp;"]",""),IF('Daniel'!$B$6:$B$300=$A59,"Daniel"&amp;IF('Daniel'!$E$6:$E$300="",""," : "&amp;'Daniel'!$E$6:$E$300)&amp;" ["&amp;'Daniel'!$F$6:$F$300&amp;"]",""),IF('Fernando'!$B$6:$B$300=$A59,"Fernando"&amp;IF('Fernando'!$E$6:$E$300="",""," : "&amp;'Fernando'!$E$6:$E$300)&amp;" ["&amp;'Fernando'!$F$6:$F$300&amp;"]",""),IF('Stephanie'!$B$6:$B$300=$A59,"Stephanie"&amp;IF('Stephanie'!$E$6:$E$300="",""," : "&amp;'Stephanie'!$E$6:$E$300)&amp;" ["&amp;'Stephanie'!$F$6:$F$300&amp;"]",""),IF('Fox'!$B$6:$B$300=$A59,"Fox"&amp;IF('Fox'!$E$6:$E$300="",""," : "&amp;'Fox'!$E$6:$E$300)&amp;" ["&amp;'Fox'!$F$6:$F$300&amp;"]",""),IF('Bruna'!$B$6:$B$300=$A59,"Bruna"&amp;IF('Bruna'!$E$6:$E$300="",""," : "&amp;'Bruna'!$E$6:$E$300)&amp;" ["&amp;'Bruna'!$F$6:$F$300&amp;"]",""),IF('Stella'!$B$6:$B$300=$A59,"Stella"&amp;IF('Stella'!$E$6:$E$300="",""," : "&amp;'Stella'!$E$6:$E$300)&amp;" ["&amp;'Stella'!$F$6:$F$300&amp;"]",""),IF('Igor'!$B$6:$B$300=$A59,"Igor"&amp;IF('Igor'!$E$6:$E$300="",""," : "&amp;'Igor'!$E$6:$E$300)&amp;" ["&amp;'Igor'!$F$6:$F$300&amp;"]","")))</f>
        <v/>
      </c>
    </row>
    <row r="60" ht="40.5" customHeight="1">
      <c r="A60" s="13" t="inlineStr">
        <is>
          <t>EC-030</t>
        </is>
      </c>
      <c r="B60" s="14" t="inlineStr">
        <is>
          <t>Etapa 2: Construção das métricas | Atividade 7: Operacionalização das métricas | Atividade 8: Aplicação das métricas</t>
        </is>
      </c>
      <c r="C60" s="14" t="inlineStr">
        <is>
          <t>2. Aplicação da EC</t>
        </is>
      </c>
      <c r="D60" s="14" t="inlineStr">
        <is>
          <t>2.3 GR3</t>
        </is>
      </c>
      <c r="E60" s="15" t="inlineStr">
        <is>
          <t>Apresentar os resultados para a Petrobras (GR3)</t>
        </is>
      </c>
      <c r="F60" s="13" t="inlineStr">
        <is>
          <t>Clarice</t>
        </is>
      </c>
      <c r="G60" s="16">
        <f>IF($A60="","",_xlfn.TEXTJOIN("; ",TRUE,IF(COUNTIF('Clarice'!$B$6:$B$300,$A60)&gt;0,"Clarice",""),IF(COUNTIF('Luisa'!$B$6:$B$300,$A60)&gt;0,"Luisa",""),IF(COUNTIF('Lui'!$B$6:$B$300,$A60)&gt;0,"Lui",""),IF(COUNTIF('Thaís'!$B$6:$B$300,$A60)&gt;0,"Thaís",""),IF(COUNTIF('Daniel'!$B$6:$B$300,$A60)&gt;0,"Daniel",""),IF(COUNTIF('Fernando'!$B$6:$B$300,$A60)&gt;0,"Fernando",""),IF(COUNTIF('Stephanie'!$B$6:$B$300,$A60)&gt;0,"Stephanie",""),IF(COUNTIF('Fox'!$B$6:$B$300,$A60)&gt;0,"Fox",""),IF(COUNTIF('Bruna'!$B$6:$B$300,$A60)&gt;0,"Bruna",""),IF(COUNTIF('Stella'!$B$6:$B$300,$A60)&gt;0,"Stella",""),IF(COUNTIF('Igor'!$B$6:$B$300,$A60)&gt;0,"Igor","")))</f>
        <v/>
      </c>
      <c r="H60" s="13" t="n"/>
      <c r="I60" s="13" t="inlineStr">
        <is>
          <t>Não iniciado</t>
        </is>
      </c>
      <c r="J60" s="17">
        <f>IF(OR($A60="",(COUNTIF('Clarice'!$B$6:$B$300,$A60)+COUNTIF('Luisa'!$B$6:$B$300,$A60)+COUNTIF('Lui'!$B$6:$B$300,$A60)+COUNTIF('Thaís'!$B$6:$B$300,$A60)+COUNTIF('Daniel'!$B$6:$B$300,$A60)+COUNTIF('Fernando'!$B$6:$B$300,$A60)+COUNTIF('Stephanie'!$B$6:$B$300,$A60)+COUNTIF('Fox'!$B$6:$B$300,$A60)+COUNTIF('Bruna'!$B$6:$B$300,$A60)+COUNTIF('Stella'!$B$6:$B$300,$A60)+COUNTIF('Igor'!$B$6:$B$300,$A60))=0),"",(COUNTIFS('Clarice'!$B$6:$B$300,$A60,'Clarice'!$F$6:$F$300,"Concluído")+COUNTIFS('Luisa'!$B$6:$B$300,$A60,'Luisa'!$F$6:$F$300,"Concluído")+COUNTIFS('Lui'!$B$6:$B$300,$A60,'Lui'!$F$6:$F$300,"Concluído")+COUNTIFS('Thaís'!$B$6:$B$300,$A60,'Thaís'!$F$6:$F$300,"Concluído")+COUNTIFS('Daniel'!$B$6:$B$300,$A60,'Daniel'!$F$6:$F$300,"Concluído")+COUNTIFS('Fernando'!$B$6:$B$300,$A60,'Fernando'!$F$6:$F$300,"Concluído")+COUNTIFS('Stephanie'!$B$6:$B$300,$A60,'Stephanie'!$F$6:$F$300,"Concluído")+COUNTIFS('Fox'!$B$6:$B$300,$A60,'Fox'!$F$6:$F$300,"Concluído")+COUNTIFS('Bruna'!$B$6:$B$300,$A60,'Bruna'!$F$6:$F$300,"Concluído")+COUNTIFS('Stella'!$B$6:$B$300,$A60,'Stella'!$F$6:$F$300,"Concluído")+COUNTIFS('Igor'!$B$6:$B$300,$A60,'Igor'!$F$6:$F$300,"Concluído"))&amp;" / "&amp;(COUNTIF('Clarice'!$B$6:$B$300,$A60)+COUNTIF('Luisa'!$B$6:$B$300,$A60)+COUNTIF('Lui'!$B$6:$B$300,$A60)+COUNTIF('Thaís'!$B$6:$B$300,$A60)+COUNTIF('Daniel'!$B$6:$B$300,$A60)+COUNTIF('Fernando'!$B$6:$B$300,$A60)+COUNTIF('Stephanie'!$B$6:$B$300,$A60)+COUNTIF('Fox'!$B$6:$B$300,$A60)+COUNTIF('Bruna'!$B$6:$B$300,$A60)+COUNTIF('Stella'!$B$6:$B$300,$A60)+COUNTIF('Igor'!$B$6:$B$300,$A60)))</f>
        <v/>
      </c>
      <c r="K60" s="19" t="n"/>
      <c r="L60" s="19" t="n"/>
      <c r="M60" s="18" t="n">
        <v>46202</v>
      </c>
      <c r="N60" s="18" t="n">
        <v>46206</v>
      </c>
      <c r="O60" s="19" t="n"/>
      <c r="P60" s="20">
        <f>IF($A60="","",IF(M60&lt;&gt;"",M60,IF(K60&lt;&gt;"",K60,"")))</f>
        <v/>
      </c>
      <c r="Q60" s="20">
        <f>IF($A60="","",IF(N60&lt;&gt;"",N60,IF(L60&lt;&gt;"",L60,"")))</f>
        <v/>
      </c>
      <c r="R60" s="15" t="n"/>
      <c r="S60" s="16">
        <f t="array" ref="S60">IF($A60="","",_xlfn.TEXTJOIN(CHAR(10),TRUE,IF('Clarice'!$B$6:$B$300=$A60,"Clarice"&amp;IF('Clarice'!$E$6:$E$300="",""," : "&amp;'Clarice'!$E$6:$E$300)&amp;" ["&amp;'Clarice'!$F$6:$F$300&amp;"]",""),IF('Luisa'!$B$6:$B$300=$A60,"Luisa"&amp;IF('Luisa'!$E$6:$E$300="",""," : "&amp;'Luisa'!$E$6:$E$300)&amp;" ["&amp;'Luisa'!$F$6:$F$300&amp;"]",""),IF('Lui'!$B$6:$B$300=$A60,"Lui"&amp;IF('Lui'!$E$6:$E$300="",""," : "&amp;'Lui'!$E$6:$E$300)&amp;" ["&amp;'Lui'!$F$6:$F$300&amp;"]",""),IF('Thaís'!$B$6:$B$300=$A60,"Thaís"&amp;IF('Thaís'!$E$6:$E$300="",""," : "&amp;'Thaís'!$E$6:$E$300)&amp;" ["&amp;'Thaís'!$F$6:$F$300&amp;"]",""),IF('Daniel'!$B$6:$B$300=$A60,"Daniel"&amp;IF('Daniel'!$E$6:$E$300="",""," : "&amp;'Daniel'!$E$6:$E$300)&amp;" ["&amp;'Daniel'!$F$6:$F$300&amp;"]",""),IF('Fernando'!$B$6:$B$300=$A60,"Fernando"&amp;IF('Fernando'!$E$6:$E$300="",""," : "&amp;'Fernando'!$E$6:$E$300)&amp;" ["&amp;'Fernando'!$F$6:$F$300&amp;"]",""),IF('Stephanie'!$B$6:$B$300=$A60,"Stephanie"&amp;IF('Stephanie'!$E$6:$E$300="",""," : "&amp;'Stephanie'!$E$6:$E$300)&amp;" ["&amp;'Stephanie'!$F$6:$F$300&amp;"]",""),IF('Fox'!$B$6:$B$300=$A60,"Fox"&amp;IF('Fox'!$E$6:$E$300="",""," : "&amp;'Fox'!$E$6:$E$300)&amp;" ["&amp;'Fox'!$F$6:$F$300&amp;"]",""),IF('Bruna'!$B$6:$B$300=$A60,"Bruna"&amp;IF('Bruna'!$E$6:$E$300="",""," : "&amp;'Bruna'!$E$6:$E$300)&amp;" ["&amp;'Bruna'!$F$6:$F$300&amp;"]",""),IF('Stella'!$B$6:$B$300=$A60,"Stella"&amp;IF('Stella'!$E$6:$E$300="",""," : "&amp;'Stella'!$E$6:$E$300)&amp;" ["&amp;'Stella'!$F$6:$F$300&amp;"]",""),IF('Igor'!$B$6:$B$300=$A60,"Igor"&amp;IF('Igor'!$E$6:$E$300="",""," : "&amp;'Igor'!$E$6:$E$300)&amp;" ["&amp;'Igor'!$F$6:$F$300&amp;"]","")))</f>
        <v/>
      </c>
    </row>
    <row r="61" ht="28" customHeight="1">
      <c r="A61" s="13" t="inlineStr">
        <is>
          <t>EC-031</t>
        </is>
      </c>
      <c r="B61" s="14" t="inlineStr">
        <is>
          <t>Etapa 2: Construção das métricas | Atividade 7: Operacionalização das métricas | Atividade 8: Aplicação das métricas</t>
        </is>
      </c>
      <c r="C61" s="14" t="inlineStr">
        <is>
          <t>2. Aplicação da EC</t>
        </is>
      </c>
      <c r="D61" s="14" t="inlineStr">
        <is>
          <t>2.3 GR3</t>
        </is>
      </c>
      <c r="E61" s="15" t="inlineStr">
        <is>
          <t>Fazer os ajustes necessários (GR3)</t>
        </is>
      </c>
      <c r="F61" s="13" t="inlineStr">
        <is>
          <t>Clarice</t>
        </is>
      </c>
      <c r="G61" s="16">
        <f>IF($A61="","",_xlfn.TEXTJOIN("; ",TRUE,IF(COUNTIF('Clarice'!$B$6:$B$300,$A61)&gt;0,"Clarice",""),IF(COUNTIF('Luisa'!$B$6:$B$300,$A61)&gt;0,"Luisa",""),IF(COUNTIF('Lui'!$B$6:$B$300,$A61)&gt;0,"Lui",""),IF(COUNTIF('Thaís'!$B$6:$B$300,$A61)&gt;0,"Thaís",""),IF(COUNTIF('Daniel'!$B$6:$B$300,$A61)&gt;0,"Daniel",""),IF(COUNTIF('Fernando'!$B$6:$B$300,$A61)&gt;0,"Fernando",""),IF(COUNTIF('Stephanie'!$B$6:$B$300,$A61)&gt;0,"Stephanie",""),IF(COUNTIF('Fox'!$B$6:$B$300,$A61)&gt;0,"Fox",""),IF(COUNTIF('Bruna'!$B$6:$B$300,$A61)&gt;0,"Bruna",""),IF(COUNTIF('Stella'!$B$6:$B$300,$A61)&gt;0,"Stella",""),IF(COUNTIF('Igor'!$B$6:$B$300,$A61)&gt;0,"Igor","")))</f>
        <v/>
      </c>
      <c r="H61" s="13" t="n"/>
      <c r="I61" s="13" t="inlineStr">
        <is>
          <t>Não iniciado</t>
        </is>
      </c>
      <c r="J61" s="17">
        <f>IF(OR($A61="",(COUNTIF('Clarice'!$B$6:$B$300,$A61)+COUNTIF('Luisa'!$B$6:$B$300,$A61)+COUNTIF('Lui'!$B$6:$B$300,$A61)+COUNTIF('Thaís'!$B$6:$B$300,$A61)+COUNTIF('Daniel'!$B$6:$B$300,$A61)+COUNTIF('Fernando'!$B$6:$B$300,$A61)+COUNTIF('Stephanie'!$B$6:$B$300,$A61)+COUNTIF('Fox'!$B$6:$B$300,$A61)+COUNTIF('Bruna'!$B$6:$B$300,$A61)+COUNTIF('Stella'!$B$6:$B$300,$A61)+COUNTIF('Igor'!$B$6:$B$300,$A61))=0),"",(COUNTIFS('Clarice'!$B$6:$B$300,$A61,'Clarice'!$F$6:$F$300,"Concluído")+COUNTIFS('Luisa'!$B$6:$B$300,$A61,'Luisa'!$F$6:$F$300,"Concluído")+COUNTIFS('Lui'!$B$6:$B$300,$A61,'Lui'!$F$6:$F$300,"Concluído")+COUNTIFS('Thaís'!$B$6:$B$300,$A61,'Thaís'!$F$6:$F$300,"Concluído")+COUNTIFS('Daniel'!$B$6:$B$300,$A61,'Daniel'!$F$6:$F$300,"Concluído")+COUNTIFS('Fernando'!$B$6:$B$300,$A61,'Fernando'!$F$6:$F$300,"Concluído")+COUNTIFS('Stephanie'!$B$6:$B$300,$A61,'Stephanie'!$F$6:$F$300,"Concluído")+COUNTIFS('Fox'!$B$6:$B$300,$A61,'Fox'!$F$6:$F$300,"Concluído")+COUNTIFS('Bruna'!$B$6:$B$300,$A61,'Bruna'!$F$6:$F$300,"Concluído")+COUNTIFS('Stella'!$B$6:$B$300,$A61,'Stella'!$F$6:$F$300,"Concluído")+COUNTIFS('Igor'!$B$6:$B$300,$A61,'Igor'!$F$6:$F$300,"Concluído"))&amp;" / "&amp;(COUNTIF('Clarice'!$B$6:$B$300,$A61)+COUNTIF('Luisa'!$B$6:$B$300,$A61)+COUNTIF('Lui'!$B$6:$B$300,$A61)+COUNTIF('Thaís'!$B$6:$B$300,$A61)+COUNTIF('Daniel'!$B$6:$B$300,$A61)+COUNTIF('Fernando'!$B$6:$B$300,$A61)+COUNTIF('Stephanie'!$B$6:$B$300,$A61)+COUNTIF('Fox'!$B$6:$B$300,$A61)+COUNTIF('Bruna'!$B$6:$B$300,$A61)+COUNTIF('Stella'!$B$6:$B$300,$A61)+COUNTIF('Igor'!$B$6:$B$300,$A61)))</f>
        <v/>
      </c>
      <c r="K61" s="19" t="n"/>
      <c r="L61" s="19" t="n"/>
      <c r="M61" s="18" t="n">
        <v>46204</v>
      </c>
      <c r="N61" s="18" t="n">
        <v>46213</v>
      </c>
      <c r="O61" s="19" t="n"/>
      <c r="P61" s="20">
        <f>IF($A61="","",IF(M61&lt;&gt;"",M61,IF(K61&lt;&gt;"",K61,"")))</f>
        <v/>
      </c>
      <c r="Q61" s="20">
        <f>IF($A61="","",IF(N61&lt;&gt;"",N61,IF(L61&lt;&gt;"",L61,"")))</f>
        <v/>
      </c>
      <c r="R61" s="15" t="n"/>
      <c r="S61" s="16">
        <f t="array" ref="S61">IF($A61="","",_xlfn.TEXTJOIN(CHAR(10),TRUE,IF('Clarice'!$B$6:$B$300=$A61,"Clarice"&amp;IF('Clarice'!$E$6:$E$300="",""," : "&amp;'Clarice'!$E$6:$E$300)&amp;" ["&amp;'Clarice'!$F$6:$F$300&amp;"]",""),IF('Luisa'!$B$6:$B$300=$A61,"Luisa"&amp;IF('Luisa'!$E$6:$E$300="",""," : "&amp;'Luisa'!$E$6:$E$300)&amp;" ["&amp;'Luisa'!$F$6:$F$300&amp;"]",""),IF('Lui'!$B$6:$B$300=$A61,"Lui"&amp;IF('Lui'!$E$6:$E$300="",""," : "&amp;'Lui'!$E$6:$E$300)&amp;" ["&amp;'Lui'!$F$6:$F$300&amp;"]",""),IF('Thaís'!$B$6:$B$300=$A61,"Thaís"&amp;IF('Thaís'!$E$6:$E$300="",""," : "&amp;'Thaís'!$E$6:$E$300)&amp;" ["&amp;'Thaís'!$F$6:$F$300&amp;"]",""),IF('Daniel'!$B$6:$B$300=$A61,"Daniel"&amp;IF('Daniel'!$E$6:$E$300="",""," : "&amp;'Daniel'!$E$6:$E$300)&amp;" ["&amp;'Daniel'!$F$6:$F$300&amp;"]",""),IF('Fernando'!$B$6:$B$300=$A61,"Fernando"&amp;IF('Fernando'!$E$6:$E$300="",""," : "&amp;'Fernando'!$E$6:$E$300)&amp;" ["&amp;'Fernando'!$F$6:$F$300&amp;"]",""),IF('Stephanie'!$B$6:$B$300=$A61,"Stephanie"&amp;IF('Stephanie'!$E$6:$E$300="",""," : "&amp;'Stephanie'!$E$6:$E$300)&amp;" ["&amp;'Stephanie'!$F$6:$F$300&amp;"]",""),IF('Fox'!$B$6:$B$300=$A61,"Fox"&amp;IF('Fox'!$E$6:$E$300="",""," : "&amp;'Fox'!$E$6:$E$300)&amp;" ["&amp;'Fox'!$F$6:$F$300&amp;"]",""),IF('Bruna'!$B$6:$B$300=$A61,"Bruna"&amp;IF('Bruna'!$E$6:$E$300="",""," : "&amp;'Bruna'!$E$6:$E$300)&amp;" ["&amp;'Bruna'!$F$6:$F$300&amp;"]",""),IF('Stella'!$B$6:$B$300=$A61,"Stella"&amp;IF('Stella'!$E$6:$E$300="",""," : "&amp;'Stella'!$E$6:$E$300)&amp;" ["&amp;'Stella'!$F$6:$F$300&amp;"]",""),IF('Igor'!$B$6:$B$300=$A61,"Igor"&amp;IF('Igor'!$E$6:$E$300="",""," : "&amp;'Igor'!$E$6:$E$300)&amp;" ["&amp;'Igor'!$F$6:$F$300&amp;"]","")))</f>
        <v/>
      </c>
    </row>
    <row r="62" ht="20" customHeight="1">
      <c r="A62" s="11" t="n"/>
      <c r="B62" s="11" t="inlineStr">
        <is>
          <t>Etapa 2: Construção das métricas | Atividade 7: Operacionalização das métricas | Atividade 8: Aplicação das métricas</t>
        </is>
      </c>
      <c r="C62" s="11" t="inlineStr">
        <is>
          <t>3. Aplicação da DM</t>
        </is>
      </c>
      <c r="D62" s="11" t="n"/>
      <c r="E62" s="11" t="inlineStr">
        <is>
          <t>3. Aplicação da DM</t>
        </is>
      </c>
      <c r="F62" s="11" t="n"/>
      <c r="G62" s="11">
        <f>IF($A62="","",_xlfn.TEXTJOIN("; ",TRUE,IF(COUNTIF('Clarice'!$B$6:$B$300,$A62)&gt;0,"Clarice",""),IF(COUNTIF('Luisa'!$B$6:$B$300,$A62)&gt;0,"Luisa",""),IF(COUNTIF('Lui'!$B$6:$B$300,$A62)&gt;0,"Lui",""),IF(COUNTIF('Thaís'!$B$6:$B$300,$A62)&gt;0,"Thaís",""),IF(COUNTIF('Daniel'!$B$6:$B$300,$A62)&gt;0,"Daniel",""),IF(COUNTIF('Fernando'!$B$6:$B$300,$A62)&gt;0,"Fernando",""),IF(COUNTIF('Stephanie'!$B$6:$B$300,$A62)&gt;0,"Stephanie",""),IF(COUNTIF('Fox'!$B$6:$B$300,$A62)&gt;0,"Fox",""),IF(COUNTIF('Bruna'!$B$6:$B$300,$A62)&gt;0,"Bruna",""),IF(COUNTIF('Stella'!$B$6:$B$300,$A62)&gt;0,"Stella",""),IF(COUNTIF('Igor'!$B$6:$B$300,$A62)&gt;0,"Igor","")))</f>
        <v/>
      </c>
      <c r="H62" s="11" t="n"/>
      <c r="I62" s="11" t="n"/>
      <c r="J62" s="11">
        <f>IF(OR($A62="",(COUNTIF('Clarice'!$B$6:$B$300,$A62)+COUNTIF('Luisa'!$B$6:$B$300,$A62)+COUNTIF('Lui'!$B$6:$B$300,$A62)+COUNTIF('Thaís'!$B$6:$B$300,$A62)+COUNTIF('Daniel'!$B$6:$B$300,$A62)+COUNTIF('Fernando'!$B$6:$B$300,$A62)+COUNTIF('Stephanie'!$B$6:$B$300,$A62)+COUNTIF('Fox'!$B$6:$B$300,$A62)+COUNTIF('Bruna'!$B$6:$B$300,$A62)+COUNTIF('Stella'!$B$6:$B$300,$A62)+COUNTIF('Igor'!$B$6:$B$300,$A62))=0),"",(COUNTIFS('Clarice'!$B$6:$B$300,$A62,'Clarice'!$F$6:$F$300,"Concluído")+COUNTIFS('Luisa'!$B$6:$B$300,$A62,'Luisa'!$F$6:$F$300,"Concluído")+COUNTIFS('Lui'!$B$6:$B$300,$A62,'Lui'!$F$6:$F$300,"Concluído")+COUNTIFS('Thaís'!$B$6:$B$300,$A62,'Thaís'!$F$6:$F$300,"Concluído")+COUNTIFS('Daniel'!$B$6:$B$300,$A62,'Daniel'!$F$6:$F$300,"Concluído")+COUNTIFS('Fernando'!$B$6:$B$300,$A62,'Fernando'!$F$6:$F$300,"Concluído")+COUNTIFS('Stephanie'!$B$6:$B$300,$A62,'Stephanie'!$F$6:$F$300,"Concluído")+COUNTIFS('Fox'!$B$6:$B$300,$A62,'Fox'!$F$6:$F$300,"Concluído")+COUNTIFS('Bruna'!$B$6:$B$300,$A62,'Bruna'!$F$6:$F$300,"Concluído")+COUNTIFS('Stella'!$B$6:$B$300,$A62,'Stella'!$F$6:$F$300,"Concluído")+COUNTIFS('Igor'!$B$6:$B$300,$A62,'Igor'!$F$6:$F$300,"Concluído"))&amp;" / "&amp;(COUNTIF('Clarice'!$B$6:$B$300,$A62)+COUNTIF('Luisa'!$B$6:$B$300,$A62)+COUNTIF('Lui'!$B$6:$B$300,$A62)+COUNTIF('Thaís'!$B$6:$B$300,$A62)+COUNTIF('Daniel'!$B$6:$B$300,$A62)+COUNTIF('Fernando'!$B$6:$B$300,$A62)+COUNTIF('Stephanie'!$B$6:$B$300,$A62)+COUNTIF('Fox'!$B$6:$B$300,$A62)+COUNTIF('Bruna'!$B$6:$B$300,$A62)+COUNTIF('Stella'!$B$6:$B$300,$A62)+COUNTIF('Igor'!$B$6:$B$300,$A62)))</f>
        <v/>
      </c>
      <c r="K62" s="11" t="n"/>
      <c r="L62" s="11" t="n"/>
      <c r="M62" s="11" t="n"/>
      <c r="N62" s="11" t="n"/>
      <c r="O62" s="11" t="n"/>
      <c r="P62" s="12">
        <f>IF($A62="","",IF(M62&lt;&gt;"",M62,IF(K62&lt;&gt;"",K62,"")))</f>
        <v/>
      </c>
      <c r="Q62" s="12">
        <f>IF($A62="","",IF(N62&lt;&gt;"",N62,IF(L62&lt;&gt;"",L62,"")))</f>
        <v/>
      </c>
      <c r="R62" s="11" t="n"/>
      <c r="S62" s="11">
        <f t="array" ref="S62">IF($A62="","",_xlfn.TEXTJOIN(CHAR(10),TRUE,IF('Clarice'!$B$6:$B$300=$A62,"Clarice"&amp;IF('Clarice'!$E$6:$E$300="",""," : "&amp;'Clarice'!$E$6:$E$300)&amp;" ["&amp;'Clarice'!$F$6:$F$300&amp;"]",""),IF('Luisa'!$B$6:$B$300=$A62,"Luisa"&amp;IF('Luisa'!$E$6:$E$300="",""," : "&amp;'Luisa'!$E$6:$E$300)&amp;" ["&amp;'Luisa'!$F$6:$F$300&amp;"]",""),IF('Lui'!$B$6:$B$300=$A62,"Lui"&amp;IF('Lui'!$E$6:$E$300="",""," : "&amp;'Lui'!$E$6:$E$300)&amp;" ["&amp;'Lui'!$F$6:$F$300&amp;"]",""),IF('Thaís'!$B$6:$B$300=$A62,"Thaís"&amp;IF('Thaís'!$E$6:$E$300="",""," : "&amp;'Thaís'!$E$6:$E$300)&amp;" ["&amp;'Thaís'!$F$6:$F$300&amp;"]",""),IF('Daniel'!$B$6:$B$300=$A62,"Daniel"&amp;IF('Daniel'!$E$6:$E$300="",""," : "&amp;'Daniel'!$E$6:$E$300)&amp;" ["&amp;'Daniel'!$F$6:$F$300&amp;"]",""),IF('Fernando'!$B$6:$B$300=$A62,"Fernando"&amp;IF('Fernando'!$E$6:$E$300="",""," : "&amp;'Fernando'!$E$6:$E$300)&amp;" ["&amp;'Fernando'!$F$6:$F$300&amp;"]",""),IF('Stephanie'!$B$6:$B$300=$A62,"Stephanie"&amp;IF('Stephanie'!$E$6:$E$300="",""," : "&amp;'Stephanie'!$E$6:$E$300)&amp;" ["&amp;'Stephanie'!$F$6:$F$300&amp;"]",""),IF('Fox'!$B$6:$B$300=$A62,"Fox"&amp;IF('Fox'!$E$6:$E$300="",""," : "&amp;'Fox'!$E$6:$E$300)&amp;" ["&amp;'Fox'!$F$6:$F$300&amp;"]",""),IF('Bruna'!$B$6:$B$300=$A62,"Bruna"&amp;IF('Bruna'!$E$6:$E$300="",""," : "&amp;'Bruna'!$E$6:$E$300)&amp;" ["&amp;'Bruna'!$F$6:$F$300&amp;"]",""),IF('Stella'!$B$6:$B$300=$A62,"Stella"&amp;IF('Stella'!$E$6:$E$300="",""," : "&amp;'Stella'!$E$6:$E$300)&amp;" ["&amp;'Stella'!$F$6:$F$300&amp;"]",""),IF('Igor'!$B$6:$B$300=$A62,"Igor"&amp;IF('Igor'!$E$6:$E$300="",""," : "&amp;'Igor'!$E$6:$E$300)&amp;" ["&amp;'Igor'!$F$6:$F$300&amp;"]","")))</f>
        <v/>
      </c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</row>
    <row r="63" ht="65.5" customHeight="1">
      <c r="A63" s="13" t="inlineStr">
        <is>
          <t>DM-001</t>
        </is>
      </c>
      <c r="B63" s="14" t="inlineStr">
        <is>
          <t>Etapa 2: Construção das métricas | Atividade 7: Operacionalização das métricas | Atividade 8: Aplicação das métricas</t>
        </is>
      </c>
      <c r="C63" s="14" t="inlineStr">
        <is>
          <t>3. Aplicação da DM</t>
        </is>
      </c>
      <c r="D63" s="14" t="n"/>
      <c r="E63" s="15" t="inlineStr">
        <is>
          <t>Elaboração da metodologia de aplicação da métrica</t>
        </is>
      </c>
      <c r="F63" s="13" t="n"/>
      <c r="G63" s="16">
        <f>IF($A63="","",_xlfn.TEXTJOIN("; ",TRUE,IF(COUNTIF('Clarice'!$B$6:$B$300,$A63)&gt;0,"Clarice",""),IF(COUNTIF('Luisa'!$B$6:$B$300,$A63)&gt;0,"Luisa",""),IF(COUNTIF('Lui'!$B$6:$B$300,$A63)&gt;0,"Lui",""),IF(COUNTIF('Thaís'!$B$6:$B$300,$A63)&gt;0,"Thaís",""),IF(COUNTIF('Daniel'!$B$6:$B$300,$A63)&gt;0,"Daniel",""),IF(COUNTIF('Fernando'!$B$6:$B$300,$A63)&gt;0,"Fernando",""),IF(COUNTIF('Stephanie'!$B$6:$B$300,$A63)&gt;0,"Stephanie",""),IF(COUNTIF('Fox'!$B$6:$B$300,$A63)&gt;0,"Fox",""),IF(COUNTIF('Bruna'!$B$6:$B$300,$A63)&gt;0,"Bruna",""),IF(COUNTIF('Stella'!$B$6:$B$300,$A63)&gt;0,"Stella",""),IF(COUNTIF('Igor'!$B$6:$B$300,$A63)&gt;0,"Igor","")))</f>
        <v/>
      </c>
      <c r="H63" s="13" t="n"/>
      <c r="I63" s="13" t="inlineStr">
        <is>
          <t>Em andamento</t>
        </is>
      </c>
      <c r="J63" s="17">
        <f>IF(OR($A63="",(COUNTIF('Clarice'!$B$6:$B$300,$A63)+COUNTIF('Luisa'!$B$6:$B$300,$A63)+COUNTIF('Lui'!$B$6:$B$300,$A63)+COUNTIF('Thaís'!$B$6:$B$300,$A63)+COUNTIF('Daniel'!$B$6:$B$300,$A63)+COUNTIF('Fernando'!$B$6:$B$300,$A63)+COUNTIF('Stephanie'!$B$6:$B$300,$A63)+COUNTIF('Fox'!$B$6:$B$300,$A63)+COUNTIF('Bruna'!$B$6:$B$300,$A63)+COUNTIF('Stella'!$B$6:$B$300,$A63)+COUNTIF('Igor'!$B$6:$B$300,$A63))=0),"",(COUNTIFS('Clarice'!$B$6:$B$300,$A63,'Clarice'!$F$6:$F$300,"Concluído")+COUNTIFS('Luisa'!$B$6:$B$300,$A63,'Luisa'!$F$6:$F$300,"Concluído")+COUNTIFS('Lui'!$B$6:$B$300,$A63,'Lui'!$F$6:$F$300,"Concluído")+COUNTIFS('Thaís'!$B$6:$B$300,$A63,'Thaís'!$F$6:$F$300,"Concluído")+COUNTIFS('Daniel'!$B$6:$B$300,$A63,'Daniel'!$F$6:$F$300,"Concluído")+COUNTIFS('Fernando'!$B$6:$B$300,$A63,'Fernando'!$F$6:$F$300,"Concluído")+COUNTIFS('Stephanie'!$B$6:$B$300,$A63,'Stephanie'!$F$6:$F$300,"Concluído")+COUNTIFS('Fox'!$B$6:$B$300,$A63,'Fox'!$F$6:$F$300,"Concluído")+COUNTIFS('Bruna'!$B$6:$B$300,$A63,'Bruna'!$F$6:$F$300,"Concluído")+COUNTIFS('Stella'!$B$6:$B$300,$A63,'Stella'!$F$6:$F$300,"Concluído")+COUNTIFS('Igor'!$B$6:$B$300,$A63,'Igor'!$F$6:$F$300,"Concluído"))&amp;" / "&amp;(COUNTIF('Clarice'!$B$6:$B$300,$A63)+COUNTIF('Luisa'!$B$6:$B$300,$A63)+COUNTIF('Lui'!$B$6:$B$300,$A63)+COUNTIF('Thaís'!$B$6:$B$300,$A63)+COUNTIF('Daniel'!$B$6:$B$300,$A63)+COUNTIF('Fernando'!$B$6:$B$300,$A63)+COUNTIF('Stephanie'!$B$6:$B$300,$A63)+COUNTIF('Fox'!$B$6:$B$300,$A63)+COUNTIF('Bruna'!$B$6:$B$300,$A63)+COUNTIF('Stella'!$B$6:$B$300,$A63)+COUNTIF('Igor'!$B$6:$B$300,$A63)))</f>
        <v/>
      </c>
      <c r="K63" s="18" t="n">
        <v>46104</v>
      </c>
      <c r="L63" s="18" t="n">
        <v>46114</v>
      </c>
      <c r="M63" s="18" t="n">
        <v>46104</v>
      </c>
      <c r="N63" s="18" t="n">
        <v>46206</v>
      </c>
      <c r="O63" s="19" t="n"/>
      <c r="P63" s="20">
        <f>IF($A63="","",IF(M63&lt;&gt;"",M63,IF(K63&lt;&gt;"",K63,"")))</f>
        <v/>
      </c>
      <c r="Q63" s="20">
        <f>IF($A63="","",IF(N63&lt;&gt;"",N63,IF(L63&lt;&gt;"",L63,"")))</f>
        <v/>
      </c>
      <c r="R63" s="15" t="inlineStr">
        <is>
          <t>Colocar o que é comum e específico de cada unidade</t>
        </is>
      </c>
      <c r="S63" s="16">
        <f t="array" ref="S63">IF($A63="","",_xlfn.TEXTJOIN(CHAR(10),TRUE,IF('Clarice'!$B$6:$B$300=$A63,"Clarice"&amp;IF('Clarice'!$E$6:$E$300="",""," : "&amp;'Clarice'!$E$6:$E$300)&amp;" ["&amp;'Clarice'!$F$6:$F$300&amp;"]",""),IF('Luisa'!$B$6:$B$300=$A63,"Luisa"&amp;IF('Luisa'!$E$6:$E$300="",""," : "&amp;'Luisa'!$E$6:$E$300)&amp;" ["&amp;'Luisa'!$F$6:$F$300&amp;"]",""),IF('Lui'!$B$6:$B$300=$A63,"Lui"&amp;IF('Lui'!$E$6:$E$300="",""," : "&amp;'Lui'!$E$6:$E$300)&amp;" ["&amp;'Lui'!$F$6:$F$300&amp;"]",""),IF('Thaís'!$B$6:$B$300=$A63,"Thaís"&amp;IF('Thaís'!$E$6:$E$300="",""," : "&amp;'Thaís'!$E$6:$E$300)&amp;" ["&amp;'Thaís'!$F$6:$F$300&amp;"]",""),IF('Daniel'!$B$6:$B$300=$A63,"Daniel"&amp;IF('Daniel'!$E$6:$E$300="",""," : "&amp;'Daniel'!$E$6:$E$300)&amp;" ["&amp;'Daniel'!$F$6:$F$300&amp;"]",""),IF('Fernando'!$B$6:$B$300=$A63,"Fernando"&amp;IF('Fernando'!$E$6:$E$300="",""," : "&amp;'Fernando'!$E$6:$E$300)&amp;" ["&amp;'Fernando'!$F$6:$F$300&amp;"]",""),IF('Stephanie'!$B$6:$B$300=$A63,"Stephanie"&amp;IF('Stephanie'!$E$6:$E$300="",""," : "&amp;'Stephanie'!$E$6:$E$300)&amp;" ["&amp;'Stephanie'!$F$6:$F$300&amp;"]",""),IF('Fox'!$B$6:$B$300=$A63,"Fox"&amp;IF('Fox'!$E$6:$E$300="",""," : "&amp;'Fox'!$E$6:$E$300)&amp;" ["&amp;'Fox'!$F$6:$F$300&amp;"]",""),IF('Bruna'!$B$6:$B$300=$A63,"Bruna"&amp;IF('Bruna'!$E$6:$E$300="",""," : "&amp;'Bruna'!$E$6:$E$300)&amp;" ["&amp;'Bruna'!$F$6:$F$300&amp;"]",""),IF('Stella'!$B$6:$B$300=$A63,"Stella"&amp;IF('Stella'!$E$6:$E$300="",""," : "&amp;'Stella'!$E$6:$E$300)&amp;" ["&amp;'Stella'!$F$6:$F$300&amp;"]",""),IF('Igor'!$B$6:$B$300=$A63,"Igor"&amp;IF('Igor'!$E$6:$E$300="",""," : "&amp;'Igor'!$E$6:$E$300)&amp;" ["&amp;'Igor'!$F$6:$F$300&amp;"]","")))</f>
        <v/>
      </c>
    </row>
    <row r="64">
      <c r="A64" s="21" t="n"/>
      <c r="B64" s="21" t="inlineStr">
        <is>
          <t>Etapa 2: Construção das métricas | Atividade 7: Operacionalização das métricas | Atividade 8: Aplicação das métricas</t>
        </is>
      </c>
      <c r="C64" s="21" t="inlineStr">
        <is>
          <t>3. Aplicação da DM</t>
        </is>
      </c>
      <c r="D64" s="21" t="inlineStr">
        <is>
          <t>UTGCA</t>
        </is>
      </c>
      <c r="E64" s="21" t="inlineStr">
        <is>
          <t>UTGCA</t>
        </is>
      </c>
      <c r="F64" s="21" t="inlineStr">
        <is>
          <t>Stephanie</t>
        </is>
      </c>
      <c r="G64" s="21">
        <f>IF($A64="","",_xlfn.TEXTJOIN("; ",TRUE,IF(COUNTIF('Clarice'!$B$6:$B$300,$A64)&gt;0,"Clarice",""),IF(COUNTIF('Luisa'!$B$6:$B$300,$A64)&gt;0,"Luisa",""),IF(COUNTIF('Lui'!$B$6:$B$300,$A64)&gt;0,"Lui",""),IF(COUNTIF('Thaís'!$B$6:$B$300,$A64)&gt;0,"Thaís",""),IF(COUNTIF('Daniel'!$B$6:$B$300,$A64)&gt;0,"Daniel",""),IF(COUNTIF('Fernando'!$B$6:$B$300,$A64)&gt;0,"Fernando",""),IF(COUNTIF('Stephanie'!$B$6:$B$300,$A64)&gt;0,"Stephanie",""),IF(COUNTIF('Fox'!$B$6:$B$300,$A64)&gt;0,"Fox",""),IF(COUNTIF('Bruna'!$B$6:$B$300,$A64)&gt;0,"Bruna",""),IF(COUNTIF('Stella'!$B$6:$B$300,$A64)&gt;0,"Stella",""),IF(COUNTIF('Igor'!$B$6:$B$300,$A64)&gt;0,"Igor","")))</f>
        <v/>
      </c>
      <c r="H64" s="21" t="n"/>
      <c r="I64" s="21" t="n"/>
      <c r="J64" s="21">
        <f>IF(OR($A64="",(COUNTIF('Clarice'!$B$6:$B$300,$A64)+COUNTIF('Luisa'!$B$6:$B$300,$A64)+COUNTIF('Lui'!$B$6:$B$300,$A64)+COUNTIF('Thaís'!$B$6:$B$300,$A64)+COUNTIF('Daniel'!$B$6:$B$300,$A64)+COUNTIF('Fernando'!$B$6:$B$300,$A64)+COUNTIF('Stephanie'!$B$6:$B$300,$A64)+COUNTIF('Fox'!$B$6:$B$300,$A64)+COUNTIF('Bruna'!$B$6:$B$300,$A64)+COUNTIF('Stella'!$B$6:$B$300,$A64)+COUNTIF('Igor'!$B$6:$B$300,$A64))=0),"",(COUNTIFS('Clarice'!$B$6:$B$300,$A64,'Clarice'!$F$6:$F$300,"Concluído")+COUNTIFS('Luisa'!$B$6:$B$300,$A64,'Luisa'!$F$6:$F$300,"Concluído")+COUNTIFS('Lui'!$B$6:$B$300,$A64,'Lui'!$F$6:$F$300,"Concluído")+COUNTIFS('Thaís'!$B$6:$B$300,$A64,'Thaís'!$F$6:$F$300,"Concluído")+COUNTIFS('Daniel'!$B$6:$B$300,$A64,'Daniel'!$F$6:$F$300,"Concluído")+COUNTIFS('Fernando'!$B$6:$B$300,$A64,'Fernando'!$F$6:$F$300,"Concluído")+COUNTIFS('Stephanie'!$B$6:$B$300,$A64,'Stephanie'!$F$6:$F$300,"Concluído")+COUNTIFS('Fox'!$B$6:$B$300,$A64,'Fox'!$F$6:$F$300,"Concluído")+COUNTIFS('Bruna'!$B$6:$B$300,$A64,'Bruna'!$F$6:$F$300,"Concluído")+COUNTIFS('Stella'!$B$6:$B$300,$A64,'Stella'!$F$6:$F$300,"Concluído")+COUNTIFS('Igor'!$B$6:$B$300,$A64,'Igor'!$F$6:$F$300,"Concluído"))&amp;" / "&amp;(COUNTIF('Clarice'!$B$6:$B$300,$A64)+COUNTIF('Luisa'!$B$6:$B$300,$A64)+COUNTIF('Lui'!$B$6:$B$300,$A64)+COUNTIF('Thaís'!$B$6:$B$300,$A64)+COUNTIF('Daniel'!$B$6:$B$300,$A64)+COUNTIF('Fernando'!$B$6:$B$300,$A64)+COUNTIF('Stephanie'!$B$6:$B$300,$A64)+COUNTIF('Fox'!$B$6:$B$300,$A64)+COUNTIF('Bruna'!$B$6:$B$300,$A64)+COUNTIF('Stella'!$B$6:$B$300,$A64)+COUNTIF('Igor'!$B$6:$B$300,$A64)))</f>
        <v/>
      </c>
      <c r="K64" s="21" t="n"/>
      <c r="L64" s="21" t="n"/>
      <c r="M64" s="21" t="n"/>
      <c r="N64" s="21" t="n"/>
      <c r="O64" s="21" t="n"/>
      <c r="P64" s="22">
        <f>IF($A64="","",IF(M64&lt;&gt;"",M64,IF(K64&lt;&gt;"",K64,"")))</f>
        <v/>
      </c>
      <c r="Q64" s="22">
        <f>IF($A64="","",IF(N64&lt;&gt;"",N64,IF(L64&lt;&gt;"",L64,"")))</f>
        <v/>
      </c>
      <c r="R64" s="21" t="n"/>
      <c r="S64" s="21">
        <f t="array" ref="S64">IF($A64="","",_xlfn.TEXTJOIN(CHAR(10),TRUE,IF('Clarice'!$B$6:$B$300=$A64,"Clarice"&amp;IF('Clarice'!$E$6:$E$300="",""," : "&amp;'Clarice'!$E$6:$E$300)&amp;" ["&amp;'Clarice'!$F$6:$F$300&amp;"]",""),IF('Luisa'!$B$6:$B$300=$A64,"Luisa"&amp;IF('Luisa'!$E$6:$E$300="",""," : "&amp;'Luisa'!$E$6:$E$300)&amp;" ["&amp;'Luisa'!$F$6:$F$300&amp;"]",""),IF('Lui'!$B$6:$B$300=$A64,"Lui"&amp;IF('Lui'!$E$6:$E$300="",""," : "&amp;'Lui'!$E$6:$E$300)&amp;" ["&amp;'Lui'!$F$6:$F$300&amp;"]",""),IF('Thaís'!$B$6:$B$300=$A64,"Thaís"&amp;IF('Thaís'!$E$6:$E$300="",""," : "&amp;'Thaís'!$E$6:$E$300)&amp;" ["&amp;'Thaís'!$F$6:$F$300&amp;"]",""),IF('Daniel'!$B$6:$B$300=$A64,"Daniel"&amp;IF('Daniel'!$E$6:$E$300="",""," : "&amp;'Daniel'!$E$6:$E$300)&amp;" ["&amp;'Daniel'!$F$6:$F$300&amp;"]",""),IF('Fernando'!$B$6:$B$300=$A64,"Fernando"&amp;IF('Fernando'!$E$6:$E$300="",""," : "&amp;'Fernando'!$E$6:$E$300)&amp;" ["&amp;'Fernando'!$F$6:$F$300&amp;"]",""),IF('Stephanie'!$B$6:$B$300=$A64,"Stephanie"&amp;IF('Stephanie'!$E$6:$E$300="",""," : "&amp;'Stephanie'!$E$6:$E$300)&amp;" ["&amp;'Stephanie'!$F$6:$F$300&amp;"]",""),IF('Fox'!$B$6:$B$300=$A64,"Fox"&amp;IF('Fox'!$E$6:$E$300="",""," : "&amp;'Fox'!$E$6:$E$300)&amp;" ["&amp;'Fox'!$F$6:$F$300&amp;"]",""),IF('Bruna'!$B$6:$B$300=$A64,"Bruna"&amp;IF('Bruna'!$E$6:$E$300="",""," : "&amp;'Bruna'!$E$6:$E$300)&amp;" ["&amp;'Bruna'!$F$6:$F$300&amp;"]",""),IF('Stella'!$B$6:$B$300=$A64,"Stella"&amp;IF('Stella'!$E$6:$E$300="",""," : "&amp;'Stella'!$E$6:$E$300)&amp;" ["&amp;'Stella'!$F$6:$F$300&amp;"]",""),IF('Igor'!$B$6:$B$300=$A64,"Igor"&amp;IF('Igor'!$E$6:$E$300="",""," : "&amp;'Igor'!$E$6:$E$300)&amp;" ["&amp;'Igor'!$F$6:$F$300&amp;"]","")))</f>
        <v/>
      </c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1" t="n"/>
      <c r="AQ64" s="21" t="n"/>
      <c r="AR64" s="21" t="n"/>
      <c r="AS64" s="21" t="n"/>
      <c r="AT64" s="21" t="n"/>
      <c r="AU64" s="21" t="n"/>
      <c r="AV64" s="21" t="n"/>
      <c r="AW64" s="21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21" t="n"/>
    </row>
    <row r="65" ht="28" customHeight="1">
      <c r="A65" s="13" t="inlineStr">
        <is>
          <t>DM-002</t>
        </is>
      </c>
      <c r="B65" s="14" t="inlineStr">
        <is>
          <t>Etapa 2: Construção das métricas | Atividade 7: Operacionalização das métricas | Atividade 8: Aplicação das métricas</t>
        </is>
      </c>
      <c r="C65" s="14" t="inlineStr">
        <is>
          <t>3. Aplicação da DM</t>
        </is>
      </c>
      <c r="D65" s="14" t="inlineStr">
        <is>
          <t>UTGCA</t>
        </is>
      </c>
      <c r="E65" s="15" t="inlineStr">
        <is>
          <t>Extrair dados primários (UTGCA)</t>
        </is>
      </c>
      <c r="F65" s="13" t="inlineStr">
        <is>
          <t>Stephanie</t>
        </is>
      </c>
      <c r="G65" s="16">
        <f>IF($A65="","",_xlfn.TEXTJOIN("; ",TRUE,IF(COUNTIF('Clarice'!$B$6:$B$300,$A65)&gt;0,"Clarice",""),IF(COUNTIF('Luisa'!$B$6:$B$300,$A65)&gt;0,"Luisa",""),IF(COUNTIF('Lui'!$B$6:$B$300,$A65)&gt;0,"Lui",""),IF(COUNTIF('Thaís'!$B$6:$B$300,$A65)&gt;0,"Thaís",""),IF(COUNTIF('Daniel'!$B$6:$B$300,$A65)&gt;0,"Daniel",""),IF(COUNTIF('Fernando'!$B$6:$B$300,$A65)&gt;0,"Fernando",""),IF(COUNTIF('Stephanie'!$B$6:$B$300,$A65)&gt;0,"Stephanie",""),IF(COUNTIF('Fox'!$B$6:$B$300,$A65)&gt;0,"Fox",""),IF(COUNTIF('Bruna'!$B$6:$B$300,$A65)&gt;0,"Bruna",""),IF(COUNTIF('Stella'!$B$6:$B$300,$A65)&gt;0,"Stella",""),IF(COUNTIF('Igor'!$B$6:$B$300,$A65)&gt;0,"Igor","")))</f>
        <v/>
      </c>
      <c r="H65" s="13" t="n"/>
      <c r="I65" s="13" t="inlineStr">
        <is>
          <t>Concluído</t>
        </is>
      </c>
      <c r="J65" s="17">
        <f>IF(OR($A65="",(COUNTIF('Clarice'!$B$6:$B$300,$A65)+COUNTIF('Luisa'!$B$6:$B$300,$A65)+COUNTIF('Lui'!$B$6:$B$300,$A65)+COUNTIF('Thaís'!$B$6:$B$300,$A65)+COUNTIF('Daniel'!$B$6:$B$300,$A65)+COUNTIF('Fernando'!$B$6:$B$300,$A65)+COUNTIF('Stephanie'!$B$6:$B$300,$A65)+COUNTIF('Fox'!$B$6:$B$300,$A65)+COUNTIF('Bruna'!$B$6:$B$300,$A65)+COUNTIF('Stella'!$B$6:$B$300,$A65)+COUNTIF('Igor'!$B$6:$B$300,$A65))=0),"",(COUNTIFS('Clarice'!$B$6:$B$300,$A65,'Clarice'!$F$6:$F$300,"Concluído")+COUNTIFS('Luisa'!$B$6:$B$300,$A65,'Luisa'!$F$6:$F$300,"Concluído")+COUNTIFS('Lui'!$B$6:$B$300,$A65,'Lui'!$F$6:$F$300,"Concluído")+COUNTIFS('Thaís'!$B$6:$B$300,$A65,'Thaís'!$F$6:$F$300,"Concluído")+COUNTIFS('Daniel'!$B$6:$B$300,$A65,'Daniel'!$F$6:$F$300,"Concluído")+COUNTIFS('Fernando'!$B$6:$B$300,$A65,'Fernando'!$F$6:$F$300,"Concluído")+COUNTIFS('Stephanie'!$B$6:$B$300,$A65,'Stephanie'!$F$6:$F$300,"Concluído")+COUNTIFS('Fox'!$B$6:$B$300,$A65,'Fox'!$F$6:$F$300,"Concluído")+COUNTIFS('Bruna'!$B$6:$B$300,$A65,'Bruna'!$F$6:$F$300,"Concluído")+COUNTIFS('Stella'!$B$6:$B$300,$A65,'Stella'!$F$6:$F$300,"Concluído")+COUNTIFS('Igor'!$B$6:$B$300,$A65,'Igor'!$F$6:$F$300,"Concluído"))&amp;" / "&amp;(COUNTIF('Clarice'!$B$6:$B$300,$A65)+COUNTIF('Luisa'!$B$6:$B$300,$A65)+COUNTIF('Lui'!$B$6:$B$300,$A65)+COUNTIF('Thaís'!$B$6:$B$300,$A65)+COUNTIF('Daniel'!$B$6:$B$300,$A65)+COUNTIF('Fernando'!$B$6:$B$300,$A65)+COUNTIF('Stephanie'!$B$6:$B$300,$A65)+COUNTIF('Fox'!$B$6:$B$300,$A65)+COUNTIF('Bruna'!$B$6:$B$300,$A65)+COUNTIF('Stella'!$B$6:$B$300,$A65)+COUNTIF('Igor'!$B$6:$B$300,$A65)))</f>
        <v/>
      </c>
      <c r="K65" s="18" t="n">
        <v>46097</v>
      </c>
      <c r="L65" s="18" t="n">
        <v>46108</v>
      </c>
      <c r="M65" s="19" t="n"/>
      <c r="N65" s="19" t="n"/>
      <c r="O65" s="19" t="n"/>
      <c r="P65" s="20">
        <f>IF($A65="","",IF(M65&lt;&gt;"",M65,IF(K65&lt;&gt;"",K65,"")))</f>
        <v/>
      </c>
      <c r="Q65" s="20">
        <f>IF($A65="","",IF(N65&lt;&gt;"",N65,IF(L65&lt;&gt;"",L65,"")))</f>
        <v/>
      </c>
      <c r="R65" s="15" t="inlineStr">
        <is>
          <t>Conferir se as fotos estão tabeladas</t>
        </is>
      </c>
      <c r="S65" s="16">
        <f t="array" ref="S65">IF($A65="","",_xlfn.TEXTJOIN(CHAR(10),TRUE,IF('Clarice'!$B$6:$B$300=$A65,"Clarice"&amp;IF('Clarice'!$E$6:$E$300="",""," : "&amp;'Clarice'!$E$6:$E$300)&amp;" ["&amp;'Clarice'!$F$6:$F$300&amp;"]",""),IF('Luisa'!$B$6:$B$300=$A65,"Luisa"&amp;IF('Luisa'!$E$6:$E$300="",""," : "&amp;'Luisa'!$E$6:$E$300)&amp;" ["&amp;'Luisa'!$F$6:$F$300&amp;"]",""),IF('Lui'!$B$6:$B$300=$A65,"Lui"&amp;IF('Lui'!$E$6:$E$300="",""," : "&amp;'Lui'!$E$6:$E$300)&amp;" ["&amp;'Lui'!$F$6:$F$300&amp;"]",""),IF('Thaís'!$B$6:$B$300=$A65,"Thaís"&amp;IF('Thaís'!$E$6:$E$300="",""," : "&amp;'Thaís'!$E$6:$E$300)&amp;" ["&amp;'Thaís'!$F$6:$F$300&amp;"]",""),IF('Daniel'!$B$6:$B$300=$A65,"Daniel"&amp;IF('Daniel'!$E$6:$E$300="",""," : "&amp;'Daniel'!$E$6:$E$300)&amp;" ["&amp;'Daniel'!$F$6:$F$300&amp;"]",""),IF('Fernando'!$B$6:$B$300=$A65,"Fernando"&amp;IF('Fernando'!$E$6:$E$300="",""," : "&amp;'Fernando'!$E$6:$E$300)&amp;" ["&amp;'Fernando'!$F$6:$F$300&amp;"]",""),IF('Stephanie'!$B$6:$B$300=$A65,"Stephanie"&amp;IF('Stephanie'!$E$6:$E$300="",""," : "&amp;'Stephanie'!$E$6:$E$300)&amp;" ["&amp;'Stephanie'!$F$6:$F$300&amp;"]",""),IF('Fox'!$B$6:$B$300=$A65,"Fox"&amp;IF('Fox'!$E$6:$E$300="",""," : "&amp;'Fox'!$E$6:$E$300)&amp;" ["&amp;'Fox'!$F$6:$F$300&amp;"]",""),IF('Bruna'!$B$6:$B$300=$A65,"Bruna"&amp;IF('Bruna'!$E$6:$E$300="",""," : "&amp;'Bruna'!$E$6:$E$300)&amp;" ["&amp;'Bruna'!$F$6:$F$300&amp;"]",""),IF('Stella'!$B$6:$B$300=$A65,"Stella"&amp;IF('Stella'!$E$6:$E$300="",""," : "&amp;'Stella'!$E$6:$E$300)&amp;" ["&amp;'Stella'!$F$6:$F$300&amp;"]",""),IF('Igor'!$B$6:$B$300=$A65,"Igor"&amp;IF('Igor'!$E$6:$E$300="",""," : "&amp;'Igor'!$E$6:$E$300)&amp;" ["&amp;'Igor'!$F$6:$F$300&amp;"]","")))</f>
        <v/>
      </c>
    </row>
    <row r="66" ht="28" customHeight="1">
      <c r="A66" s="13" t="inlineStr">
        <is>
          <t>DM-003</t>
        </is>
      </c>
      <c r="B66" s="14" t="inlineStr">
        <is>
          <t>Etapa 2: Construção das métricas | Atividade 7: Operacionalização das métricas | Atividade 8: Aplicação das métricas</t>
        </is>
      </c>
      <c r="C66" s="14" t="inlineStr">
        <is>
          <t>3. Aplicação da DM</t>
        </is>
      </c>
      <c r="D66" s="14" t="inlineStr">
        <is>
          <t>UTGCA</t>
        </is>
      </c>
      <c r="E66" s="15" t="inlineStr">
        <is>
          <t>Compreender o histórico da unidade (UTGCA)</t>
        </is>
      </c>
      <c r="F66" s="13" t="inlineStr">
        <is>
          <t>Stephanie</t>
        </is>
      </c>
      <c r="G66" s="16">
        <f>IF($A66="","",_xlfn.TEXTJOIN("; ",TRUE,IF(COUNTIF('Clarice'!$B$6:$B$300,$A66)&gt;0,"Clarice",""),IF(COUNTIF('Luisa'!$B$6:$B$300,$A66)&gt;0,"Luisa",""),IF(COUNTIF('Lui'!$B$6:$B$300,$A66)&gt;0,"Lui",""),IF(COUNTIF('Thaís'!$B$6:$B$300,$A66)&gt;0,"Thaís",""),IF(COUNTIF('Daniel'!$B$6:$B$300,$A66)&gt;0,"Daniel",""),IF(COUNTIF('Fernando'!$B$6:$B$300,$A66)&gt;0,"Fernando",""),IF(COUNTIF('Stephanie'!$B$6:$B$300,$A66)&gt;0,"Stephanie",""),IF(COUNTIF('Fox'!$B$6:$B$300,$A66)&gt;0,"Fox",""),IF(COUNTIF('Bruna'!$B$6:$B$300,$A66)&gt;0,"Bruna",""),IF(COUNTIF('Stella'!$B$6:$B$300,$A66)&gt;0,"Stella",""),IF(COUNTIF('Igor'!$B$6:$B$300,$A66)&gt;0,"Igor","")))</f>
        <v/>
      </c>
      <c r="H66" s="13" t="n"/>
      <c r="I66" s="13" t="inlineStr">
        <is>
          <t>Concluído</t>
        </is>
      </c>
      <c r="J66" s="17">
        <f>IF(OR($A66="",(COUNTIF('Clarice'!$B$6:$B$300,$A66)+COUNTIF('Luisa'!$B$6:$B$300,$A66)+COUNTIF('Lui'!$B$6:$B$300,$A66)+COUNTIF('Thaís'!$B$6:$B$300,$A66)+COUNTIF('Daniel'!$B$6:$B$300,$A66)+COUNTIF('Fernando'!$B$6:$B$300,$A66)+COUNTIF('Stephanie'!$B$6:$B$300,$A66)+COUNTIF('Fox'!$B$6:$B$300,$A66)+COUNTIF('Bruna'!$B$6:$B$300,$A66)+COUNTIF('Stella'!$B$6:$B$300,$A66)+COUNTIF('Igor'!$B$6:$B$300,$A66))=0),"",(COUNTIFS('Clarice'!$B$6:$B$300,$A66,'Clarice'!$F$6:$F$300,"Concluído")+COUNTIFS('Luisa'!$B$6:$B$300,$A66,'Luisa'!$F$6:$F$300,"Concluído")+COUNTIFS('Lui'!$B$6:$B$300,$A66,'Lui'!$F$6:$F$300,"Concluído")+COUNTIFS('Thaís'!$B$6:$B$300,$A66,'Thaís'!$F$6:$F$300,"Concluído")+COUNTIFS('Daniel'!$B$6:$B$300,$A66,'Daniel'!$F$6:$F$300,"Concluído")+COUNTIFS('Fernando'!$B$6:$B$300,$A66,'Fernando'!$F$6:$F$300,"Concluído")+COUNTIFS('Stephanie'!$B$6:$B$300,$A66,'Stephanie'!$F$6:$F$300,"Concluído")+COUNTIFS('Fox'!$B$6:$B$300,$A66,'Fox'!$F$6:$F$300,"Concluído")+COUNTIFS('Bruna'!$B$6:$B$300,$A66,'Bruna'!$F$6:$F$300,"Concluído")+COUNTIFS('Stella'!$B$6:$B$300,$A66,'Stella'!$F$6:$F$300,"Concluído")+COUNTIFS('Igor'!$B$6:$B$300,$A66,'Igor'!$F$6:$F$300,"Concluído"))&amp;" / "&amp;(COUNTIF('Clarice'!$B$6:$B$300,$A66)+COUNTIF('Luisa'!$B$6:$B$300,$A66)+COUNTIF('Lui'!$B$6:$B$300,$A66)+COUNTIF('Thaís'!$B$6:$B$300,$A66)+COUNTIF('Daniel'!$B$6:$B$300,$A66)+COUNTIF('Fernando'!$B$6:$B$300,$A66)+COUNTIF('Stephanie'!$B$6:$B$300,$A66)+COUNTIF('Fox'!$B$6:$B$300,$A66)+COUNTIF('Bruna'!$B$6:$B$300,$A66)+COUNTIF('Stella'!$B$6:$B$300,$A66)+COUNTIF('Igor'!$B$6:$B$300,$A66)))</f>
        <v/>
      </c>
      <c r="K66" s="18" t="n">
        <v>46097</v>
      </c>
      <c r="L66" s="18" t="n">
        <v>46108</v>
      </c>
      <c r="M66" s="19" t="n"/>
      <c r="N66" s="19" t="n"/>
      <c r="O66" s="19" t="n"/>
      <c r="P66" s="20">
        <f>IF($A66="","",IF(M66&lt;&gt;"",M66,IF(K66&lt;&gt;"",K66,"")))</f>
        <v/>
      </c>
      <c r="Q66" s="20">
        <f>IF($A66="","",IF(N66&lt;&gt;"",N66,IF(L66&lt;&gt;"",L66,"")))</f>
        <v/>
      </c>
      <c r="R66" s="15" t="n"/>
      <c r="S66" s="16">
        <f t="array" ref="S66">IF($A66="","",_xlfn.TEXTJOIN(CHAR(10),TRUE,IF('Clarice'!$B$6:$B$300=$A66,"Clarice"&amp;IF('Clarice'!$E$6:$E$300="",""," : "&amp;'Clarice'!$E$6:$E$300)&amp;" ["&amp;'Clarice'!$F$6:$F$300&amp;"]",""),IF('Luisa'!$B$6:$B$300=$A66,"Luisa"&amp;IF('Luisa'!$E$6:$E$300="",""," : "&amp;'Luisa'!$E$6:$E$300)&amp;" ["&amp;'Luisa'!$F$6:$F$300&amp;"]",""),IF('Lui'!$B$6:$B$300=$A66,"Lui"&amp;IF('Lui'!$E$6:$E$300="",""," : "&amp;'Lui'!$E$6:$E$300)&amp;" ["&amp;'Lui'!$F$6:$F$300&amp;"]",""),IF('Thaís'!$B$6:$B$300=$A66,"Thaís"&amp;IF('Thaís'!$E$6:$E$300="",""," : "&amp;'Thaís'!$E$6:$E$300)&amp;" ["&amp;'Thaís'!$F$6:$F$300&amp;"]",""),IF('Daniel'!$B$6:$B$300=$A66,"Daniel"&amp;IF('Daniel'!$E$6:$E$300="",""," : "&amp;'Daniel'!$E$6:$E$300)&amp;" ["&amp;'Daniel'!$F$6:$F$300&amp;"]",""),IF('Fernando'!$B$6:$B$300=$A66,"Fernando"&amp;IF('Fernando'!$E$6:$E$300="",""," : "&amp;'Fernando'!$E$6:$E$300)&amp;" ["&amp;'Fernando'!$F$6:$F$300&amp;"]",""),IF('Stephanie'!$B$6:$B$300=$A66,"Stephanie"&amp;IF('Stephanie'!$E$6:$E$300="",""," : "&amp;'Stephanie'!$E$6:$E$300)&amp;" ["&amp;'Stephanie'!$F$6:$F$300&amp;"]",""),IF('Fox'!$B$6:$B$300=$A66,"Fox"&amp;IF('Fox'!$E$6:$E$300="",""," : "&amp;'Fox'!$E$6:$E$300)&amp;" ["&amp;'Fox'!$F$6:$F$300&amp;"]",""),IF('Bruna'!$B$6:$B$300=$A66,"Bruna"&amp;IF('Bruna'!$E$6:$E$300="",""," : "&amp;'Bruna'!$E$6:$E$300)&amp;" ["&amp;'Bruna'!$F$6:$F$300&amp;"]",""),IF('Stella'!$B$6:$B$300=$A66,"Stella"&amp;IF('Stella'!$E$6:$E$300="",""," : "&amp;'Stella'!$E$6:$E$300)&amp;" ["&amp;'Stella'!$F$6:$F$300&amp;"]",""),IF('Igor'!$B$6:$B$300=$A66,"Igor"&amp;IF('Igor'!$E$6:$E$300="",""," : "&amp;'Igor'!$E$6:$E$300)&amp;" ["&amp;'Igor'!$F$6:$F$300&amp;"]","")))</f>
        <v/>
      </c>
    </row>
    <row r="67" ht="28" customHeight="1">
      <c r="A67" s="13" t="inlineStr">
        <is>
          <t>DM-004</t>
        </is>
      </c>
      <c r="B67" s="14" t="inlineStr">
        <is>
          <t>Etapa 2: Construção das métricas | Atividade 7: Operacionalização das métricas | Atividade 8: Aplicação das métricas</t>
        </is>
      </c>
      <c r="C67" s="14" t="inlineStr">
        <is>
          <t>3. Aplicação da DM</t>
        </is>
      </c>
      <c r="D67" s="14" t="inlineStr">
        <is>
          <t>UTGCA</t>
        </is>
      </c>
      <c r="E67" s="15" t="inlineStr">
        <is>
          <t>Extração e espacialização dos pontos de coleta dos dados (UTGCA)</t>
        </is>
      </c>
      <c r="F67" s="13" t="inlineStr">
        <is>
          <t>Stephanie</t>
        </is>
      </c>
      <c r="G67" s="16">
        <f>IF($A67="","",_xlfn.TEXTJOIN("; ",TRUE,IF(COUNTIF('Clarice'!$B$6:$B$300,$A67)&gt;0,"Clarice",""),IF(COUNTIF('Luisa'!$B$6:$B$300,$A67)&gt;0,"Luisa",""),IF(COUNTIF('Lui'!$B$6:$B$300,$A67)&gt;0,"Lui",""),IF(COUNTIF('Thaís'!$B$6:$B$300,$A67)&gt;0,"Thaís",""),IF(COUNTIF('Daniel'!$B$6:$B$300,$A67)&gt;0,"Daniel",""),IF(COUNTIF('Fernando'!$B$6:$B$300,$A67)&gt;0,"Fernando",""),IF(COUNTIF('Stephanie'!$B$6:$B$300,$A67)&gt;0,"Stephanie",""),IF(COUNTIF('Fox'!$B$6:$B$300,$A67)&gt;0,"Fox",""),IF(COUNTIF('Bruna'!$B$6:$B$300,$A67)&gt;0,"Bruna",""),IF(COUNTIF('Stella'!$B$6:$B$300,$A67)&gt;0,"Stella",""),IF(COUNTIF('Igor'!$B$6:$B$300,$A67)&gt;0,"Igor","")))</f>
        <v/>
      </c>
      <c r="H67" s="13" t="n"/>
      <c r="I67" s="13" t="inlineStr">
        <is>
          <t>Concluído</t>
        </is>
      </c>
      <c r="J67" s="17">
        <f>IF(OR($A67="",(COUNTIF('Clarice'!$B$6:$B$300,$A67)+COUNTIF('Luisa'!$B$6:$B$300,$A67)+COUNTIF('Lui'!$B$6:$B$300,$A67)+COUNTIF('Thaís'!$B$6:$B$300,$A67)+COUNTIF('Daniel'!$B$6:$B$300,$A67)+COUNTIF('Fernando'!$B$6:$B$300,$A67)+COUNTIF('Stephanie'!$B$6:$B$300,$A67)+COUNTIF('Fox'!$B$6:$B$300,$A67)+COUNTIF('Bruna'!$B$6:$B$300,$A67)+COUNTIF('Stella'!$B$6:$B$300,$A67)+COUNTIF('Igor'!$B$6:$B$300,$A67))=0),"",(COUNTIFS('Clarice'!$B$6:$B$300,$A67,'Clarice'!$F$6:$F$300,"Concluído")+COUNTIFS('Luisa'!$B$6:$B$300,$A67,'Luisa'!$F$6:$F$300,"Concluído")+COUNTIFS('Lui'!$B$6:$B$300,$A67,'Lui'!$F$6:$F$300,"Concluído")+COUNTIFS('Thaís'!$B$6:$B$300,$A67,'Thaís'!$F$6:$F$300,"Concluído")+COUNTIFS('Daniel'!$B$6:$B$300,$A67,'Daniel'!$F$6:$F$300,"Concluído")+COUNTIFS('Fernando'!$B$6:$B$300,$A67,'Fernando'!$F$6:$F$300,"Concluído")+COUNTIFS('Stephanie'!$B$6:$B$300,$A67,'Stephanie'!$F$6:$F$300,"Concluído")+COUNTIFS('Fox'!$B$6:$B$300,$A67,'Fox'!$F$6:$F$300,"Concluído")+COUNTIFS('Bruna'!$B$6:$B$300,$A67,'Bruna'!$F$6:$F$300,"Concluído")+COUNTIFS('Stella'!$B$6:$B$300,$A67,'Stella'!$F$6:$F$300,"Concluído")+COUNTIFS('Igor'!$B$6:$B$300,$A67,'Igor'!$F$6:$F$300,"Concluído"))&amp;" / "&amp;(COUNTIF('Clarice'!$B$6:$B$300,$A67)+COUNTIF('Luisa'!$B$6:$B$300,$A67)+COUNTIF('Lui'!$B$6:$B$300,$A67)+COUNTIF('Thaís'!$B$6:$B$300,$A67)+COUNTIF('Daniel'!$B$6:$B$300,$A67)+COUNTIF('Fernando'!$B$6:$B$300,$A67)+COUNTIF('Stephanie'!$B$6:$B$300,$A67)+COUNTIF('Fox'!$B$6:$B$300,$A67)+COUNTIF('Bruna'!$B$6:$B$300,$A67)+COUNTIF('Stella'!$B$6:$B$300,$A67)+COUNTIF('Igor'!$B$6:$B$300,$A67)))</f>
        <v/>
      </c>
      <c r="K67" s="18" t="n">
        <v>46097</v>
      </c>
      <c r="L67" s="18" t="n">
        <v>46108</v>
      </c>
      <c r="M67" s="19" t="n"/>
      <c r="N67" s="19" t="n"/>
      <c r="O67" s="19" t="n"/>
      <c r="P67" s="20">
        <f>IF($A67="","",IF(M67&lt;&gt;"",M67,IF(K67&lt;&gt;"",K67,"")))</f>
        <v/>
      </c>
      <c r="Q67" s="20">
        <f>IF($A67="","",IF(N67&lt;&gt;"",N67,IF(L67&lt;&gt;"",L67,"")))</f>
        <v/>
      </c>
      <c r="R67" s="15" t="n"/>
      <c r="S67" s="16">
        <f t="array" ref="S67">IF($A67="","",_xlfn.TEXTJOIN(CHAR(10),TRUE,IF('Clarice'!$B$6:$B$300=$A67,"Clarice"&amp;IF('Clarice'!$E$6:$E$300="",""," : "&amp;'Clarice'!$E$6:$E$300)&amp;" ["&amp;'Clarice'!$F$6:$F$300&amp;"]",""),IF('Luisa'!$B$6:$B$300=$A67,"Luisa"&amp;IF('Luisa'!$E$6:$E$300="",""," : "&amp;'Luisa'!$E$6:$E$300)&amp;" ["&amp;'Luisa'!$F$6:$F$300&amp;"]",""),IF('Lui'!$B$6:$B$300=$A67,"Lui"&amp;IF('Lui'!$E$6:$E$300="",""," : "&amp;'Lui'!$E$6:$E$300)&amp;" ["&amp;'Lui'!$F$6:$F$300&amp;"]",""),IF('Thaís'!$B$6:$B$300=$A67,"Thaís"&amp;IF('Thaís'!$E$6:$E$300="",""," : "&amp;'Thaís'!$E$6:$E$300)&amp;" ["&amp;'Thaís'!$F$6:$F$300&amp;"]",""),IF('Daniel'!$B$6:$B$300=$A67,"Daniel"&amp;IF('Daniel'!$E$6:$E$300="",""," : "&amp;'Daniel'!$E$6:$E$300)&amp;" ["&amp;'Daniel'!$F$6:$F$300&amp;"]",""),IF('Fernando'!$B$6:$B$300=$A67,"Fernando"&amp;IF('Fernando'!$E$6:$E$300="",""," : "&amp;'Fernando'!$E$6:$E$300)&amp;" ["&amp;'Fernando'!$F$6:$F$300&amp;"]",""),IF('Stephanie'!$B$6:$B$300=$A67,"Stephanie"&amp;IF('Stephanie'!$E$6:$E$300="",""," : "&amp;'Stephanie'!$E$6:$E$300)&amp;" ["&amp;'Stephanie'!$F$6:$F$300&amp;"]",""),IF('Fox'!$B$6:$B$300=$A67,"Fox"&amp;IF('Fox'!$E$6:$E$300="",""," : "&amp;'Fox'!$E$6:$E$300)&amp;" ["&amp;'Fox'!$F$6:$F$300&amp;"]",""),IF('Bruna'!$B$6:$B$300=$A67,"Bruna"&amp;IF('Bruna'!$E$6:$E$300="",""," : "&amp;'Bruna'!$E$6:$E$300)&amp;" ["&amp;'Bruna'!$F$6:$F$300&amp;"]",""),IF('Stella'!$B$6:$B$300=$A67,"Stella"&amp;IF('Stella'!$E$6:$E$300="",""," : "&amp;'Stella'!$E$6:$E$300)&amp;" ["&amp;'Stella'!$F$6:$F$300&amp;"]",""),IF('Igor'!$B$6:$B$300=$A67,"Igor"&amp;IF('Igor'!$E$6:$E$300="",""," : "&amp;'Igor'!$E$6:$E$300)&amp;" ["&amp;'Igor'!$F$6:$F$300&amp;"]","")))</f>
        <v/>
      </c>
    </row>
    <row r="68" ht="40.5" customHeight="1">
      <c r="A68" s="13" t="inlineStr">
        <is>
          <t>DM-005</t>
        </is>
      </c>
      <c r="B68" s="14" t="inlineStr">
        <is>
          <t>Etapa 2: Construção das métricas | Atividade 7: Operacionalização das métricas | Atividade 8: Aplicação das métricas</t>
        </is>
      </c>
      <c r="C68" s="14" t="inlineStr">
        <is>
          <t>3. Aplicação da DM</t>
        </is>
      </c>
      <c r="D68" s="14" t="inlineStr">
        <is>
          <t>UTGCA</t>
        </is>
      </c>
      <c r="E68" s="15" t="inlineStr">
        <is>
          <t>Solicitar dados faltantes para Petrobras (UTGCA)</t>
        </is>
      </c>
      <c r="F68" s="13" t="inlineStr">
        <is>
          <t>Stephanie</t>
        </is>
      </c>
      <c r="G68" s="16">
        <f>IF($A68="","",_xlfn.TEXTJOIN("; ",TRUE,IF(COUNTIF('Clarice'!$B$6:$B$300,$A68)&gt;0,"Clarice",""),IF(COUNTIF('Luisa'!$B$6:$B$300,$A68)&gt;0,"Luisa",""),IF(COUNTIF('Lui'!$B$6:$B$300,$A68)&gt;0,"Lui",""),IF(COUNTIF('Thaís'!$B$6:$B$300,$A68)&gt;0,"Thaís",""),IF(COUNTIF('Daniel'!$B$6:$B$300,$A68)&gt;0,"Daniel",""),IF(COUNTIF('Fernando'!$B$6:$B$300,$A68)&gt;0,"Fernando",""),IF(COUNTIF('Stephanie'!$B$6:$B$300,$A68)&gt;0,"Stephanie",""),IF(COUNTIF('Fox'!$B$6:$B$300,$A68)&gt;0,"Fox",""),IF(COUNTIF('Bruna'!$B$6:$B$300,$A68)&gt;0,"Bruna",""),IF(COUNTIF('Stella'!$B$6:$B$300,$A68)&gt;0,"Stella",""),IF(COUNTIF('Igor'!$B$6:$B$300,$A68)&gt;0,"Igor","")))</f>
        <v/>
      </c>
      <c r="H68" s="13" t="n"/>
      <c r="I68" s="13" t="inlineStr">
        <is>
          <t>Concluído</t>
        </is>
      </c>
      <c r="J68" s="17">
        <f>IF(OR($A68="",(COUNTIF('Clarice'!$B$6:$B$300,$A68)+COUNTIF('Luisa'!$B$6:$B$300,$A68)+COUNTIF('Lui'!$B$6:$B$300,$A68)+COUNTIF('Thaís'!$B$6:$B$300,$A68)+COUNTIF('Daniel'!$B$6:$B$300,$A68)+COUNTIF('Fernando'!$B$6:$B$300,$A68)+COUNTIF('Stephanie'!$B$6:$B$300,$A68)+COUNTIF('Fox'!$B$6:$B$300,$A68)+COUNTIF('Bruna'!$B$6:$B$300,$A68)+COUNTIF('Stella'!$B$6:$B$300,$A68)+COUNTIF('Igor'!$B$6:$B$300,$A68))=0),"",(COUNTIFS('Clarice'!$B$6:$B$300,$A68,'Clarice'!$F$6:$F$300,"Concluído")+COUNTIFS('Luisa'!$B$6:$B$300,$A68,'Luisa'!$F$6:$F$300,"Concluído")+COUNTIFS('Lui'!$B$6:$B$300,$A68,'Lui'!$F$6:$F$300,"Concluído")+COUNTIFS('Thaís'!$B$6:$B$300,$A68,'Thaís'!$F$6:$F$300,"Concluído")+COUNTIFS('Daniel'!$B$6:$B$300,$A68,'Daniel'!$F$6:$F$300,"Concluído")+COUNTIFS('Fernando'!$B$6:$B$300,$A68,'Fernando'!$F$6:$F$300,"Concluído")+COUNTIFS('Stephanie'!$B$6:$B$300,$A68,'Stephanie'!$F$6:$F$300,"Concluído")+COUNTIFS('Fox'!$B$6:$B$300,$A68,'Fox'!$F$6:$F$300,"Concluído")+COUNTIFS('Bruna'!$B$6:$B$300,$A68,'Bruna'!$F$6:$F$300,"Concluído")+COUNTIFS('Stella'!$B$6:$B$300,$A68,'Stella'!$F$6:$F$300,"Concluído")+COUNTIFS('Igor'!$B$6:$B$300,$A68,'Igor'!$F$6:$F$300,"Concluído"))&amp;" / "&amp;(COUNTIF('Clarice'!$B$6:$B$300,$A68)+COUNTIF('Luisa'!$B$6:$B$300,$A68)+COUNTIF('Lui'!$B$6:$B$300,$A68)+COUNTIF('Thaís'!$B$6:$B$300,$A68)+COUNTIF('Daniel'!$B$6:$B$300,$A68)+COUNTIF('Fernando'!$B$6:$B$300,$A68)+COUNTIF('Stephanie'!$B$6:$B$300,$A68)+COUNTIF('Fox'!$B$6:$B$300,$A68)+COUNTIF('Bruna'!$B$6:$B$300,$A68)+COUNTIF('Stella'!$B$6:$B$300,$A68)+COUNTIF('Igor'!$B$6:$B$300,$A68)))</f>
        <v/>
      </c>
      <c r="K68" s="18" t="n">
        <v>46097</v>
      </c>
      <c r="L68" s="18" t="n">
        <v>46101</v>
      </c>
      <c r="M68" s="19" t="n"/>
      <c r="N68" s="19" t="n"/>
      <c r="O68" s="19" t="n"/>
      <c r="P68" s="20">
        <f>IF($A68="","",IF(M68&lt;&gt;"",M68,IF(K68&lt;&gt;"",K68,"")))</f>
        <v/>
      </c>
      <c r="Q68" s="20">
        <f>IF($A68="","",IF(N68&lt;&gt;"",N68,IF(L68&lt;&gt;"",L68,"")))</f>
        <v/>
      </c>
      <c r="R68" s="15" t="n"/>
      <c r="S68" s="16">
        <f t="array" ref="S68">IF($A68="","",_xlfn.TEXTJOIN(CHAR(10),TRUE,IF('Clarice'!$B$6:$B$300=$A68,"Clarice"&amp;IF('Clarice'!$E$6:$E$300="",""," : "&amp;'Clarice'!$E$6:$E$300)&amp;" ["&amp;'Clarice'!$F$6:$F$300&amp;"]",""),IF('Luisa'!$B$6:$B$300=$A68,"Luisa"&amp;IF('Luisa'!$E$6:$E$300="",""," : "&amp;'Luisa'!$E$6:$E$300)&amp;" ["&amp;'Luisa'!$F$6:$F$300&amp;"]",""),IF('Lui'!$B$6:$B$300=$A68,"Lui"&amp;IF('Lui'!$E$6:$E$300="",""," : "&amp;'Lui'!$E$6:$E$300)&amp;" ["&amp;'Lui'!$F$6:$F$300&amp;"]",""),IF('Thaís'!$B$6:$B$300=$A68,"Thaís"&amp;IF('Thaís'!$E$6:$E$300="",""," : "&amp;'Thaís'!$E$6:$E$300)&amp;" ["&amp;'Thaís'!$F$6:$F$300&amp;"]",""),IF('Daniel'!$B$6:$B$300=$A68,"Daniel"&amp;IF('Daniel'!$E$6:$E$300="",""," : "&amp;'Daniel'!$E$6:$E$300)&amp;" ["&amp;'Daniel'!$F$6:$F$300&amp;"]",""),IF('Fernando'!$B$6:$B$300=$A68,"Fernando"&amp;IF('Fernando'!$E$6:$E$300="",""," : "&amp;'Fernando'!$E$6:$E$300)&amp;" ["&amp;'Fernando'!$F$6:$F$300&amp;"]",""),IF('Stephanie'!$B$6:$B$300=$A68,"Stephanie"&amp;IF('Stephanie'!$E$6:$E$300="",""," : "&amp;'Stephanie'!$E$6:$E$300)&amp;" ["&amp;'Stephanie'!$F$6:$F$300&amp;"]",""),IF('Fox'!$B$6:$B$300=$A68,"Fox"&amp;IF('Fox'!$E$6:$E$300="",""," : "&amp;'Fox'!$E$6:$E$300)&amp;" ["&amp;'Fox'!$F$6:$F$300&amp;"]",""),IF('Bruna'!$B$6:$B$300=$A68,"Bruna"&amp;IF('Bruna'!$E$6:$E$300="",""," : "&amp;'Bruna'!$E$6:$E$300)&amp;" ["&amp;'Bruna'!$F$6:$F$300&amp;"]",""),IF('Stella'!$B$6:$B$300=$A68,"Stella"&amp;IF('Stella'!$E$6:$E$300="",""," : "&amp;'Stella'!$E$6:$E$300)&amp;" ["&amp;'Stella'!$F$6:$F$300&amp;"]",""),IF('Igor'!$B$6:$B$300=$A68,"Igor"&amp;IF('Igor'!$E$6:$E$300="",""," : "&amp;'Igor'!$E$6:$E$300)&amp;" ["&amp;'Igor'!$F$6:$F$300&amp;"]","")))</f>
        <v/>
      </c>
    </row>
    <row r="69" ht="28" customHeight="1">
      <c r="A69" s="13" t="inlineStr">
        <is>
          <t>DM-006</t>
        </is>
      </c>
      <c r="B69" s="14" t="inlineStr">
        <is>
          <t>Etapa 2: Construção das métricas | Atividade 7: Operacionalização das métricas | Atividade 8: Aplicação das métricas</t>
        </is>
      </c>
      <c r="C69" s="14" t="inlineStr">
        <is>
          <t>3. Aplicação da DM</t>
        </is>
      </c>
      <c r="D69" s="14" t="inlineStr">
        <is>
          <t>UTGCA</t>
        </is>
      </c>
      <c r="E69" s="15" t="inlineStr">
        <is>
          <t>Obter os dados faltantes (ex. APP fora da unidade; fauna da APP; fauna e flora do Cinturão) (UTGCA)</t>
        </is>
      </c>
      <c r="F69" s="13" t="inlineStr">
        <is>
          <t>Stephanie</t>
        </is>
      </c>
      <c r="G69" s="16">
        <f>IF($A69="","",_xlfn.TEXTJOIN("; ",TRUE,IF(COUNTIF('Clarice'!$B$6:$B$300,$A69)&gt;0,"Clarice",""),IF(COUNTIF('Luisa'!$B$6:$B$300,$A69)&gt;0,"Luisa",""),IF(COUNTIF('Lui'!$B$6:$B$300,$A69)&gt;0,"Lui",""),IF(COUNTIF('Thaís'!$B$6:$B$300,$A69)&gt;0,"Thaís",""),IF(COUNTIF('Daniel'!$B$6:$B$300,$A69)&gt;0,"Daniel",""),IF(COUNTIF('Fernando'!$B$6:$B$300,$A69)&gt;0,"Fernando",""),IF(COUNTIF('Stephanie'!$B$6:$B$300,$A69)&gt;0,"Stephanie",""),IF(COUNTIF('Fox'!$B$6:$B$300,$A69)&gt;0,"Fox",""),IF(COUNTIF('Bruna'!$B$6:$B$300,$A69)&gt;0,"Bruna",""),IF(COUNTIF('Stella'!$B$6:$B$300,$A69)&gt;0,"Stella",""),IF(COUNTIF('Igor'!$B$6:$B$300,$A69)&gt;0,"Igor","")))</f>
        <v/>
      </c>
      <c r="H69" s="13" t="inlineStr">
        <is>
          <t>Petrobras</t>
        </is>
      </c>
      <c r="I69" s="13" t="inlineStr">
        <is>
          <t>Concluído</t>
        </is>
      </c>
      <c r="J69" s="17">
        <f>IF(OR($A69="",(COUNTIF('Clarice'!$B$6:$B$300,$A69)+COUNTIF('Luisa'!$B$6:$B$300,$A69)+COUNTIF('Lui'!$B$6:$B$300,$A69)+COUNTIF('Thaís'!$B$6:$B$300,$A69)+COUNTIF('Daniel'!$B$6:$B$300,$A69)+COUNTIF('Fernando'!$B$6:$B$300,$A69)+COUNTIF('Stephanie'!$B$6:$B$300,$A69)+COUNTIF('Fox'!$B$6:$B$300,$A69)+COUNTIF('Bruna'!$B$6:$B$300,$A69)+COUNTIF('Stella'!$B$6:$B$300,$A69)+COUNTIF('Igor'!$B$6:$B$300,$A69))=0),"",(COUNTIFS('Clarice'!$B$6:$B$300,$A69,'Clarice'!$F$6:$F$300,"Concluído")+COUNTIFS('Luisa'!$B$6:$B$300,$A69,'Luisa'!$F$6:$F$300,"Concluído")+COUNTIFS('Lui'!$B$6:$B$300,$A69,'Lui'!$F$6:$F$300,"Concluído")+COUNTIFS('Thaís'!$B$6:$B$300,$A69,'Thaís'!$F$6:$F$300,"Concluído")+COUNTIFS('Daniel'!$B$6:$B$300,$A69,'Daniel'!$F$6:$F$300,"Concluído")+COUNTIFS('Fernando'!$B$6:$B$300,$A69,'Fernando'!$F$6:$F$300,"Concluído")+COUNTIFS('Stephanie'!$B$6:$B$300,$A69,'Stephanie'!$F$6:$F$300,"Concluído")+COUNTIFS('Fox'!$B$6:$B$300,$A69,'Fox'!$F$6:$F$300,"Concluído")+COUNTIFS('Bruna'!$B$6:$B$300,$A69,'Bruna'!$F$6:$F$300,"Concluído")+COUNTIFS('Stella'!$B$6:$B$300,$A69,'Stella'!$F$6:$F$300,"Concluído")+COUNTIFS('Igor'!$B$6:$B$300,$A69,'Igor'!$F$6:$F$300,"Concluído"))&amp;" / "&amp;(COUNTIF('Clarice'!$B$6:$B$300,$A69)+COUNTIF('Luisa'!$B$6:$B$300,$A69)+COUNTIF('Lui'!$B$6:$B$300,$A69)+COUNTIF('Thaís'!$B$6:$B$300,$A69)+COUNTIF('Daniel'!$B$6:$B$300,$A69)+COUNTIF('Fernando'!$B$6:$B$300,$A69)+COUNTIF('Stephanie'!$B$6:$B$300,$A69)+COUNTIF('Fox'!$B$6:$B$300,$A69)+COUNTIF('Bruna'!$B$6:$B$300,$A69)+COUNTIF('Stella'!$B$6:$B$300,$A69)+COUNTIF('Igor'!$B$6:$B$300,$A69)))</f>
        <v/>
      </c>
      <c r="K69" s="18" t="n">
        <v>46097</v>
      </c>
      <c r="L69" s="18" t="n">
        <v>46114</v>
      </c>
      <c r="M69" s="18" t="n">
        <v>46097</v>
      </c>
      <c r="N69" s="18" t="n">
        <v>46129</v>
      </c>
      <c r="O69" s="19" t="n"/>
      <c r="P69" s="20">
        <f>IF($A69="","",IF(M69&lt;&gt;"",M69,IF(K69&lt;&gt;"",K69,"")))</f>
        <v/>
      </c>
      <c r="Q69" s="20">
        <f>IF($A69="","",IF(N69&lt;&gt;"",N69,IF(L69&lt;&gt;"",L69,"")))</f>
        <v/>
      </c>
      <c r="R69" s="15" t="n"/>
      <c r="S69" s="16">
        <f t="array" ref="S69">IF($A69="","",_xlfn.TEXTJOIN(CHAR(10),TRUE,IF('Clarice'!$B$6:$B$300=$A69,"Clarice"&amp;IF('Clarice'!$E$6:$E$300="",""," : "&amp;'Clarice'!$E$6:$E$300)&amp;" ["&amp;'Clarice'!$F$6:$F$300&amp;"]",""),IF('Luisa'!$B$6:$B$300=$A69,"Luisa"&amp;IF('Luisa'!$E$6:$E$300="",""," : "&amp;'Luisa'!$E$6:$E$300)&amp;" ["&amp;'Luisa'!$F$6:$F$300&amp;"]",""),IF('Lui'!$B$6:$B$300=$A69,"Lui"&amp;IF('Lui'!$E$6:$E$300="",""," : "&amp;'Lui'!$E$6:$E$300)&amp;" ["&amp;'Lui'!$F$6:$F$300&amp;"]",""),IF('Thaís'!$B$6:$B$300=$A69,"Thaís"&amp;IF('Thaís'!$E$6:$E$300="",""," : "&amp;'Thaís'!$E$6:$E$300)&amp;" ["&amp;'Thaís'!$F$6:$F$300&amp;"]",""),IF('Daniel'!$B$6:$B$300=$A69,"Daniel"&amp;IF('Daniel'!$E$6:$E$300="",""," : "&amp;'Daniel'!$E$6:$E$300)&amp;" ["&amp;'Daniel'!$F$6:$F$300&amp;"]",""),IF('Fernando'!$B$6:$B$300=$A69,"Fernando"&amp;IF('Fernando'!$E$6:$E$300="",""," : "&amp;'Fernando'!$E$6:$E$300)&amp;" ["&amp;'Fernando'!$F$6:$F$300&amp;"]",""),IF('Stephanie'!$B$6:$B$300=$A69,"Stephanie"&amp;IF('Stephanie'!$E$6:$E$300="",""," : "&amp;'Stephanie'!$E$6:$E$300)&amp;" ["&amp;'Stephanie'!$F$6:$F$300&amp;"]",""),IF('Fox'!$B$6:$B$300=$A69,"Fox"&amp;IF('Fox'!$E$6:$E$300="",""," : "&amp;'Fox'!$E$6:$E$300)&amp;" ["&amp;'Fox'!$F$6:$F$300&amp;"]",""),IF('Bruna'!$B$6:$B$300=$A69,"Bruna"&amp;IF('Bruna'!$E$6:$E$300="",""," : "&amp;'Bruna'!$E$6:$E$300)&amp;" ["&amp;'Bruna'!$F$6:$F$300&amp;"]",""),IF('Stella'!$B$6:$B$300=$A69,"Stella"&amp;IF('Stella'!$E$6:$E$300="",""," : "&amp;'Stella'!$E$6:$E$300)&amp;" ["&amp;'Stella'!$F$6:$F$300&amp;"]",""),IF('Igor'!$B$6:$B$300=$A69,"Igor"&amp;IF('Igor'!$E$6:$E$300="",""," : "&amp;'Igor'!$E$6:$E$300)&amp;" ["&amp;'Igor'!$F$6:$F$300&amp;"]","")))</f>
        <v/>
      </c>
    </row>
    <row r="70" ht="28" customHeight="1">
      <c r="A70" s="13" t="inlineStr">
        <is>
          <t>DM-007</t>
        </is>
      </c>
      <c r="B70" s="14" t="inlineStr">
        <is>
          <t>Etapa 2: Construção das métricas | Atividade 7: Operacionalização das métricas | Atividade 8: Aplicação das métricas</t>
        </is>
      </c>
      <c r="C70" s="14" t="inlineStr">
        <is>
          <t>3. Aplicação da DM</t>
        </is>
      </c>
      <c r="D70" s="14" t="inlineStr">
        <is>
          <t>UTGCA</t>
        </is>
      </c>
      <c r="E70" s="15" t="inlineStr">
        <is>
          <t>Sistematizar os novos dados entregues pela Petrobras (UTGCA)</t>
        </is>
      </c>
      <c r="F70" s="13" t="inlineStr">
        <is>
          <t>Stephanie</t>
        </is>
      </c>
      <c r="G70" s="16">
        <f>IF($A70="","",_xlfn.TEXTJOIN("; ",TRUE,IF(COUNTIF('Clarice'!$B$6:$B$300,$A70)&gt;0,"Clarice",""),IF(COUNTIF('Luisa'!$B$6:$B$300,$A70)&gt;0,"Luisa",""),IF(COUNTIF('Lui'!$B$6:$B$300,$A70)&gt;0,"Lui",""),IF(COUNTIF('Thaís'!$B$6:$B$300,$A70)&gt;0,"Thaís",""),IF(COUNTIF('Daniel'!$B$6:$B$300,$A70)&gt;0,"Daniel",""),IF(COUNTIF('Fernando'!$B$6:$B$300,$A70)&gt;0,"Fernando",""),IF(COUNTIF('Stephanie'!$B$6:$B$300,$A70)&gt;0,"Stephanie",""),IF(COUNTIF('Fox'!$B$6:$B$300,$A70)&gt;0,"Fox",""),IF(COUNTIF('Bruna'!$B$6:$B$300,$A70)&gt;0,"Bruna",""),IF(COUNTIF('Stella'!$B$6:$B$300,$A70)&gt;0,"Stella",""),IF(COUNTIF('Igor'!$B$6:$B$300,$A70)&gt;0,"Igor","")))</f>
        <v/>
      </c>
      <c r="H70" s="13" t="n"/>
      <c r="I70" s="13" t="inlineStr">
        <is>
          <t>Concluído</t>
        </is>
      </c>
      <c r="J70" s="17">
        <f>IF(OR($A70="",(COUNTIF('Clarice'!$B$6:$B$300,$A70)+COUNTIF('Luisa'!$B$6:$B$300,$A70)+COUNTIF('Lui'!$B$6:$B$300,$A70)+COUNTIF('Thaís'!$B$6:$B$300,$A70)+COUNTIF('Daniel'!$B$6:$B$300,$A70)+COUNTIF('Fernando'!$B$6:$B$300,$A70)+COUNTIF('Stephanie'!$B$6:$B$300,$A70)+COUNTIF('Fox'!$B$6:$B$300,$A70)+COUNTIF('Bruna'!$B$6:$B$300,$A70)+COUNTIF('Stella'!$B$6:$B$300,$A70)+COUNTIF('Igor'!$B$6:$B$300,$A70))=0),"",(COUNTIFS('Clarice'!$B$6:$B$300,$A70,'Clarice'!$F$6:$F$300,"Concluído")+COUNTIFS('Luisa'!$B$6:$B$300,$A70,'Luisa'!$F$6:$F$300,"Concluído")+COUNTIFS('Lui'!$B$6:$B$300,$A70,'Lui'!$F$6:$F$300,"Concluído")+COUNTIFS('Thaís'!$B$6:$B$300,$A70,'Thaís'!$F$6:$F$300,"Concluído")+COUNTIFS('Daniel'!$B$6:$B$300,$A70,'Daniel'!$F$6:$F$300,"Concluído")+COUNTIFS('Fernando'!$B$6:$B$300,$A70,'Fernando'!$F$6:$F$300,"Concluído")+COUNTIFS('Stephanie'!$B$6:$B$300,$A70,'Stephanie'!$F$6:$F$300,"Concluído")+COUNTIFS('Fox'!$B$6:$B$300,$A70,'Fox'!$F$6:$F$300,"Concluído")+COUNTIFS('Bruna'!$B$6:$B$300,$A70,'Bruna'!$F$6:$F$300,"Concluído")+COUNTIFS('Stella'!$B$6:$B$300,$A70,'Stella'!$F$6:$F$300,"Concluído")+COUNTIFS('Igor'!$B$6:$B$300,$A70,'Igor'!$F$6:$F$300,"Concluído"))&amp;" / "&amp;(COUNTIF('Clarice'!$B$6:$B$300,$A70)+COUNTIF('Luisa'!$B$6:$B$300,$A70)+COUNTIF('Lui'!$B$6:$B$300,$A70)+COUNTIF('Thaís'!$B$6:$B$300,$A70)+COUNTIF('Daniel'!$B$6:$B$300,$A70)+COUNTIF('Fernando'!$B$6:$B$300,$A70)+COUNTIF('Stephanie'!$B$6:$B$300,$A70)+COUNTIF('Fox'!$B$6:$B$300,$A70)+COUNTIF('Bruna'!$B$6:$B$300,$A70)+COUNTIF('Stella'!$B$6:$B$300,$A70)+COUNTIF('Igor'!$B$6:$B$300,$A70)))</f>
        <v/>
      </c>
      <c r="K70" s="18" t="n">
        <v>46111</v>
      </c>
      <c r="L70" s="18" t="n">
        <v>46114</v>
      </c>
      <c r="M70" s="18" t="n">
        <v>46111</v>
      </c>
      <c r="N70" s="18" t="n">
        <v>46136</v>
      </c>
      <c r="O70" s="19" t="n"/>
      <c r="P70" s="20">
        <f>IF($A70="","",IF(M70&lt;&gt;"",M70,IF(K70&lt;&gt;"",K70,"")))</f>
        <v/>
      </c>
      <c r="Q70" s="20">
        <f>IF($A70="","",IF(N70&lt;&gt;"",N70,IF(L70&lt;&gt;"",L70,"")))</f>
        <v/>
      </c>
      <c r="R70" s="15" t="n"/>
      <c r="S70" s="16">
        <f t="array" ref="S70">IF($A70="","",_xlfn.TEXTJOIN(CHAR(10),TRUE,IF('Clarice'!$B$6:$B$300=$A70,"Clarice"&amp;IF('Clarice'!$E$6:$E$300="",""," : "&amp;'Clarice'!$E$6:$E$300)&amp;" ["&amp;'Clarice'!$F$6:$F$300&amp;"]",""),IF('Luisa'!$B$6:$B$300=$A70,"Luisa"&amp;IF('Luisa'!$E$6:$E$300="",""," : "&amp;'Luisa'!$E$6:$E$300)&amp;" ["&amp;'Luisa'!$F$6:$F$300&amp;"]",""),IF('Lui'!$B$6:$B$300=$A70,"Lui"&amp;IF('Lui'!$E$6:$E$300="",""," : "&amp;'Lui'!$E$6:$E$300)&amp;" ["&amp;'Lui'!$F$6:$F$300&amp;"]",""),IF('Thaís'!$B$6:$B$300=$A70,"Thaís"&amp;IF('Thaís'!$E$6:$E$300="",""," : "&amp;'Thaís'!$E$6:$E$300)&amp;" ["&amp;'Thaís'!$F$6:$F$300&amp;"]",""),IF('Daniel'!$B$6:$B$300=$A70,"Daniel"&amp;IF('Daniel'!$E$6:$E$300="",""," : "&amp;'Daniel'!$E$6:$E$300)&amp;" ["&amp;'Daniel'!$F$6:$F$300&amp;"]",""),IF('Fernando'!$B$6:$B$300=$A70,"Fernando"&amp;IF('Fernando'!$E$6:$E$300="",""," : "&amp;'Fernando'!$E$6:$E$300)&amp;" ["&amp;'Fernando'!$F$6:$F$300&amp;"]",""),IF('Stephanie'!$B$6:$B$300=$A70,"Stephanie"&amp;IF('Stephanie'!$E$6:$E$300="",""," : "&amp;'Stephanie'!$E$6:$E$300)&amp;" ["&amp;'Stephanie'!$F$6:$F$300&amp;"]",""),IF('Fox'!$B$6:$B$300=$A70,"Fox"&amp;IF('Fox'!$E$6:$E$300="",""," : "&amp;'Fox'!$E$6:$E$300)&amp;" ["&amp;'Fox'!$F$6:$F$300&amp;"]",""),IF('Bruna'!$B$6:$B$300=$A70,"Bruna"&amp;IF('Bruna'!$E$6:$E$300="",""," : "&amp;'Bruna'!$E$6:$E$300)&amp;" ["&amp;'Bruna'!$F$6:$F$300&amp;"]",""),IF('Stella'!$B$6:$B$300=$A70,"Stella"&amp;IF('Stella'!$E$6:$E$300="",""," : "&amp;'Stella'!$E$6:$E$300)&amp;" ["&amp;'Stella'!$F$6:$F$300&amp;"]",""),IF('Igor'!$B$6:$B$300=$A70,"Igor"&amp;IF('Igor'!$E$6:$E$300="",""," : "&amp;'Igor'!$E$6:$E$300)&amp;" ["&amp;'Igor'!$F$6:$F$300&amp;"]","")))</f>
        <v/>
      </c>
    </row>
    <row r="71" ht="28" customHeight="1">
      <c r="A71" s="13" t="inlineStr">
        <is>
          <t>DM-008</t>
        </is>
      </c>
      <c r="B71" s="14" t="inlineStr">
        <is>
          <t>Etapa 2: Construção das métricas | Atividade 7: Operacionalização das métricas | Atividade 8: Aplicação das métricas</t>
        </is>
      </c>
      <c r="C71" s="14" t="inlineStr">
        <is>
          <t>3. Aplicação da DM</t>
        </is>
      </c>
      <c r="D71" s="14" t="inlineStr">
        <is>
          <t>UTGCA</t>
        </is>
      </c>
      <c r="E71" s="15" t="inlineStr">
        <is>
          <t>Corrigir a avaliação taxonômica - cf aff e sp. (UTGCA)</t>
        </is>
      </c>
      <c r="F71" s="13" t="inlineStr">
        <is>
          <t>Stephanie</t>
        </is>
      </c>
      <c r="G71" s="16">
        <f>IF($A71="","",_xlfn.TEXTJOIN("; ",TRUE,IF(COUNTIF('Clarice'!$B$6:$B$300,$A71)&gt;0,"Clarice",""),IF(COUNTIF('Luisa'!$B$6:$B$300,$A71)&gt;0,"Luisa",""),IF(COUNTIF('Lui'!$B$6:$B$300,$A71)&gt;0,"Lui",""),IF(COUNTIF('Thaís'!$B$6:$B$300,$A71)&gt;0,"Thaís",""),IF(COUNTIF('Daniel'!$B$6:$B$300,$A71)&gt;0,"Daniel",""),IF(COUNTIF('Fernando'!$B$6:$B$300,$A71)&gt;0,"Fernando",""),IF(COUNTIF('Stephanie'!$B$6:$B$300,$A71)&gt;0,"Stephanie",""),IF(COUNTIF('Fox'!$B$6:$B$300,$A71)&gt;0,"Fox",""),IF(COUNTIF('Bruna'!$B$6:$B$300,$A71)&gt;0,"Bruna",""),IF(COUNTIF('Stella'!$B$6:$B$300,$A71)&gt;0,"Stella",""),IF(COUNTIF('Igor'!$B$6:$B$300,$A71)&gt;0,"Igor","")))</f>
        <v/>
      </c>
      <c r="H71" s="13" t="n"/>
      <c r="I71" s="13" t="inlineStr">
        <is>
          <t>Concluído</t>
        </is>
      </c>
      <c r="J71" s="17">
        <f>IF(OR($A71="",(COUNTIF('Clarice'!$B$6:$B$300,$A71)+COUNTIF('Luisa'!$B$6:$B$300,$A71)+COUNTIF('Lui'!$B$6:$B$300,$A71)+COUNTIF('Thaís'!$B$6:$B$300,$A71)+COUNTIF('Daniel'!$B$6:$B$300,$A71)+COUNTIF('Fernando'!$B$6:$B$300,$A71)+COUNTIF('Stephanie'!$B$6:$B$300,$A71)+COUNTIF('Fox'!$B$6:$B$300,$A71)+COUNTIF('Bruna'!$B$6:$B$300,$A71)+COUNTIF('Stella'!$B$6:$B$300,$A71)+COUNTIF('Igor'!$B$6:$B$300,$A71))=0),"",(COUNTIFS('Clarice'!$B$6:$B$300,$A71,'Clarice'!$F$6:$F$300,"Concluído")+COUNTIFS('Luisa'!$B$6:$B$300,$A71,'Luisa'!$F$6:$F$300,"Concluído")+COUNTIFS('Lui'!$B$6:$B$300,$A71,'Lui'!$F$6:$F$300,"Concluído")+COUNTIFS('Thaís'!$B$6:$B$300,$A71,'Thaís'!$F$6:$F$300,"Concluído")+COUNTIFS('Daniel'!$B$6:$B$300,$A71,'Daniel'!$F$6:$F$300,"Concluído")+COUNTIFS('Fernando'!$B$6:$B$300,$A71,'Fernando'!$F$6:$F$300,"Concluído")+COUNTIFS('Stephanie'!$B$6:$B$300,$A71,'Stephanie'!$F$6:$F$300,"Concluído")+COUNTIFS('Fox'!$B$6:$B$300,$A71,'Fox'!$F$6:$F$300,"Concluído")+COUNTIFS('Bruna'!$B$6:$B$300,$A71,'Bruna'!$F$6:$F$300,"Concluído")+COUNTIFS('Stella'!$B$6:$B$300,$A71,'Stella'!$F$6:$F$300,"Concluído")+COUNTIFS('Igor'!$B$6:$B$300,$A71,'Igor'!$F$6:$F$300,"Concluído"))&amp;" / "&amp;(COUNTIF('Clarice'!$B$6:$B$300,$A71)+COUNTIF('Luisa'!$B$6:$B$300,$A71)+COUNTIF('Lui'!$B$6:$B$300,$A71)+COUNTIF('Thaís'!$B$6:$B$300,$A71)+COUNTIF('Daniel'!$B$6:$B$300,$A71)+COUNTIF('Fernando'!$B$6:$B$300,$A71)+COUNTIF('Stephanie'!$B$6:$B$300,$A71)+COUNTIF('Fox'!$B$6:$B$300,$A71)+COUNTIF('Bruna'!$B$6:$B$300,$A71)+COUNTIF('Stella'!$B$6:$B$300,$A71)+COUNTIF('Igor'!$B$6:$B$300,$A71)))</f>
        <v/>
      </c>
      <c r="K71" s="18" t="n">
        <v>46104</v>
      </c>
      <c r="L71" s="18" t="n">
        <v>46114</v>
      </c>
      <c r="M71" s="18" t="n">
        <v>46104</v>
      </c>
      <c r="N71" s="18" t="n">
        <v>46136</v>
      </c>
      <c r="O71" s="19" t="n"/>
      <c r="P71" s="20">
        <f>IF($A71="","",IF(M71&lt;&gt;"",M71,IF(K71&lt;&gt;"",K71,"")))</f>
        <v/>
      </c>
      <c r="Q71" s="20">
        <f>IF($A71="","",IF(N71&lt;&gt;"",N71,IF(L71&lt;&gt;"",L71,"")))</f>
        <v/>
      </c>
      <c r="R71" s="15" t="n"/>
      <c r="S71" s="16">
        <f t="array" ref="S71">IF($A71="","",_xlfn.TEXTJOIN(CHAR(10),TRUE,IF('Clarice'!$B$6:$B$300=$A71,"Clarice"&amp;IF('Clarice'!$E$6:$E$300="",""," : "&amp;'Clarice'!$E$6:$E$300)&amp;" ["&amp;'Clarice'!$F$6:$F$300&amp;"]",""),IF('Luisa'!$B$6:$B$300=$A71,"Luisa"&amp;IF('Luisa'!$E$6:$E$300="",""," : "&amp;'Luisa'!$E$6:$E$300)&amp;" ["&amp;'Luisa'!$F$6:$F$300&amp;"]",""),IF('Lui'!$B$6:$B$300=$A71,"Lui"&amp;IF('Lui'!$E$6:$E$300="",""," : "&amp;'Lui'!$E$6:$E$300)&amp;" ["&amp;'Lui'!$F$6:$F$300&amp;"]",""),IF('Thaís'!$B$6:$B$300=$A71,"Thaís"&amp;IF('Thaís'!$E$6:$E$300="",""," : "&amp;'Thaís'!$E$6:$E$300)&amp;" ["&amp;'Thaís'!$F$6:$F$300&amp;"]",""),IF('Daniel'!$B$6:$B$300=$A71,"Daniel"&amp;IF('Daniel'!$E$6:$E$300="",""," : "&amp;'Daniel'!$E$6:$E$300)&amp;" ["&amp;'Daniel'!$F$6:$F$300&amp;"]",""),IF('Fernando'!$B$6:$B$300=$A71,"Fernando"&amp;IF('Fernando'!$E$6:$E$300="",""," : "&amp;'Fernando'!$E$6:$E$300)&amp;" ["&amp;'Fernando'!$F$6:$F$300&amp;"]",""),IF('Stephanie'!$B$6:$B$300=$A71,"Stephanie"&amp;IF('Stephanie'!$E$6:$E$300="",""," : "&amp;'Stephanie'!$E$6:$E$300)&amp;" ["&amp;'Stephanie'!$F$6:$F$300&amp;"]",""),IF('Fox'!$B$6:$B$300=$A71,"Fox"&amp;IF('Fox'!$E$6:$E$300="",""," : "&amp;'Fox'!$E$6:$E$300)&amp;" ["&amp;'Fox'!$F$6:$F$300&amp;"]",""),IF('Bruna'!$B$6:$B$300=$A71,"Bruna"&amp;IF('Bruna'!$E$6:$E$300="",""," : "&amp;'Bruna'!$E$6:$E$300)&amp;" ["&amp;'Bruna'!$F$6:$F$300&amp;"]",""),IF('Stella'!$B$6:$B$300=$A71,"Stella"&amp;IF('Stella'!$E$6:$E$300="",""," : "&amp;'Stella'!$E$6:$E$300)&amp;" ["&amp;'Stella'!$F$6:$F$300&amp;"]",""),IF('Igor'!$B$6:$B$300=$A71,"Igor"&amp;IF('Igor'!$E$6:$E$300="",""," : "&amp;'Igor'!$E$6:$E$300)&amp;" ["&amp;'Igor'!$F$6:$F$300&amp;"]","")))</f>
        <v/>
      </c>
    </row>
    <row r="72" ht="28" customHeight="1">
      <c r="A72" s="13" t="inlineStr">
        <is>
          <t>DM-009</t>
        </is>
      </c>
      <c r="B72" s="14" t="inlineStr">
        <is>
          <t>Etapa 2: Construção das métricas | Atividade 7: Operacionalização das métricas | Atividade 8: Aplicação das métricas</t>
        </is>
      </c>
      <c r="C72" s="14" t="inlineStr">
        <is>
          <t>3. Aplicação da DM</t>
        </is>
      </c>
      <c r="D72" s="14" t="inlineStr">
        <is>
          <t>UTGCA</t>
        </is>
      </c>
      <c r="E72" s="15" t="inlineStr">
        <is>
          <t>Separação de táxons por aba (UTGCA)</t>
        </is>
      </c>
      <c r="F72" s="13" t="inlineStr">
        <is>
          <t>Stephanie</t>
        </is>
      </c>
      <c r="G72" s="16">
        <f>IF($A72="","",_xlfn.TEXTJOIN("; ",TRUE,IF(COUNTIF('Clarice'!$B$6:$B$300,$A72)&gt;0,"Clarice",""),IF(COUNTIF('Luisa'!$B$6:$B$300,$A72)&gt;0,"Luisa",""),IF(COUNTIF('Lui'!$B$6:$B$300,$A72)&gt;0,"Lui",""),IF(COUNTIF('Thaís'!$B$6:$B$300,$A72)&gt;0,"Thaís",""),IF(COUNTIF('Daniel'!$B$6:$B$300,$A72)&gt;0,"Daniel",""),IF(COUNTIF('Fernando'!$B$6:$B$300,$A72)&gt;0,"Fernando",""),IF(COUNTIF('Stephanie'!$B$6:$B$300,$A72)&gt;0,"Stephanie",""),IF(COUNTIF('Fox'!$B$6:$B$300,$A72)&gt;0,"Fox",""),IF(COUNTIF('Bruna'!$B$6:$B$300,$A72)&gt;0,"Bruna",""),IF(COUNTIF('Stella'!$B$6:$B$300,$A72)&gt;0,"Stella",""),IF(COUNTIF('Igor'!$B$6:$B$300,$A72)&gt;0,"Igor","")))</f>
        <v/>
      </c>
      <c r="H72" s="13" t="n"/>
      <c r="I72" s="13" t="inlineStr">
        <is>
          <t>Concluído</t>
        </is>
      </c>
      <c r="J72" s="17">
        <f>IF(OR($A72="",(COUNTIF('Clarice'!$B$6:$B$300,$A72)+COUNTIF('Luisa'!$B$6:$B$300,$A72)+COUNTIF('Lui'!$B$6:$B$300,$A72)+COUNTIF('Thaís'!$B$6:$B$300,$A72)+COUNTIF('Daniel'!$B$6:$B$300,$A72)+COUNTIF('Fernando'!$B$6:$B$300,$A72)+COUNTIF('Stephanie'!$B$6:$B$300,$A72)+COUNTIF('Fox'!$B$6:$B$300,$A72)+COUNTIF('Bruna'!$B$6:$B$300,$A72)+COUNTIF('Stella'!$B$6:$B$300,$A72)+COUNTIF('Igor'!$B$6:$B$300,$A72))=0),"",(COUNTIFS('Clarice'!$B$6:$B$300,$A72,'Clarice'!$F$6:$F$300,"Concluído")+COUNTIFS('Luisa'!$B$6:$B$300,$A72,'Luisa'!$F$6:$F$300,"Concluído")+COUNTIFS('Lui'!$B$6:$B$300,$A72,'Lui'!$F$6:$F$300,"Concluído")+COUNTIFS('Thaís'!$B$6:$B$300,$A72,'Thaís'!$F$6:$F$300,"Concluído")+COUNTIFS('Daniel'!$B$6:$B$300,$A72,'Daniel'!$F$6:$F$300,"Concluído")+COUNTIFS('Fernando'!$B$6:$B$300,$A72,'Fernando'!$F$6:$F$300,"Concluído")+COUNTIFS('Stephanie'!$B$6:$B$300,$A72,'Stephanie'!$F$6:$F$300,"Concluído")+COUNTIFS('Fox'!$B$6:$B$300,$A72,'Fox'!$F$6:$F$300,"Concluído")+COUNTIFS('Bruna'!$B$6:$B$300,$A72,'Bruna'!$F$6:$F$300,"Concluído")+COUNTIFS('Stella'!$B$6:$B$300,$A72,'Stella'!$F$6:$F$300,"Concluído")+COUNTIFS('Igor'!$B$6:$B$300,$A72,'Igor'!$F$6:$F$300,"Concluído"))&amp;" / "&amp;(COUNTIF('Clarice'!$B$6:$B$300,$A72)+COUNTIF('Luisa'!$B$6:$B$300,$A72)+COUNTIF('Lui'!$B$6:$B$300,$A72)+COUNTIF('Thaís'!$B$6:$B$300,$A72)+COUNTIF('Daniel'!$B$6:$B$300,$A72)+COUNTIF('Fernando'!$B$6:$B$300,$A72)+COUNTIF('Stephanie'!$B$6:$B$300,$A72)+COUNTIF('Fox'!$B$6:$B$300,$A72)+COUNTIF('Bruna'!$B$6:$B$300,$A72)+COUNTIF('Stella'!$B$6:$B$300,$A72)+COUNTIF('Igor'!$B$6:$B$300,$A72)))</f>
        <v/>
      </c>
      <c r="K72" s="18" t="n">
        <v>46104</v>
      </c>
      <c r="L72" s="18" t="n">
        <v>46114</v>
      </c>
      <c r="M72" s="18" t="n">
        <v>46104</v>
      </c>
      <c r="N72" s="18" t="n">
        <v>46136</v>
      </c>
      <c r="O72" s="19" t="n"/>
      <c r="P72" s="20">
        <f>IF($A72="","",IF(M72&lt;&gt;"",M72,IF(K72&lt;&gt;"",K72,"")))</f>
        <v/>
      </c>
      <c r="Q72" s="20">
        <f>IF($A72="","",IF(N72&lt;&gt;"",N72,IF(L72&lt;&gt;"",L72,"")))</f>
        <v/>
      </c>
      <c r="R72" s="15" t="n"/>
      <c r="S72" s="16">
        <f t="array" ref="S72">IF($A72="","",_xlfn.TEXTJOIN(CHAR(10),TRUE,IF('Clarice'!$B$6:$B$300=$A72,"Clarice"&amp;IF('Clarice'!$E$6:$E$300="",""," : "&amp;'Clarice'!$E$6:$E$300)&amp;" ["&amp;'Clarice'!$F$6:$F$300&amp;"]",""),IF('Luisa'!$B$6:$B$300=$A72,"Luisa"&amp;IF('Luisa'!$E$6:$E$300="",""," : "&amp;'Luisa'!$E$6:$E$300)&amp;" ["&amp;'Luisa'!$F$6:$F$300&amp;"]",""),IF('Lui'!$B$6:$B$300=$A72,"Lui"&amp;IF('Lui'!$E$6:$E$300="",""," : "&amp;'Lui'!$E$6:$E$300)&amp;" ["&amp;'Lui'!$F$6:$F$300&amp;"]",""),IF('Thaís'!$B$6:$B$300=$A72,"Thaís"&amp;IF('Thaís'!$E$6:$E$300="",""," : "&amp;'Thaís'!$E$6:$E$300)&amp;" ["&amp;'Thaís'!$F$6:$F$300&amp;"]",""),IF('Daniel'!$B$6:$B$300=$A72,"Daniel"&amp;IF('Daniel'!$E$6:$E$300="",""," : "&amp;'Daniel'!$E$6:$E$300)&amp;" ["&amp;'Daniel'!$F$6:$F$300&amp;"]",""),IF('Fernando'!$B$6:$B$300=$A72,"Fernando"&amp;IF('Fernando'!$E$6:$E$300="",""," : "&amp;'Fernando'!$E$6:$E$300)&amp;" ["&amp;'Fernando'!$F$6:$F$300&amp;"]",""),IF('Stephanie'!$B$6:$B$300=$A72,"Stephanie"&amp;IF('Stephanie'!$E$6:$E$300="",""," : "&amp;'Stephanie'!$E$6:$E$300)&amp;" ["&amp;'Stephanie'!$F$6:$F$300&amp;"]",""),IF('Fox'!$B$6:$B$300=$A72,"Fox"&amp;IF('Fox'!$E$6:$E$300="",""," : "&amp;'Fox'!$E$6:$E$300)&amp;" ["&amp;'Fox'!$F$6:$F$300&amp;"]",""),IF('Bruna'!$B$6:$B$300=$A72,"Bruna"&amp;IF('Bruna'!$E$6:$E$300="",""," : "&amp;'Bruna'!$E$6:$E$300)&amp;" ["&amp;'Bruna'!$F$6:$F$300&amp;"]",""),IF('Stella'!$B$6:$B$300=$A72,"Stella"&amp;IF('Stella'!$E$6:$E$300="",""," : "&amp;'Stella'!$E$6:$E$300)&amp;" ["&amp;'Stella'!$F$6:$F$300&amp;"]",""),IF('Igor'!$B$6:$B$300=$A72,"Igor"&amp;IF('Igor'!$E$6:$E$300="",""," : "&amp;'Igor'!$E$6:$E$300)&amp;" ["&amp;'Igor'!$F$6:$F$300&amp;"]","")))</f>
        <v/>
      </c>
    </row>
    <row r="73" ht="53" customHeight="1">
      <c r="A73" s="13" t="inlineStr">
        <is>
          <t>DM-010</t>
        </is>
      </c>
      <c r="B73" s="14" t="inlineStr">
        <is>
          <t>Etapa 2: Construção das métricas | Atividade 7: Operacionalização das métricas | Atividade 8: Aplicação das métricas</t>
        </is>
      </c>
      <c r="C73" s="14" t="inlineStr">
        <is>
          <t>3. Aplicação da DM</t>
        </is>
      </c>
      <c r="D73" s="14" t="inlineStr">
        <is>
          <t>UTGCA</t>
        </is>
      </c>
      <c r="E73" s="15" t="inlineStr">
        <is>
          <t>Definir a estratégia de aplicação - flora (UTGCA)</t>
        </is>
      </c>
      <c r="F73" s="13" t="inlineStr">
        <is>
          <t>Stephanie</t>
        </is>
      </c>
      <c r="G73" s="16">
        <f>IF($A73="","",_xlfn.TEXTJOIN("; ",TRUE,IF(COUNTIF('Clarice'!$B$6:$B$300,$A73)&gt;0,"Clarice",""),IF(COUNTIF('Luisa'!$B$6:$B$300,$A73)&gt;0,"Luisa",""),IF(COUNTIF('Lui'!$B$6:$B$300,$A73)&gt;0,"Lui",""),IF(COUNTIF('Thaís'!$B$6:$B$300,$A73)&gt;0,"Thaís",""),IF(COUNTIF('Daniel'!$B$6:$B$300,$A73)&gt;0,"Daniel",""),IF(COUNTIF('Fernando'!$B$6:$B$300,$A73)&gt;0,"Fernando",""),IF(COUNTIF('Stephanie'!$B$6:$B$300,$A73)&gt;0,"Stephanie",""),IF(COUNTIF('Fox'!$B$6:$B$300,$A73)&gt;0,"Fox",""),IF(COUNTIF('Bruna'!$B$6:$B$300,$A73)&gt;0,"Bruna",""),IF(COUNTIF('Stella'!$B$6:$B$300,$A73)&gt;0,"Stella",""),IF(COUNTIF('Igor'!$B$6:$B$300,$A73)&gt;0,"Igor","")))</f>
        <v/>
      </c>
      <c r="H73" s="13" t="n"/>
      <c r="I73" s="13" t="inlineStr">
        <is>
          <t>Concluído</t>
        </is>
      </c>
      <c r="J73" s="17">
        <f>IF(OR($A73="",(COUNTIF('Clarice'!$B$6:$B$300,$A73)+COUNTIF('Luisa'!$B$6:$B$300,$A73)+COUNTIF('Lui'!$B$6:$B$300,$A73)+COUNTIF('Thaís'!$B$6:$B$300,$A73)+COUNTIF('Daniel'!$B$6:$B$300,$A73)+COUNTIF('Fernando'!$B$6:$B$300,$A73)+COUNTIF('Stephanie'!$B$6:$B$300,$A73)+COUNTIF('Fox'!$B$6:$B$300,$A73)+COUNTIF('Bruna'!$B$6:$B$300,$A73)+COUNTIF('Stella'!$B$6:$B$300,$A73)+COUNTIF('Igor'!$B$6:$B$300,$A73))=0),"",(COUNTIFS('Clarice'!$B$6:$B$300,$A73,'Clarice'!$F$6:$F$300,"Concluído")+COUNTIFS('Luisa'!$B$6:$B$300,$A73,'Luisa'!$F$6:$F$300,"Concluído")+COUNTIFS('Lui'!$B$6:$B$300,$A73,'Lui'!$F$6:$F$300,"Concluído")+COUNTIFS('Thaís'!$B$6:$B$300,$A73,'Thaís'!$F$6:$F$300,"Concluído")+COUNTIFS('Daniel'!$B$6:$B$300,$A73,'Daniel'!$F$6:$F$300,"Concluído")+COUNTIFS('Fernando'!$B$6:$B$300,$A73,'Fernando'!$F$6:$F$300,"Concluído")+COUNTIFS('Stephanie'!$B$6:$B$300,$A73,'Stephanie'!$F$6:$F$300,"Concluído")+COUNTIFS('Fox'!$B$6:$B$300,$A73,'Fox'!$F$6:$F$300,"Concluído")+COUNTIFS('Bruna'!$B$6:$B$300,$A73,'Bruna'!$F$6:$F$300,"Concluído")+COUNTIFS('Stella'!$B$6:$B$300,$A73,'Stella'!$F$6:$F$300,"Concluído")+COUNTIFS('Igor'!$B$6:$B$300,$A73,'Igor'!$F$6:$F$300,"Concluído"))&amp;" / "&amp;(COUNTIF('Clarice'!$B$6:$B$300,$A73)+COUNTIF('Luisa'!$B$6:$B$300,$A73)+COUNTIF('Lui'!$B$6:$B$300,$A73)+COUNTIF('Thaís'!$B$6:$B$300,$A73)+COUNTIF('Daniel'!$B$6:$B$300,$A73)+COUNTIF('Fernando'!$B$6:$B$300,$A73)+COUNTIF('Stephanie'!$B$6:$B$300,$A73)+COUNTIF('Fox'!$B$6:$B$300,$A73)+COUNTIF('Bruna'!$B$6:$B$300,$A73)+COUNTIF('Stella'!$B$6:$B$300,$A73)+COUNTIF('Igor'!$B$6:$B$300,$A73)))</f>
        <v/>
      </c>
      <c r="K73" s="18" t="n">
        <v>46104</v>
      </c>
      <c r="L73" s="18" t="n">
        <v>46112</v>
      </c>
      <c r="M73" s="19" t="n"/>
      <c r="N73" s="19" t="n"/>
      <c r="O73" s="19" t="n"/>
      <c r="P73" s="20">
        <f>IF($A73="","",IF(M73&lt;&gt;"",M73,IF(K73&lt;&gt;"",K73,"")))</f>
        <v/>
      </c>
      <c r="Q73" s="20">
        <f>IF($A73="","",IF(N73&lt;&gt;"",N73,IF(L73&lt;&gt;"",L73,"")))</f>
        <v/>
      </c>
      <c r="R73" s="15" t="n"/>
      <c r="S73" s="16">
        <f t="array" ref="S73">IF($A73="","",_xlfn.TEXTJOIN(CHAR(10),TRUE,IF('Clarice'!$B$6:$B$300=$A73,"Clarice"&amp;IF('Clarice'!$E$6:$E$300="",""," : "&amp;'Clarice'!$E$6:$E$300)&amp;" ["&amp;'Clarice'!$F$6:$F$300&amp;"]",""),IF('Luisa'!$B$6:$B$300=$A73,"Luisa"&amp;IF('Luisa'!$E$6:$E$300="",""," : "&amp;'Luisa'!$E$6:$E$300)&amp;" ["&amp;'Luisa'!$F$6:$F$300&amp;"]",""),IF('Lui'!$B$6:$B$300=$A73,"Lui"&amp;IF('Lui'!$E$6:$E$300="",""," : "&amp;'Lui'!$E$6:$E$300)&amp;" ["&amp;'Lui'!$F$6:$F$300&amp;"]",""),IF('Thaís'!$B$6:$B$300=$A73,"Thaís"&amp;IF('Thaís'!$E$6:$E$300="",""," : "&amp;'Thaís'!$E$6:$E$300)&amp;" ["&amp;'Thaís'!$F$6:$F$300&amp;"]",""),IF('Daniel'!$B$6:$B$300=$A73,"Daniel"&amp;IF('Daniel'!$E$6:$E$300="",""," : "&amp;'Daniel'!$E$6:$E$300)&amp;" ["&amp;'Daniel'!$F$6:$F$300&amp;"]",""),IF('Fernando'!$B$6:$B$300=$A73,"Fernando"&amp;IF('Fernando'!$E$6:$E$300="",""," : "&amp;'Fernando'!$E$6:$E$300)&amp;" ["&amp;'Fernando'!$F$6:$F$300&amp;"]",""),IF('Stephanie'!$B$6:$B$300=$A73,"Stephanie"&amp;IF('Stephanie'!$E$6:$E$300="",""," : "&amp;'Stephanie'!$E$6:$E$300)&amp;" ["&amp;'Stephanie'!$F$6:$F$300&amp;"]",""),IF('Fox'!$B$6:$B$300=$A73,"Fox"&amp;IF('Fox'!$E$6:$E$300="",""," : "&amp;'Fox'!$E$6:$E$300)&amp;" ["&amp;'Fox'!$F$6:$F$300&amp;"]",""),IF('Bruna'!$B$6:$B$300=$A73,"Bruna"&amp;IF('Bruna'!$E$6:$E$300="",""," : "&amp;'Bruna'!$E$6:$E$300)&amp;" ["&amp;'Bruna'!$F$6:$F$300&amp;"]",""),IF('Stella'!$B$6:$B$300=$A73,"Stella"&amp;IF('Stella'!$E$6:$E$300="",""," : "&amp;'Stella'!$E$6:$E$300)&amp;" ["&amp;'Stella'!$F$6:$F$300&amp;"]",""),IF('Igor'!$B$6:$B$300=$A73,"Igor"&amp;IF('Igor'!$E$6:$E$300="",""," : "&amp;'Igor'!$E$6:$E$300)&amp;" ["&amp;'Igor'!$F$6:$F$300&amp;"]","")))</f>
        <v/>
      </c>
    </row>
    <row r="74" ht="40.5" customHeight="1">
      <c r="A74" s="13" t="inlineStr">
        <is>
          <t>DM-011</t>
        </is>
      </c>
      <c r="B74" s="14" t="inlineStr">
        <is>
          <t>Etapa 2: Construção das métricas | Atividade 7: Operacionalização das métricas | Atividade 8: Aplicação das métricas</t>
        </is>
      </c>
      <c r="C74" s="14" t="inlineStr">
        <is>
          <t>3. Aplicação da DM</t>
        </is>
      </c>
      <c r="D74" s="14" t="inlineStr">
        <is>
          <t>UTGCA</t>
        </is>
      </c>
      <c r="E74" s="15" t="inlineStr">
        <is>
          <t>Avaliar disponibilidade de informação temporal e espacial para aplicação da métrica - flora (UTGCA)</t>
        </is>
      </c>
      <c r="F74" s="13" t="inlineStr">
        <is>
          <t>Stephanie</t>
        </is>
      </c>
      <c r="G74" s="16">
        <f>IF($A74="","",_xlfn.TEXTJOIN("; ",TRUE,IF(COUNTIF('Clarice'!$B$6:$B$300,$A74)&gt;0,"Clarice",""),IF(COUNTIF('Luisa'!$B$6:$B$300,$A74)&gt;0,"Luisa",""),IF(COUNTIF('Lui'!$B$6:$B$300,$A74)&gt;0,"Lui",""),IF(COUNTIF('Thaís'!$B$6:$B$300,$A74)&gt;0,"Thaís",""),IF(COUNTIF('Daniel'!$B$6:$B$300,$A74)&gt;0,"Daniel",""),IF(COUNTIF('Fernando'!$B$6:$B$300,$A74)&gt;0,"Fernando",""),IF(COUNTIF('Stephanie'!$B$6:$B$300,$A74)&gt;0,"Stephanie",""),IF(COUNTIF('Fox'!$B$6:$B$300,$A74)&gt;0,"Fox",""),IF(COUNTIF('Bruna'!$B$6:$B$300,$A74)&gt;0,"Bruna",""),IF(COUNTIF('Stella'!$B$6:$B$300,$A74)&gt;0,"Stella",""),IF(COUNTIF('Igor'!$B$6:$B$300,$A74)&gt;0,"Igor","")))</f>
        <v/>
      </c>
      <c r="H74" s="13" t="n"/>
      <c r="I74" s="13" t="inlineStr">
        <is>
          <t>Concluído</t>
        </is>
      </c>
      <c r="J74" s="17">
        <f>IF(OR($A74="",(COUNTIF('Clarice'!$B$6:$B$300,$A74)+COUNTIF('Luisa'!$B$6:$B$300,$A74)+COUNTIF('Lui'!$B$6:$B$300,$A74)+COUNTIF('Thaís'!$B$6:$B$300,$A74)+COUNTIF('Daniel'!$B$6:$B$300,$A74)+COUNTIF('Fernando'!$B$6:$B$300,$A74)+COUNTIF('Stephanie'!$B$6:$B$300,$A74)+COUNTIF('Fox'!$B$6:$B$300,$A74)+COUNTIF('Bruna'!$B$6:$B$300,$A74)+COUNTIF('Stella'!$B$6:$B$300,$A74)+COUNTIF('Igor'!$B$6:$B$300,$A74))=0),"",(COUNTIFS('Clarice'!$B$6:$B$300,$A74,'Clarice'!$F$6:$F$300,"Concluído")+COUNTIFS('Luisa'!$B$6:$B$300,$A74,'Luisa'!$F$6:$F$300,"Concluído")+COUNTIFS('Lui'!$B$6:$B$300,$A74,'Lui'!$F$6:$F$300,"Concluído")+COUNTIFS('Thaís'!$B$6:$B$300,$A74,'Thaís'!$F$6:$F$300,"Concluído")+COUNTIFS('Daniel'!$B$6:$B$300,$A74,'Daniel'!$F$6:$F$300,"Concluído")+COUNTIFS('Fernando'!$B$6:$B$300,$A74,'Fernando'!$F$6:$F$300,"Concluído")+COUNTIFS('Stephanie'!$B$6:$B$300,$A74,'Stephanie'!$F$6:$F$300,"Concluído")+COUNTIFS('Fox'!$B$6:$B$300,$A74,'Fox'!$F$6:$F$300,"Concluído")+COUNTIFS('Bruna'!$B$6:$B$300,$A74,'Bruna'!$F$6:$F$300,"Concluído")+COUNTIFS('Stella'!$B$6:$B$300,$A74,'Stella'!$F$6:$F$300,"Concluído")+COUNTIFS('Igor'!$B$6:$B$300,$A74,'Igor'!$F$6:$F$300,"Concluído"))&amp;" / "&amp;(COUNTIF('Clarice'!$B$6:$B$300,$A74)+COUNTIF('Luisa'!$B$6:$B$300,$A74)+COUNTIF('Lui'!$B$6:$B$300,$A74)+COUNTIF('Thaís'!$B$6:$B$300,$A74)+COUNTIF('Daniel'!$B$6:$B$300,$A74)+COUNTIF('Fernando'!$B$6:$B$300,$A74)+COUNTIF('Stephanie'!$B$6:$B$300,$A74)+COUNTIF('Fox'!$B$6:$B$300,$A74)+COUNTIF('Bruna'!$B$6:$B$300,$A74)+COUNTIF('Stella'!$B$6:$B$300,$A74)+COUNTIF('Igor'!$B$6:$B$300,$A74)))</f>
        <v/>
      </c>
      <c r="K74" s="18" t="n">
        <v>46097</v>
      </c>
      <c r="L74" s="18" t="n">
        <v>46122</v>
      </c>
      <c r="M74" s="19" t="n"/>
      <c r="N74" s="19" t="n"/>
      <c r="O74" s="19" t="n"/>
      <c r="P74" s="20">
        <f>IF($A74="","",IF(M74&lt;&gt;"",M74,IF(K74&lt;&gt;"",K74,"")))</f>
        <v/>
      </c>
      <c r="Q74" s="20">
        <f>IF($A74="","",IF(N74&lt;&gt;"",N74,IF(L74&lt;&gt;"",L74,"")))</f>
        <v/>
      </c>
      <c r="R74" s="15" t="n"/>
      <c r="S74" s="16">
        <f t="array" ref="S74">IF($A74="","",_xlfn.TEXTJOIN(CHAR(10),TRUE,IF('Clarice'!$B$6:$B$300=$A74,"Clarice"&amp;IF('Clarice'!$E$6:$E$300="",""," : "&amp;'Clarice'!$E$6:$E$300)&amp;" ["&amp;'Clarice'!$F$6:$F$300&amp;"]",""),IF('Luisa'!$B$6:$B$300=$A74,"Luisa"&amp;IF('Luisa'!$E$6:$E$300="",""," : "&amp;'Luisa'!$E$6:$E$300)&amp;" ["&amp;'Luisa'!$F$6:$F$300&amp;"]",""),IF('Lui'!$B$6:$B$300=$A74,"Lui"&amp;IF('Lui'!$E$6:$E$300="",""," : "&amp;'Lui'!$E$6:$E$300)&amp;" ["&amp;'Lui'!$F$6:$F$300&amp;"]",""),IF('Thaís'!$B$6:$B$300=$A74,"Thaís"&amp;IF('Thaís'!$E$6:$E$300="",""," : "&amp;'Thaís'!$E$6:$E$300)&amp;" ["&amp;'Thaís'!$F$6:$F$300&amp;"]",""),IF('Daniel'!$B$6:$B$300=$A74,"Daniel"&amp;IF('Daniel'!$E$6:$E$300="",""," : "&amp;'Daniel'!$E$6:$E$300)&amp;" ["&amp;'Daniel'!$F$6:$F$300&amp;"]",""),IF('Fernando'!$B$6:$B$300=$A74,"Fernando"&amp;IF('Fernando'!$E$6:$E$300="",""," : "&amp;'Fernando'!$E$6:$E$300)&amp;" ["&amp;'Fernando'!$F$6:$F$300&amp;"]",""),IF('Stephanie'!$B$6:$B$300=$A74,"Stephanie"&amp;IF('Stephanie'!$E$6:$E$300="",""," : "&amp;'Stephanie'!$E$6:$E$300)&amp;" ["&amp;'Stephanie'!$F$6:$F$300&amp;"]",""),IF('Fox'!$B$6:$B$300=$A74,"Fox"&amp;IF('Fox'!$E$6:$E$300="",""," : "&amp;'Fox'!$E$6:$E$300)&amp;" ["&amp;'Fox'!$F$6:$F$300&amp;"]",""),IF('Bruna'!$B$6:$B$300=$A74,"Bruna"&amp;IF('Bruna'!$E$6:$E$300="",""," : "&amp;'Bruna'!$E$6:$E$300)&amp;" ["&amp;'Bruna'!$F$6:$F$300&amp;"]",""),IF('Stella'!$B$6:$B$300=$A74,"Stella"&amp;IF('Stella'!$E$6:$E$300="",""," : "&amp;'Stella'!$E$6:$E$300)&amp;" ["&amp;'Stella'!$F$6:$F$300&amp;"]",""),IF('Igor'!$B$6:$B$300=$A74,"Igor"&amp;IF('Igor'!$E$6:$E$300="",""," : "&amp;'Igor'!$E$6:$E$300)&amp;" ["&amp;'Igor'!$F$6:$F$300&amp;"]","")))</f>
        <v/>
      </c>
    </row>
    <row r="75" ht="40.5" customHeight="1">
      <c r="A75" s="13" t="inlineStr">
        <is>
          <t>DM-012</t>
        </is>
      </c>
      <c r="B75" s="14" t="inlineStr">
        <is>
          <t>Etapa 2: Construção das métricas | Atividade 7: Operacionalização das métricas | Atividade 8: Aplicação das métricas</t>
        </is>
      </c>
      <c r="C75" s="14" t="inlineStr">
        <is>
          <t>3. Aplicação da DM</t>
        </is>
      </c>
      <c r="D75" s="14" t="inlineStr">
        <is>
          <t>UTGCA</t>
        </is>
      </c>
      <c r="E75" s="15" t="inlineStr">
        <is>
          <t>Definir tipo, componente e atributos - flora (UTGCA)</t>
        </is>
      </c>
      <c r="F75" s="13" t="inlineStr">
        <is>
          <t>Stephanie</t>
        </is>
      </c>
      <c r="G75" s="16">
        <f>IF($A75="","",_xlfn.TEXTJOIN("; ",TRUE,IF(COUNTIF('Clarice'!$B$6:$B$300,$A75)&gt;0,"Clarice",""),IF(COUNTIF('Luisa'!$B$6:$B$300,$A75)&gt;0,"Luisa",""),IF(COUNTIF('Lui'!$B$6:$B$300,$A75)&gt;0,"Lui",""),IF(COUNTIF('Thaís'!$B$6:$B$300,$A75)&gt;0,"Thaís",""),IF(COUNTIF('Daniel'!$B$6:$B$300,$A75)&gt;0,"Daniel",""),IF(COUNTIF('Fernando'!$B$6:$B$300,$A75)&gt;0,"Fernando",""),IF(COUNTIF('Stephanie'!$B$6:$B$300,$A75)&gt;0,"Stephanie",""),IF(COUNTIF('Fox'!$B$6:$B$300,$A75)&gt;0,"Fox",""),IF(COUNTIF('Bruna'!$B$6:$B$300,$A75)&gt;0,"Bruna",""),IF(COUNTIF('Stella'!$B$6:$B$300,$A75)&gt;0,"Stella",""),IF(COUNTIF('Igor'!$B$6:$B$300,$A75)&gt;0,"Igor","")))</f>
        <v/>
      </c>
      <c r="H75" s="13" t="n"/>
      <c r="I75" s="13" t="inlineStr">
        <is>
          <t>Concluído</t>
        </is>
      </c>
      <c r="J75" s="17">
        <f>IF(OR($A75="",(COUNTIF('Clarice'!$B$6:$B$300,$A75)+COUNTIF('Luisa'!$B$6:$B$300,$A75)+COUNTIF('Lui'!$B$6:$B$300,$A75)+COUNTIF('Thaís'!$B$6:$B$300,$A75)+COUNTIF('Daniel'!$B$6:$B$300,$A75)+COUNTIF('Fernando'!$B$6:$B$300,$A75)+COUNTIF('Stephanie'!$B$6:$B$300,$A75)+COUNTIF('Fox'!$B$6:$B$300,$A75)+COUNTIF('Bruna'!$B$6:$B$300,$A75)+COUNTIF('Stella'!$B$6:$B$300,$A75)+COUNTIF('Igor'!$B$6:$B$300,$A75))=0),"",(COUNTIFS('Clarice'!$B$6:$B$300,$A75,'Clarice'!$F$6:$F$300,"Concluído")+COUNTIFS('Luisa'!$B$6:$B$300,$A75,'Luisa'!$F$6:$F$300,"Concluído")+COUNTIFS('Lui'!$B$6:$B$300,$A75,'Lui'!$F$6:$F$300,"Concluído")+COUNTIFS('Thaís'!$B$6:$B$300,$A75,'Thaís'!$F$6:$F$300,"Concluído")+COUNTIFS('Daniel'!$B$6:$B$300,$A75,'Daniel'!$F$6:$F$300,"Concluído")+COUNTIFS('Fernando'!$B$6:$B$300,$A75,'Fernando'!$F$6:$F$300,"Concluído")+COUNTIFS('Stephanie'!$B$6:$B$300,$A75,'Stephanie'!$F$6:$F$300,"Concluído")+COUNTIFS('Fox'!$B$6:$B$300,$A75,'Fox'!$F$6:$F$300,"Concluído")+COUNTIFS('Bruna'!$B$6:$B$300,$A75,'Bruna'!$F$6:$F$300,"Concluído")+COUNTIFS('Stella'!$B$6:$B$300,$A75,'Stella'!$F$6:$F$300,"Concluído")+COUNTIFS('Igor'!$B$6:$B$300,$A75,'Igor'!$F$6:$F$300,"Concluído"))&amp;" / "&amp;(COUNTIF('Clarice'!$B$6:$B$300,$A75)+COUNTIF('Luisa'!$B$6:$B$300,$A75)+COUNTIF('Lui'!$B$6:$B$300,$A75)+COUNTIF('Thaís'!$B$6:$B$300,$A75)+COUNTIF('Daniel'!$B$6:$B$300,$A75)+COUNTIF('Fernando'!$B$6:$B$300,$A75)+COUNTIF('Stephanie'!$B$6:$B$300,$A75)+COUNTIF('Fox'!$B$6:$B$300,$A75)+COUNTIF('Bruna'!$B$6:$B$300,$A75)+COUNTIF('Stella'!$B$6:$B$300,$A75)+COUNTIF('Igor'!$B$6:$B$300,$A75)))</f>
        <v/>
      </c>
      <c r="K75" s="18" t="n">
        <v>46097</v>
      </c>
      <c r="L75" s="18" t="n">
        <v>46114</v>
      </c>
      <c r="M75" s="19" t="n"/>
      <c r="N75" s="19" t="n"/>
      <c r="O75" s="19" t="n"/>
      <c r="P75" s="20">
        <f>IF($A75="","",IF(M75&lt;&gt;"",M75,IF(K75&lt;&gt;"",K75,"")))</f>
        <v/>
      </c>
      <c r="Q75" s="20">
        <f>IF($A75="","",IF(N75&lt;&gt;"",N75,IF(L75&lt;&gt;"",L75,"")))</f>
        <v/>
      </c>
      <c r="R75" s="15" t="n"/>
      <c r="S75" s="16">
        <f t="array" ref="S75">IF($A75="","",_xlfn.TEXTJOIN(CHAR(10),TRUE,IF('Clarice'!$B$6:$B$300=$A75,"Clarice"&amp;IF('Clarice'!$E$6:$E$300="",""," : "&amp;'Clarice'!$E$6:$E$300)&amp;" ["&amp;'Clarice'!$F$6:$F$300&amp;"]",""),IF('Luisa'!$B$6:$B$300=$A75,"Luisa"&amp;IF('Luisa'!$E$6:$E$300="",""," : "&amp;'Luisa'!$E$6:$E$300)&amp;" ["&amp;'Luisa'!$F$6:$F$300&amp;"]",""),IF('Lui'!$B$6:$B$300=$A75,"Lui"&amp;IF('Lui'!$E$6:$E$300="",""," : "&amp;'Lui'!$E$6:$E$300)&amp;" ["&amp;'Lui'!$F$6:$F$300&amp;"]",""),IF('Thaís'!$B$6:$B$300=$A75,"Thaís"&amp;IF('Thaís'!$E$6:$E$300="",""," : "&amp;'Thaís'!$E$6:$E$300)&amp;" ["&amp;'Thaís'!$F$6:$F$300&amp;"]",""),IF('Daniel'!$B$6:$B$300=$A75,"Daniel"&amp;IF('Daniel'!$E$6:$E$300="",""," : "&amp;'Daniel'!$E$6:$E$300)&amp;" ["&amp;'Daniel'!$F$6:$F$300&amp;"]",""),IF('Fernando'!$B$6:$B$300=$A75,"Fernando"&amp;IF('Fernando'!$E$6:$E$300="",""," : "&amp;'Fernando'!$E$6:$E$300)&amp;" ["&amp;'Fernando'!$F$6:$F$300&amp;"]",""),IF('Stephanie'!$B$6:$B$300=$A75,"Stephanie"&amp;IF('Stephanie'!$E$6:$E$300="",""," : "&amp;'Stephanie'!$E$6:$E$300)&amp;" ["&amp;'Stephanie'!$F$6:$F$300&amp;"]",""),IF('Fox'!$B$6:$B$300=$A75,"Fox"&amp;IF('Fox'!$E$6:$E$300="",""," : "&amp;'Fox'!$E$6:$E$300)&amp;" ["&amp;'Fox'!$F$6:$F$300&amp;"]",""),IF('Bruna'!$B$6:$B$300=$A75,"Bruna"&amp;IF('Bruna'!$E$6:$E$300="",""," : "&amp;'Bruna'!$E$6:$E$300)&amp;" ["&amp;'Bruna'!$F$6:$F$300&amp;"]",""),IF('Stella'!$B$6:$B$300=$A75,"Stella"&amp;IF('Stella'!$E$6:$E$300="",""," : "&amp;'Stella'!$E$6:$E$300)&amp;" ["&amp;'Stella'!$F$6:$F$300&amp;"]",""),IF('Igor'!$B$6:$B$300=$A75,"Igor"&amp;IF('Igor'!$E$6:$E$300="",""," : "&amp;'Igor'!$E$6:$E$300)&amp;" ["&amp;'Igor'!$F$6:$F$300&amp;"]","")))</f>
        <v/>
      </c>
    </row>
    <row r="76" ht="40.5" customHeight="1">
      <c r="A76" s="13" t="inlineStr">
        <is>
          <t>DM-013</t>
        </is>
      </c>
      <c r="B76" s="14" t="inlineStr">
        <is>
          <t>Etapa 2: Construção das métricas | Atividade 7: Operacionalização das métricas | Atividade 8: Aplicação das métricas</t>
        </is>
      </c>
      <c r="C76" s="14" t="inlineStr">
        <is>
          <t>3. Aplicação da DM</t>
        </is>
      </c>
      <c r="D76" s="14" t="inlineStr">
        <is>
          <t>UTGCA</t>
        </is>
      </c>
      <c r="E76" s="15" t="inlineStr">
        <is>
          <t>Definir os dados usados para cálculo de perdas e ganhos - flora (UTGCA)</t>
        </is>
      </c>
      <c r="F76" s="13" t="inlineStr">
        <is>
          <t>Stephanie</t>
        </is>
      </c>
      <c r="G76" s="16">
        <f>IF($A76="","",_xlfn.TEXTJOIN("; ",TRUE,IF(COUNTIF('Clarice'!$B$6:$B$300,$A76)&gt;0,"Clarice",""),IF(COUNTIF('Luisa'!$B$6:$B$300,$A76)&gt;0,"Luisa",""),IF(COUNTIF('Lui'!$B$6:$B$300,$A76)&gt;0,"Lui",""),IF(COUNTIF('Thaís'!$B$6:$B$300,$A76)&gt;0,"Thaís",""),IF(COUNTIF('Daniel'!$B$6:$B$300,$A76)&gt;0,"Daniel",""),IF(COUNTIF('Fernando'!$B$6:$B$300,$A76)&gt;0,"Fernando",""),IF(COUNTIF('Stephanie'!$B$6:$B$300,$A76)&gt;0,"Stephanie",""),IF(COUNTIF('Fox'!$B$6:$B$300,$A76)&gt;0,"Fox",""),IF(COUNTIF('Bruna'!$B$6:$B$300,$A76)&gt;0,"Bruna",""),IF(COUNTIF('Stella'!$B$6:$B$300,$A76)&gt;0,"Stella",""),IF(COUNTIF('Igor'!$B$6:$B$300,$A76)&gt;0,"Igor","")))</f>
        <v/>
      </c>
      <c r="H76" s="13" t="n"/>
      <c r="I76" s="13" t="inlineStr">
        <is>
          <t>Concluído</t>
        </is>
      </c>
      <c r="J76" s="17">
        <f>IF(OR($A76="",(COUNTIF('Clarice'!$B$6:$B$300,$A76)+COUNTIF('Luisa'!$B$6:$B$300,$A76)+COUNTIF('Lui'!$B$6:$B$300,$A76)+COUNTIF('Thaís'!$B$6:$B$300,$A76)+COUNTIF('Daniel'!$B$6:$B$300,$A76)+COUNTIF('Fernando'!$B$6:$B$300,$A76)+COUNTIF('Stephanie'!$B$6:$B$300,$A76)+COUNTIF('Fox'!$B$6:$B$300,$A76)+COUNTIF('Bruna'!$B$6:$B$300,$A76)+COUNTIF('Stella'!$B$6:$B$300,$A76)+COUNTIF('Igor'!$B$6:$B$300,$A76))=0),"",(COUNTIFS('Clarice'!$B$6:$B$300,$A76,'Clarice'!$F$6:$F$300,"Concluído")+COUNTIFS('Luisa'!$B$6:$B$300,$A76,'Luisa'!$F$6:$F$300,"Concluído")+COUNTIFS('Lui'!$B$6:$B$300,$A76,'Lui'!$F$6:$F$300,"Concluído")+COUNTIFS('Thaís'!$B$6:$B$300,$A76,'Thaís'!$F$6:$F$300,"Concluído")+COUNTIFS('Daniel'!$B$6:$B$300,$A76,'Daniel'!$F$6:$F$300,"Concluído")+COUNTIFS('Fernando'!$B$6:$B$300,$A76,'Fernando'!$F$6:$F$300,"Concluído")+COUNTIFS('Stephanie'!$B$6:$B$300,$A76,'Stephanie'!$F$6:$F$300,"Concluído")+COUNTIFS('Fox'!$B$6:$B$300,$A76,'Fox'!$F$6:$F$300,"Concluído")+COUNTIFS('Bruna'!$B$6:$B$300,$A76,'Bruna'!$F$6:$F$300,"Concluído")+COUNTIFS('Stella'!$B$6:$B$300,$A76,'Stella'!$F$6:$F$300,"Concluído")+COUNTIFS('Igor'!$B$6:$B$300,$A76,'Igor'!$F$6:$F$300,"Concluído"))&amp;" / "&amp;(COUNTIF('Clarice'!$B$6:$B$300,$A76)+COUNTIF('Luisa'!$B$6:$B$300,$A76)+COUNTIF('Lui'!$B$6:$B$300,$A76)+COUNTIF('Thaís'!$B$6:$B$300,$A76)+COUNTIF('Daniel'!$B$6:$B$300,$A76)+COUNTIF('Fernando'!$B$6:$B$300,$A76)+COUNTIF('Stephanie'!$B$6:$B$300,$A76)+COUNTIF('Fox'!$B$6:$B$300,$A76)+COUNTIF('Bruna'!$B$6:$B$300,$A76)+COUNTIF('Stella'!$B$6:$B$300,$A76)+COUNTIF('Igor'!$B$6:$B$300,$A76)))</f>
        <v/>
      </c>
      <c r="K76" s="18" t="n">
        <v>46104</v>
      </c>
      <c r="L76" s="18" t="n">
        <v>46122</v>
      </c>
      <c r="M76" s="19" t="n"/>
      <c r="N76" s="19" t="n"/>
      <c r="O76" s="19" t="n"/>
      <c r="P76" s="20">
        <f>IF($A76="","",IF(M76&lt;&gt;"",M76,IF(K76&lt;&gt;"",K76,"")))</f>
        <v/>
      </c>
      <c r="Q76" s="20">
        <f>IF($A76="","",IF(N76&lt;&gt;"",N76,IF(L76&lt;&gt;"",L76,"")))</f>
        <v/>
      </c>
      <c r="R76" s="15" t="n"/>
      <c r="S76" s="16">
        <f t="array" ref="S76">IF($A76="","",_xlfn.TEXTJOIN(CHAR(10),TRUE,IF('Clarice'!$B$6:$B$300=$A76,"Clarice"&amp;IF('Clarice'!$E$6:$E$300="",""," : "&amp;'Clarice'!$E$6:$E$300)&amp;" ["&amp;'Clarice'!$F$6:$F$300&amp;"]",""),IF('Luisa'!$B$6:$B$300=$A76,"Luisa"&amp;IF('Luisa'!$E$6:$E$300="",""," : "&amp;'Luisa'!$E$6:$E$300)&amp;" ["&amp;'Luisa'!$F$6:$F$300&amp;"]",""),IF('Lui'!$B$6:$B$300=$A76,"Lui"&amp;IF('Lui'!$E$6:$E$300="",""," : "&amp;'Lui'!$E$6:$E$300)&amp;" ["&amp;'Lui'!$F$6:$F$300&amp;"]",""),IF('Thaís'!$B$6:$B$300=$A76,"Thaís"&amp;IF('Thaís'!$E$6:$E$300="",""," : "&amp;'Thaís'!$E$6:$E$300)&amp;" ["&amp;'Thaís'!$F$6:$F$300&amp;"]",""),IF('Daniel'!$B$6:$B$300=$A76,"Daniel"&amp;IF('Daniel'!$E$6:$E$300="",""," : "&amp;'Daniel'!$E$6:$E$300)&amp;" ["&amp;'Daniel'!$F$6:$F$300&amp;"]",""),IF('Fernando'!$B$6:$B$300=$A76,"Fernando"&amp;IF('Fernando'!$E$6:$E$300="",""," : "&amp;'Fernando'!$E$6:$E$300)&amp;" ["&amp;'Fernando'!$F$6:$F$300&amp;"]",""),IF('Stephanie'!$B$6:$B$300=$A76,"Stephanie"&amp;IF('Stephanie'!$E$6:$E$300="",""," : "&amp;'Stephanie'!$E$6:$E$300)&amp;" ["&amp;'Stephanie'!$F$6:$F$300&amp;"]",""),IF('Fox'!$B$6:$B$300=$A76,"Fox"&amp;IF('Fox'!$E$6:$E$300="",""," : "&amp;'Fox'!$E$6:$E$300)&amp;" ["&amp;'Fox'!$F$6:$F$300&amp;"]",""),IF('Bruna'!$B$6:$B$300=$A76,"Bruna"&amp;IF('Bruna'!$E$6:$E$300="",""," : "&amp;'Bruna'!$E$6:$E$300)&amp;" ["&amp;'Bruna'!$F$6:$F$300&amp;"]",""),IF('Stella'!$B$6:$B$300=$A76,"Stella"&amp;IF('Stella'!$E$6:$E$300="",""," : "&amp;'Stella'!$E$6:$E$300)&amp;" ["&amp;'Stella'!$F$6:$F$300&amp;"]",""),IF('Igor'!$B$6:$B$300=$A76,"Igor"&amp;IF('Igor'!$E$6:$E$300="",""," : "&amp;'Igor'!$E$6:$E$300)&amp;" ["&amp;'Igor'!$F$6:$F$300&amp;"]","")))</f>
        <v/>
      </c>
    </row>
    <row r="77" ht="28" customHeight="1">
      <c r="A77" s="13" t="inlineStr">
        <is>
          <t>DM-014</t>
        </is>
      </c>
      <c r="B77" s="14" t="inlineStr">
        <is>
          <t>Etapa 2: Construção das métricas | Atividade 7: Operacionalização das métricas | Atividade 8: Aplicação das métricas</t>
        </is>
      </c>
      <c r="C77" s="14" t="inlineStr">
        <is>
          <t>3. Aplicação da DM</t>
        </is>
      </c>
      <c r="D77" s="14" t="inlineStr">
        <is>
          <t>UTGCA</t>
        </is>
      </c>
      <c r="E77" s="15" t="inlineStr">
        <is>
          <t>Definir parâmetros e fatores de ajuste - flora (UTGCA)</t>
        </is>
      </c>
      <c r="F77" s="13" t="inlineStr">
        <is>
          <t>Stephanie</t>
        </is>
      </c>
      <c r="G77" s="16">
        <f>IF($A77="","",_xlfn.TEXTJOIN("; ",TRUE,IF(COUNTIF('Clarice'!$B$6:$B$300,$A77)&gt;0,"Clarice",""),IF(COUNTIF('Luisa'!$B$6:$B$300,$A77)&gt;0,"Luisa",""),IF(COUNTIF('Lui'!$B$6:$B$300,$A77)&gt;0,"Lui",""),IF(COUNTIF('Thaís'!$B$6:$B$300,$A77)&gt;0,"Thaís",""),IF(COUNTIF('Daniel'!$B$6:$B$300,$A77)&gt;0,"Daniel",""),IF(COUNTIF('Fernando'!$B$6:$B$300,$A77)&gt;0,"Fernando",""),IF(COUNTIF('Stephanie'!$B$6:$B$300,$A77)&gt;0,"Stephanie",""),IF(COUNTIF('Fox'!$B$6:$B$300,$A77)&gt;0,"Fox",""),IF(COUNTIF('Bruna'!$B$6:$B$300,$A77)&gt;0,"Bruna",""),IF(COUNTIF('Stella'!$B$6:$B$300,$A77)&gt;0,"Stella",""),IF(COUNTIF('Igor'!$B$6:$B$300,$A77)&gt;0,"Igor","")))</f>
        <v/>
      </c>
      <c r="H77" s="13" t="n"/>
      <c r="I77" s="13" t="inlineStr">
        <is>
          <t>Concluído</t>
        </is>
      </c>
      <c r="J77" s="17">
        <f>IF(OR($A77="",(COUNTIF('Clarice'!$B$6:$B$300,$A77)+COUNTIF('Luisa'!$B$6:$B$300,$A77)+COUNTIF('Lui'!$B$6:$B$300,$A77)+COUNTIF('Thaís'!$B$6:$B$300,$A77)+COUNTIF('Daniel'!$B$6:$B$300,$A77)+COUNTIF('Fernando'!$B$6:$B$300,$A77)+COUNTIF('Stephanie'!$B$6:$B$300,$A77)+COUNTIF('Fox'!$B$6:$B$300,$A77)+COUNTIF('Bruna'!$B$6:$B$300,$A77)+COUNTIF('Stella'!$B$6:$B$300,$A77)+COUNTIF('Igor'!$B$6:$B$300,$A77))=0),"",(COUNTIFS('Clarice'!$B$6:$B$300,$A77,'Clarice'!$F$6:$F$300,"Concluído")+COUNTIFS('Luisa'!$B$6:$B$300,$A77,'Luisa'!$F$6:$F$300,"Concluído")+COUNTIFS('Lui'!$B$6:$B$300,$A77,'Lui'!$F$6:$F$300,"Concluído")+COUNTIFS('Thaís'!$B$6:$B$300,$A77,'Thaís'!$F$6:$F$300,"Concluído")+COUNTIFS('Daniel'!$B$6:$B$300,$A77,'Daniel'!$F$6:$F$300,"Concluído")+COUNTIFS('Fernando'!$B$6:$B$300,$A77,'Fernando'!$F$6:$F$300,"Concluído")+COUNTIFS('Stephanie'!$B$6:$B$300,$A77,'Stephanie'!$F$6:$F$300,"Concluído")+COUNTIFS('Fox'!$B$6:$B$300,$A77,'Fox'!$F$6:$F$300,"Concluído")+COUNTIFS('Bruna'!$B$6:$B$300,$A77,'Bruna'!$F$6:$F$300,"Concluído")+COUNTIFS('Stella'!$B$6:$B$300,$A77,'Stella'!$F$6:$F$300,"Concluído")+COUNTIFS('Igor'!$B$6:$B$300,$A77,'Igor'!$F$6:$F$300,"Concluído"))&amp;" / "&amp;(COUNTIF('Clarice'!$B$6:$B$300,$A77)+COUNTIF('Luisa'!$B$6:$B$300,$A77)+COUNTIF('Lui'!$B$6:$B$300,$A77)+COUNTIF('Thaís'!$B$6:$B$300,$A77)+COUNTIF('Daniel'!$B$6:$B$300,$A77)+COUNTIF('Fernando'!$B$6:$B$300,$A77)+COUNTIF('Stephanie'!$B$6:$B$300,$A77)+COUNTIF('Fox'!$B$6:$B$300,$A77)+COUNTIF('Bruna'!$B$6:$B$300,$A77)+COUNTIF('Stella'!$B$6:$B$300,$A77)+COUNTIF('Igor'!$B$6:$B$300,$A77)))</f>
        <v/>
      </c>
      <c r="K77" s="18" t="n">
        <v>46097</v>
      </c>
      <c r="L77" s="18" t="n">
        <v>46122</v>
      </c>
      <c r="M77" s="19" t="n"/>
      <c r="N77" s="19" t="n"/>
      <c r="O77" s="19" t="n"/>
      <c r="P77" s="20">
        <f>IF($A77="","",IF(M77&lt;&gt;"",M77,IF(K77&lt;&gt;"",K77,"")))</f>
        <v/>
      </c>
      <c r="Q77" s="20">
        <f>IF($A77="","",IF(N77&lt;&gt;"",N77,IF(L77&lt;&gt;"",L77,"")))</f>
        <v/>
      </c>
      <c r="R77" s="15" t="n"/>
      <c r="S77" s="16">
        <f t="array" ref="S77">IF($A77="","",_xlfn.TEXTJOIN(CHAR(10),TRUE,IF('Clarice'!$B$6:$B$300=$A77,"Clarice"&amp;IF('Clarice'!$E$6:$E$300="",""," : "&amp;'Clarice'!$E$6:$E$300)&amp;" ["&amp;'Clarice'!$F$6:$F$300&amp;"]",""),IF('Luisa'!$B$6:$B$300=$A77,"Luisa"&amp;IF('Luisa'!$E$6:$E$300="",""," : "&amp;'Luisa'!$E$6:$E$300)&amp;" ["&amp;'Luisa'!$F$6:$F$300&amp;"]",""),IF('Lui'!$B$6:$B$300=$A77,"Lui"&amp;IF('Lui'!$E$6:$E$300="",""," : "&amp;'Lui'!$E$6:$E$300)&amp;" ["&amp;'Lui'!$F$6:$F$300&amp;"]",""),IF('Thaís'!$B$6:$B$300=$A77,"Thaís"&amp;IF('Thaís'!$E$6:$E$300="",""," : "&amp;'Thaís'!$E$6:$E$300)&amp;" ["&amp;'Thaís'!$F$6:$F$300&amp;"]",""),IF('Daniel'!$B$6:$B$300=$A77,"Daniel"&amp;IF('Daniel'!$E$6:$E$300="",""," : "&amp;'Daniel'!$E$6:$E$300)&amp;" ["&amp;'Daniel'!$F$6:$F$300&amp;"]",""),IF('Fernando'!$B$6:$B$300=$A77,"Fernando"&amp;IF('Fernando'!$E$6:$E$300="",""," : "&amp;'Fernando'!$E$6:$E$300)&amp;" ["&amp;'Fernando'!$F$6:$F$300&amp;"]",""),IF('Stephanie'!$B$6:$B$300=$A77,"Stephanie"&amp;IF('Stephanie'!$E$6:$E$300="",""," : "&amp;'Stephanie'!$E$6:$E$300)&amp;" ["&amp;'Stephanie'!$F$6:$F$300&amp;"]",""),IF('Fox'!$B$6:$B$300=$A77,"Fox"&amp;IF('Fox'!$E$6:$E$300="",""," : "&amp;'Fox'!$E$6:$E$300)&amp;" ["&amp;'Fox'!$F$6:$F$300&amp;"]",""),IF('Bruna'!$B$6:$B$300=$A77,"Bruna"&amp;IF('Bruna'!$E$6:$E$300="",""," : "&amp;'Bruna'!$E$6:$E$300)&amp;" ["&amp;'Bruna'!$F$6:$F$300&amp;"]",""),IF('Stella'!$B$6:$B$300=$A77,"Stella"&amp;IF('Stella'!$E$6:$E$300="",""," : "&amp;'Stella'!$E$6:$E$300)&amp;" ["&amp;'Stella'!$F$6:$F$300&amp;"]",""),IF('Igor'!$B$6:$B$300=$A77,"Igor"&amp;IF('Igor'!$E$6:$E$300="",""," : "&amp;'Igor'!$E$6:$E$300)&amp;" ["&amp;'Igor'!$F$6:$F$300&amp;"]","")))</f>
        <v/>
      </c>
    </row>
    <row r="78" ht="28" customHeight="1">
      <c r="A78" s="13" t="inlineStr">
        <is>
          <t>DM-015</t>
        </is>
      </c>
      <c r="B78" s="14" t="inlineStr">
        <is>
          <t>Etapa 2: Construção das métricas | Atividade 7: Operacionalização das métricas | Atividade 8: Aplicação das métricas</t>
        </is>
      </c>
      <c r="C78" s="14" t="inlineStr">
        <is>
          <t>3. Aplicação da DM</t>
        </is>
      </c>
      <c r="D78" s="14" t="inlineStr">
        <is>
          <t>UTGCA</t>
        </is>
      </c>
      <c r="E78" s="15" t="inlineStr">
        <is>
          <t>Estruturação dos cálculos no excel - flora (UTGCA)</t>
        </is>
      </c>
      <c r="F78" s="13" t="inlineStr">
        <is>
          <t>Stephanie</t>
        </is>
      </c>
      <c r="G78" s="16">
        <f>IF($A78="","",_xlfn.TEXTJOIN("; ",TRUE,IF(COUNTIF('Clarice'!$B$6:$B$300,$A78)&gt;0,"Clarice",""),IF(COUNTIF('Luisa'!$B$6:$B$300,$A78)&gt;0,"Luisa",""),IF(COUNTIF('Lui'!$B$6:$B$300,$A78)&gt;0,"Lui",""),IF(COUNTIF('Thaís'!$B$6:$B$300,$A78)&gt;0,"Thaís",""),IF(COUNTIF('Daniel'!$B$6:$B$300,$A78)&gt;0,"Daniel",""),IF(COUNTIF('Fernando'!$B$6:$B$300,$A78)&gt;0,"Fernando",""),IF(COUNTIF('Stephanie'!$B$6:$B$300,$A78)&gt;0,"Stephanie",""),IF(COUNTIF('Fox'!$B$6:$B$300,$A78)&gt;0,"Fox",""),IF(COUNTIF('Bruna'!$B$6:$B$300,$A78)&gt;0,"Bruna",""),IF(COUNTIF('Stella'!$B$6:$B$300,$A78)&gt;0,"Stella",""),IF(COUNTIF('Igor'!$B$6:$B$300,$A78)&gt;0,"Igor","")))</f>
        <v/>
      </c>
      <c r="H78" s="13" t="n"/>
      <c r="I78" s="13" t="inlineStr">
        <is>
          <t>Concluído</t>
        </is>
      </c>
      <c r="J78" s="17">
        <f>IF(OR($A78="",(COUNTIF('Clarice'!$B$6:$B$300,$A78)+COUNTIF('Luisa'!$B$6:$B$300,$A78)+COUNTIF('Lui'!$B$6:$B$300,$A78)+COUNTIF('Thaís'!$B$6:$B$300,$A78)+COUNTIF('Daniel'!$B$6:$B$300,$A78)+COUNTIF('Fernando'!$B$6:$B$300,$A78)+COUNTIF('Stephanie'!$B$6:$B$300,$A78)+COUNTIF('Fox'!$B$6:$B$300,$A78)+COUNTIF('Bruna'!$B$6:$B$300,$A78)+COUNTIF('Stella'!$B$6:$B$300,$A78)+COUNTIF('Igor'!$B$6:$B$300,$A78))=0),"",(COUNTIFS('Clarice'!$B$6:$B$300,$A78,'Clarice'!$F$6:$F$300,"Concluído")+COUNTIFS('Luisa'!$B$6:$B$300,$A78,'Luisa'!$F$6:$F$300,"Concluído")+COUNTIFS('Lui'!$B$6:$B$300,$A78,'Lui'!$F$6:$F$300,"Concluído")+COUNTIFS('Thaís'!$B$6:$B$300,$A78,'Thaís'!$F$6:$F$300,"Concluído")+COUNTIFS('Daniel'!$B$6:$B$300,$A78,'Daniel'!$F$6:$F$300,"Concluído")+COUNTIFS('Fernando'!$B$6:$B$300,$A78,'Fernando'!$F$6:$F$300,"Concluído")+COUNTIFS('Stephanie'!$B$6:$B$300,$A78,'Stephanie'!$F$6:$F$300,"Concluído")+COUNTIFS('Fox'!$B$6:$B$300,$A78,'Fox'!$F$6:$F$300,"Concluído")+COUNTIFS('Bruna'!$B$6:$B$300,$A78,'Bruna'!$F$6:$F$300,"Concluído")+COUNTIFS('Stella'!$B$6:$B$300,$A78,'Stella'!$F$6:$F$300,"Concluído")+COUNTIFS('Igor'!$B$6:$B$300,$A78,'Igor'!$F$6:$F$300,"Concluído"))&amp;" / "&amp;(COUNTIF('Clarice'!$B$6:$B$300,$A78)+COUNTIF('Luisa'!$B$6:$B$300,$A78)+COUNTIF('Lui'!$B$6:$B$300,$A78)+COUNTIF('Thaís'!$B$6:$B$300,$A78)+COUNTIF('Daniel'!$B$6:$B$300,$A78)+COUNTIF('Fernando'!$B$6:$B$300,$A78)+COUNTIF('Stephanie'!$B$6:$B$300,$A78)+COUNTIF('Fox'!$B$6:$B$300,$A78)+COUNTIF('Bruna'!$B$6:$B$300,$A78)+COUNTIF('Stella'!$B$6:$B$300,$A78)+COUNTIF('Igor'!$B$6:$B$300,$A78)))</f>
        <v/>
      </c>
      <c r="K78" s="18" t="n">
        <v>46118</v>
      </c>
      <c r="L78" s="18" t="n">
        <v>46122</v>
      </c>
      <c r="M78" s="18" t="n">
        <v>46118</v>
      </c>
      <c r="N78" s="18" t="n">
        <v>46150</v>
      </c>
      <c r="O78" s="19" t="n"/>
      <c r="P78" s="20">
        <f>IF($A78="","",IF(M78&lt;&gt;"",M78,IF(K78&lt;&gt;"",K78,"")))</f>
        <v/>
      </c>
      <c r="Q78" s="20">
        <f>IF($A78="","",IF(N78&lt;&gt;"",N78,IF(L78&lt;&gt;"",L78,"")))</f>
        <v/>
      </c>
      <c r="R78" s="15" t="n"/>
      <c r="S78" s="16">
        <f t="array" ref="S78">IF($A78="","",_xlfn.TEXTJOIN(CHAR(10),TRUE,IF('Clarice'!$B$6:$B$300=$A78,"Clarice"&amp;IF('Clarice'!$E$6:$E$300="",""," : "&amp;'Clarice'!$E$6:$E$300)&amp;" ["&amp;'Clarice'!$F$6:$F$300&amp;"]",""),IF('Luisa'!$B$6:$B$300=$A78,"Luisa"&amp;IF('Luisa'!$E$6:$E$300="",""," : "&amp;'Luisa'!$E$6:$E$300)&amp;" ["&amp;'Luisa'!$F$6:$F$300&amp;"]",""),IF('Lui'!$B$6:$B$300=$A78,"Lui"&amp;IF('Lui'!$E$6:$E$300="",""," : "&amp;'Lui'!$E$6:$E$300)&amp;" ["&amp;'Lui'!$F$6:$F$300&amp;"]",""),IF('Thaís'!$B$6:$B$300=$A78,"Thaís"&amp;IF('Thaís'!$E$6:$E$300="",""," : "&amp;'Thaís'!$E$6:$E$300)&amp;" ["&amp;'Thaís'!$F$6:$F$300&amp;"]",""),IF('Daniel'!$B$6:$B$300=$A78,"Daniel"&amp;IF('Daniel'!$E$6:$E$300="",""," : "&amp;'Daniel'!$E$6:$E$300)&amp;" ["&amp;'Daniel'!$F$6:$F$300&amp;"]",""),IF('Fernando'!$B$6:$B$300=$A78,"Fernando"&amp;IF('Fernando'!$E$6:$E$300="",""," : "&amp;'Fernando'!$E$6:$E$300)&amp;" ["&amp;'Fernando'!$F$6:$F$300&amp;"]",""),IF('Stephanie'!$B$6:$B$300=$A78,"Stephanie"&amp;IF('Stephanie'!$E$6:$E$300="",""," : "&amp;'Stephanie'!$E$6:$E$300)&amp;" ["&amp;'Stephanie'!$F$6:$F$300&amp;"]",""),IF('Fox'!$B$6:$B$300=$A78,"Fox"&amp;IF('Fox'!$E$6:$E$300="",""," : "&amp;'Fox'!$E$6:$E$300)&amp;" ["&amp;'Fox'!$F$6:$F$300&amp;"]",""),IF('Bruna'!$B$6:$B$300=$A78,"Bruna"&amp;IF('Bruna'!$E$6:$E$300="",""," : "&amp;'Bruna'!$E$6:$E$300)&amp;" ["&amp;'Bruna'!$F$6:$F$300&amp;"]",""),IF('Stella'!$B$6:$B$300=$A78,"Stella"&amp;IF('Stella'!$E$6:$E$300="",""," : "&amp;'Stella'!$E$6:$E$300)&amp;" ["&amp;'Stella'!$F$6:$F$300&amp;"]",""),IF('Igor'!$B$6:$B$300=$A78,"Igor"&amp;IF('Igor'!$E$6:$E$300="",""," : "&amp;'Igor'!$E$6:$E$300)&amp;" ["&amp;'Igor'!$F$6:$F$300&amp;"]","")))</f>
        <v/>
      </c>
    </row>
    <row r="79" ht="28" customHeight="1">
      <c r="A79" s="13" t="inlineStr">
        <is>
          <t>DM-016</t>
        </is>
      </c>
      <c r="B79" s="14" t="inlineStr">
        <is>
          <t>Etapa 2: Construção das métricas | Atividade 7: Operacionalização das métricas | Atividade 8: Aplicação das métricas</t>
        </is>
      </c>
      <c r="C79" s="14" t="inlineStr">
        <is>
          <t>3. Aplicação da DM</t>
        </is>
      </c>
      <c r="D79" s="14" t="inlineStr">
        <is>
          <t>UTGCA</t>
        </is>
      </c>
      <c r="E79" s="15" t="inlineStr">
        <is>
          <t>Rodar a métrica - flora (UTGCA)</t>
        </is>
      </c>
      <c r="F79" s="13" t="inlineStr">
        <is>
          <t>Stephanie</t>
        </is>
      </c>
      <c r="G79" s="16">
        <f>IF($A79="","",_xlfn.TEXTJOIN("; ",TRUE,IF(COUNTIF('Clarice'!$B$6:$B$300,$A79)&gt;0,"Clarice",""),IF(COUNTIF('Luisa'!$B$6:$B$300,$A79)&gt;0,"Luisa",""),IF(COUNTIF('Lui'!$B$6:$B$300,$A79)&gt;0,"Lui",""),IF(COUNTIF('Thaís'!$B$6:$B$300,$A79)&gt;0,"Thaís",""),IF(COUNTIF('Daniel'!$B$6:$B$300,$A79)&gt;0,"Daniel",""),IF(COUNTIF('Fernando'!$B$6:$B$300,$A79)&gt;0,"Fernando",""),IF(COUNTIF('Stephanie'!$B$6:$B$300,$A79)&gt;0,"Stephanie",""),IF(COUNTIF('Fox'!$B$6:$B$300,$A79)&gt;0,"Fox",""),IF(COUNTIF('Bruna'!$B$6:$B$300,$A79)&gt;0,"Bruna",""),IF(COUNTIF('Stella'!$B$6:$B$300,$A79)&gt;0,"Stella",""),IF(COUNTIF('Igor'!$B$6:$B$300,$A79)&gt;0,"Igor","")))</f>
        <v/>
      </c>
      <c r="H79" s="13" t="n"/>
      <c r="I79" s="13" t="inlineStr">
        <is>
          <t>Concluído</t>
        </is>
      </c>
      <c r="J79" s="17">
        <f>IF(OR($A79="",(COUNTIF('Clarice'!$B$6:$B$300,$A79)+COUNTIF('Luisa'!$B$6:$B$300,$A79)+COUNTIF('Lui'!$B$6:$B$300,$A79)+COUNTIF('Thaís'!$B$6:$B$300,$A79)+COUNTIF('Daniel'!$B$6:$B$300,$A79)+COUNTIF('Fernando'!$B$6:$B$300,$A79)+COUNTIF('Stephanie'!$B$6:$B$300,$A79)+COUNTIF('Fox'!$B$6:$B$300,$A79)+COUNTIF('Bruna'!$B$6:$B$300,$A79)+COUNTIF('Stella'!$B$6:$B$300,$A79)+COUNTIF('Igor'!$B$6:$B$300,$A79))=0),"",(COUNTIFS('Clarice'!$B$6:$B$300,$A79,'Clarice'!$F$6:$F$300,"Concluído")+COUNTIFS('Luisa'!$B$6:$B$300,$A79,'Luisa'!$F$6:$F$300,"Concluído")+COUNTIFS('Lui'!$B$6:$B$300,$A79,'Lui'!$F$6:$F$300,"Concluído")+COUNTIFS('Thaís'!$B$6:$B$300,$A79,'Thaís'!$F$6:$F$300,"Concluído")+COUNTIFS('Daniel'!$B$6:$B$300,$A79,'Daniel'!$F$6:$F$300,"Concluído")+COUNTIFS('Fernando'!$B$6:$B$300,$A79,'Fernando'!$F$6:$F$300,"Concluído")+COUNTIFS('Stephanie'!$B$6:$B$300,$A79,'Stephanie'!$F$6:$F$300,"Concluído")+COUNTIFS('Fox'!$B$6:$B$300,$A79,'Fox'!$F$6:$F$300,"Concluído")+COUNTIFS('Bruna'!$B$6:$B$300,$A79,'Bruna'!$F$6:$F$300,"Concluído")+COUNTIFS('Stella'!$B$6:$B$300,$A79,'Stella'!$F$6:$F$300,"Concluído")+COUNTIFS('Igor'!$B$6:$B$300,$A79,'Igor'!$F$6:$F$300,"Concluído"))&amp;" / "&amp;(COUNTIF('Clarice'!$B$6:$B$300,$A79)+COUNTIF('Luisa'!$B$6:$B$300,$A79)+COUNTIF('Lui'!$B$6:$B$300,$A79)+COUNTIF('Thaís'!$B$6:$B$300,$A79)+COUNTIF('Daniel'!$B$6:$B$300,$A79)+COUNTIF('Fernando'!$B$6:$B$300,$A79)+COUNTIF('Stephanie'!$B$6:$B$300,$A79)+COUNTIF('Fox'!$B$6:$B$300,$A79)+COUNTIF('Bruna'!$B$6:$B$300,$A79)+COUNTIF('Stella'!$B$6:$B$300,$A79)+COUNTIF('Igor'!$B$6:$B$300,$A79)))</f>
        <v/>
      </c>
      <c r="K79" s="18" t="n">
        <v>46118</v>
      </c>
      <c r="L79" s="18" t="n">
        <v>46122</v>
      </c>
      <c r="M79" s="18" t="n">
        <v>46118</v>
      </c>
      <c r="N79" s="18" t="n">
        <v>46150</v>
      </c>
      <c r="O79" s="19" t="n"/>
      <c r="P79" s="20">
        <f>IF($A79="","",IF(M79&lt;&gt;"",M79,IF(K79&lt;&gt;"",K79,"")))</f>
        <v/>
      </c>
      <c r="Q79" s="20">
        <f>IF($A79="","",IF(N79&lt;&gt;"",N79,IF(L79&lt;&gt;"",L79,"")))</f>
        <v/>
      </c>
      <c r="R79" s="15" t="n"/>
      <c r="S79" s="16">
        <f t="array" ref="S79">IF($A79="","",_xlfn.TEXTJOIN(CHAR(10),TRUE,IF('Clarice'!$B$6:$B$300=$A79,"Clarice"&amp;IF('Clarice'!$E$6:$E$300="",""," : "&amp;'Clarice'!$E$6:$E$300)&amp;" ["&amp;'Clarice'!$F$6:$F$300&amp;"]",""),IF('Luisa'!$B$6:$B$300=$A79,"Luisa"&amp;IF('Luisa'!$E$6:$E$300="",""," : "&amp;'Luisa'!$E$6:$E$300)&amp;" ["&amp;'Luisa'!$F$6:$F$300&amp;"]",""),IF('Lui'!$B$6:$B$300=$A79,"Lui"&amp;IF('Lui'!$E$6:$E$300="",""," : "&amp;'Lui'!$E$6:$E$300)&amp;" ["&amp;'Lui'!$F$6:$F$300&amp;"]",""),IF('Thaís'!$B$6:$B$300=$A79,"Thaís"&amp;IF('Thaís'!$E$6:$E$300="",""," : "&amp;'Thaís'!$E$6:$E$300)&amp;" ["&amp;'Thaís'!$F$6:$F$300&amp;"]",""),IF('Daniel'!$B$6:$B$300=$A79,"Daniel"&amp;IF('Daniel'!$E$6:$E$300="",""," : "&amp;'Daniel'!$E$6:$E$300)&amp;" ["&amp;'Daniel'!$F$6:$F$300&amp;"]",""),IF('Fernando'!$B$6:$B$300=$A79,"Fernando"&amp;IF('Fernando'!$E$6:$E$300="",""," : "&amp;'Fernando'!$E$6:$E$300)&amp;" ["&amp;'Fernando'!$F$6:$F$300&amp;"]",""),IF('Stephanie'!$B$6:$B$300=$A79,"Stephanie"&amp;IF('Stephanie'!$E$6:$E$300="",""," : "&amp;'Stephanie'!$E$6:$E$300)&amp;" ["&amp;'Stephanie'!$F$6:$F$300&amp;"]",""),IF('Fox'!$B$6:$B$300=$A79,"Fox"&amp;IF('Fox'!$E$6:$E$300="",""," : "&amp;'Fox'!$E$6:$E$300)&amp;" ["&amp;'Fox'!$F$6:$F$300&amp;"]",""),IF('Bruna'!$B$6:$B$300=$A79,"Bruna"&amp;IF('Bruna'!$E$6:$E$300="",""," : "&amp;'Bruna'!$E$6:$E$300)&amp;" ["&amp;'Bruna'!$F$6:$F$300&amp;"]",""),IF('Stella'!$B$6:$B$300=$A79,"Stella"&amp;IF('Stella'!$E$6:$E$300="",""," : "&amp;'Stella'!$E$6:$E$300)&amp;" ["&amp;'Stella'!$F$6:$F$300&amp;"]",""),IF('Igor'!$B$6:$B$300=$A79,"Igor"&amp;IF('Igor'!$E$6:$E$300="",""," : "&amp;'Igor'!$E$6:$E$300)&amp;" ["&amp;'Igor'!$F$6:$F$300&amp;"]","")))</f>
        <v/>
      </c>
    </row>
    <row r="80" ht="40.5" customHeight="1">
      <c r="A80" s="13" t="inlineStr">
        <is>
          <t>DM-017</t>
        </is>
      </c>
      <c r="B80" s="14" t="inlineStr">
        <is>
          <t>Etapa 2: Construção das métricas | Atividade 7: Operacionalização das métricas | Atividade 8: Aplicação das métricas</t>
        </is>
      </c>
      <c r="C80" s="14" t="inlineStr">
        <is>
          <t>3. Aplicação da DM</t>
        </is>
      </c>
      <c r="D80" s="14" t="inlineStr">
        <is>
          <t>UTGCA</t>
        </is>
      </c>
      <c r="E80" s="15" t="inlineStr">
        <is>
          <t>Apresentar e consolidar os resultados internamente - flora (UTGCA)</t>
        </is>
      </c>
      <c r="F80" s="13" t="inlineStr">
        <is>
          <t>Stephanie</t>
        </is>
      </c>
      <c r="G80" s="16">
        <f>IF($A80="","",_xlfn.TEXTJOIN("; ",TRUE,IF(COUNTIF('Clarice'!$B$6:$B$300,$A80)&gt;0,"Clarice",""),IF(COUNTIF('Luisa'!$B$6:$B$300,$A80)&gt;0,"Luisa",""),IF(COUNTIF('Lui'!$B$6:$B$300,$A80)&gt;0,"Lui",""),IF(COUNTIF('Thaís'!$B$6:$B$300,$A80)&gt;0,"Thaís",""),IF(COUNTIF('Daniel'!$B$6:$B$300,$A80)&gt;0,"Daniel",""),IF(COUNTIF('Fernando'!$B$6:$B$300,$A80)&gt;0,"Fernando",""),IF(COUNTIF('Stephanie'!$B$6:$B$300,$A80)&gt;0,"Stephanie",""),IF(COUNTIF('Fox'!$B$6:$B$300,$A80)&gt;0,"Fox",""),IF(COUNTIF('Bruna'!$B$6:$B$300,$A80)&gt;0,"Bruna",""),IF(COUNTIF('Stella'!$B$6:$B$300,$A80)&gt;0,"Stella",""),IF(COUNTIF('Igor'!$B$6:$B$300,$A80)&gt;0,"Igor","")))</f>
        <v/>
      </c>
      <c r="H80" s="13" t="n"/>
      <c r="I80" s="13" t="inlineStr">
        <is>
          <t>Concluído</t>
        </is>
      </c>
      <c r="J80" s="17">
        <f>IF(OR($A80="",(COUNTIF('Clarice'!$B$6:$B$300,$A80)+COUNTIF('Luisa'!$B$6:$B$300,$A80)+COUNTIF('Lui'!$B$6:$B$300,$A80)+COUNTIF('Thaís'!$B$6:$B$300,$A80)+COUNTIF('Daniel'!$B$6:$B$300,$A80)+COUNTIF('Fernando'!$B$6:$B$300,$A80)+COUNTIF('Stephanie'!$B$6:$B$300,$A80)+COUNTIF('Fox'!$B$6:$B$300,$A80)+COUNTIF('Bruna'!$B$6:$B$300,$A80)+COUNTIF('Stella'!$B$6:$B$300,$A80)+COUNTIF('Igor'!$B$6:$B$300,$A80))=0),"",(COUNTIFS('Clarice'!$B$6:$B$300,$A80,'Clarice'!$F$6:$F$300,"Concluído")+COUNTIFS('Luisa'!$B$6:$B$300,$A80,'Luisa'!$F$6:$F$300,"Concluído")+COUNTIFS('Lui'!$B$6:$B$300,$A80,'Lui'!$F$6:$F$300,"Concluído")+COUNTIFS('Thaís'!$B$6:$B$300,$A80,'Thaís'!$F$6:$F$300,"Concluído")+COUNTIFS('Daniel'!$B$6:$B$300,$A80,'Daniel'!$F$6:$F$300,"Concluído")+COUNTIFS('Fernando'!$B$6:$B$300,$A80,'Fernando'!$F$6:$F$300,"Concluído")+COUNTIFS('Stephanie'!$B$6:$B$300,$A80,'Stephanie'!$F$6:$F$300,"Concluído")+COUNTIFS('Fox'!$B$6:$B$300,$A80,'Fox'!$F$6:$F$300,"Concluído")+COUNTIFS('Bruna'!$B$6:$B$300,$A80,'Bruna'!$F$6:$F$300,"Concluído")+COUNTIFS('Stella'!$B$6:$B$300,$A80,'Stella'!$F$6:$F$300,"Concluído")+COUNTIFS('Igor'!$B$6:$B$300,$A80,'Igor'!$F$6:$F$300,"Concluído"))&amp;" / "&amp;(COUNTIF('Clarice'!$B$6:$B$300,$A80)+COUNTIF('Luisa'!$B$6:$B$300,$A80)+COUNTIF('Lui'!$B$6:$B$300,$A80)+COUNTIF('Thaís'!$B$6:$B$300,$A80)+COUNTIF('Daniel'!$B$6:$B$300,$A80)+COUNTIF('Fernando'!$B$6:$B$300,$A80)+COUNTIF('Stephanie'!$B$6:$B$300,$A80)+COUNTIF('Fox'!$B$6:$B$300,$A80)+COUNTIF('Bruna'!$B$6:$B$300,$A80)+COUNTIF('Stella'!$B$6:$B$300,$A80)+COUNTIF('Igor'!$B$6:$B$300,$A80)))</f>
        <v/>
      </c>
      <c r="K80" s="18" t="n">
        <v>46118</v>
      </c>
      <c r="L80" s="18" t="n">
        <v>46122</v>
      </c>
      <c r="M80" s="18" t="n">
        <v>46118</v>
      </c>
      <c r="N80" s="18" t="n">
        <v>46157</v>
      </c>
      <c r="O80" s="19" t="n"/>
      <c r="P80" s="20">
        <f>IF($A80="","",IF(M80&lt;&gt;"",M80,IF(K80&lt;&gt;"",K80,"")))</f>
        <v/>
      </c>
      <c r="Q80" s="20">
        <f>IF($A80="","",IF(N80&lt;&gt;"",N80,IF(L80&lt;&gt;"",L80,"")))</f>
        <v/>
      </c>
      <c r="R80" s="15" t="n"/>
      <c r="S80" s="16">
        <f t="array" ref="S80">IF($A80="","",_xlfn.TEXTJOIN(CHAR(10),TRUE,IF('Clarice'!$B$6:$B$300=$A80,"Clarice"&amp;IF('Clarice'!$E$6:$E$300="",""," : "&amp;'Clarice'!$E$6:$E$300)&amp;" ["&amp;'Clarice'!$F$6:$F$300&amp;"]",""),IF('Luisa'!$B$6:$B$300=$A80,"Luisa"&amp;IF('Luisa'!$E$6:$E$300="",""," : "&amp;'Luisa'!$E$6:$E$300)&amp;" ["&amp;'Luisa'!$F$6:$F$300&amp;"]",""),IF('Lui'!$B$6:$B$300=$A80,"Lui"&amp;IF('Lui'!$E$6:$E$300="",""," : "&amp;'Lui'!$E$6:$E$300)&amp;" ["&amp;'Lui'!$F$6:$F$300&amp;"]",""),IF('Thaís'!$B$6:$B$300=$A80,"Thaís"&amp;IF('Thaís'!$E$6:$E$300="",""," : "&amp;'Thaís'!$E$6:$E$300)&amp;" ["&amp;'Thaís'!$F$6:$F$300&amp;"]",""),IF('Daniel'!$B$6:$B$300=$A80,"Daniel"&amp;IF('Daniel'!$E$6:$E$300="",""," : "&amp;'Daniel'!$E$6:$E$300)&amp;" ["&amp;'Daniel'!$F$6:$F$300&amp;"]",""),IF('Fernando'!$B$6:$B$300=$A80,"Fernando"&amp;IF('Fernando'!$E$6:$E$300="",""," : "&amp;'Fernando'!$E$6:$E$300)&amp;" ["&amp;'Fernando'!$F$6:$F$300&amp;"]",""),IF('Stephanie'!$B$6:$B$300=$A80,"Stephanie"&amp;IF('Stephanie'!$E$6:$E$300="",""," : "&amp;'Stephanie'!$E$6:$E$300)&amp;" ["&amp;'Stephanie'!$F$6:$F$300&amp;"]",""),IF('Fox'!$B$6:$B$300=$A80,"Fox"&amp;IF('Fox'!$E$6:$E$300="",""," : "&amp;'Fox'!$E$6:$E$300)&amp;" ["&amp;'Fox'!$F$6:$F$300&amp;"]",""),IF('Bruna'!$B$6:$B$300=$A80,"Bruna"&amp;IF('Bruna'!$E$6:$E$300="",""," : "&amp;'Bruna'!$E$6:$E$300)&amp;" ["&amp;'Bruna'!$F$6:$F$300&amp;"]",""),IF('Stella'!$B$6:$B$300=$A80,"Stella"&amp;IF('Stella'!$E$6:$E$300="",""," : "&amp;'Stella'!$E$6:$E$300)&amp;" ["&amp;'Stella'!$F$6:$F$300&amp;"]",""),IF('Igor'!$B$6:$B$300=$A80,"Igor"&amp;IF('Igor'!$E$6:$E$300="",""," : "&amp;'Igor'!$E$6:$E$300)&amp;" ["&amp;'Igor'!$F$6:$F$300&amp;"]","")))</f>
        <v/>
      </c>
    </row>
    <row r="81" ht="28" customHeight="1">
      <c r="A81" s="13" t="inlineStr">
        <is>
          <t>DM-018</t>
        </is>
      </c>
      <c r="B81" s="14" t="inlineStr">
        <is>
          <t>Etapa 2: Construção das métricas | Atividade 7: Operacionalização das métricas | Atividade 8: Aplicação das métricas</t>
        </is>
      </c>
      <c r="C81" s="14" t="inlineStr">
        <is>
          <t>3. Aplicação da DM</t>
        </is>
      </c>
      <c r="D81" s="14" t="inlineStr">
        <is>
          <t>UTGCA</t>
        </is>
      </c>
      <c r="E81" s="15" t="inlineStr">
        <is>
          <t>Identificar lacunas de dados para recomendar para a Petrobras (UTGCA)</t>
        </is>
      </c>
      <c r="F81" s="13" t="inlineStr">
        <is>
          <t>Stephanie</t>
        </is>
      </c>
      <c r="G81" s="16">
        <f>IF($A81="","",_xlfn.TEXTJOIN("; ",TRUE,IF(COUNTIF('Clarice'!$B$6:$B$300,$A81)&gt;0,"Clarice",""),IF(COUNTIF('Luisa'!$B$6:$B$300,$A81)&gt;0,"Luisa",""),IF(COUNTIF('Lui'!$B$6:$B$300,$A81)&gt;0,"Lui",""),IF(COUNTIF('Thaís'!$B$6:$B$300,$A81)&gt;0,"Thaís",""),IF(COUNTIF('Daniel'!$B$6:$B$300,$A81)&gt;0,"Daniel",""),IF(COUNTIF('Fernando'!$B$6:$B$300,$A81)&gt;0,"Fernando",""),IF(COUNTIF('Stephanie'!$B$6:$B$300,$A81)&gt;0,"Stephanie",""),IF(COUNTIF('Fox'!$B$6:$B$300,$A81)&gt;0,"Fox",""),IF(COUNTIF('Bruna'!$B$6:$B$300,$A81)&gt;0,"Bruna",""),IF(COUNTIF('Stella'!$B$6:$B$300,$A81)&gt;0,"Stella",""),IF(COUNTIF('Igor'!$B$6:$B$300,$A81)&gt;0,"Igor","")))</f>
        <v/>
      </c>
      <c r="H81" s="13" t="n"/>
      <c r="I81" s="13" t="inlineStr">
        <is>
          <t>Concluído</t>
        </is>
      </c>
      <c r="J81" s="17">
        <f>IF(OR($A81="",(COUNTIF('Clarice'!$B$6:$B$300,$A81)+COUNTIF('Luisa'!$B$6:$B$300,$A81)+COUNTIF('Lui'!$B$6:$B$300,$A81)+COUNTIF('Thaís'!$B$6:$B$300,$A81)+COUNTIF('Daniel'!$B$6:$B$300,$A81)+COUNTIF('Fernando'!$B$6:$B$300,$A81)+COUNTIF('Stephanie'!$B$6:$B$300,$A81)+COUNTIF('Fox'!$B$6:$B$300,$A81)+COUNTIF('Bruna'!$B$6:$B$300,$A81)+COUNTIF('Stella'!$B$6:$B$300,$A81)+COUNTIF('Igor'!$B$6:$B$300,$A81))=0),"",(COUNTIFS('Clarice'!$B$6:$B$300,$A81,'Clarice'!$F$6:$F$300,"Concluído")+COUNTIFS('Luisa'!$B$6:$B$300,$A81,'Luisa'!$F$6:$F$300,"Concluído")+COUNTIFS('Lui'!$B$6:$B$300,$A81,'Lui'!$F$6:$F$300,"Concluído")+COUNTIFS('Thaís'!$B$6:$B$300,$A81,'Thaís'!$F$6:$F$300,"Concluído")+COUNTIFS('Daniel'!$B$6:$B$300,$A81,'Daniel'!$F$6:$F$300,"Concluído")+COUNTIFS('Fernando'!$B$6:$B$300,$A81,'Fernando'!$F$6:$F$300,"Concluído")+COUNTIFS('Stephanie'!$B$6:$B$300,$A81,'Stephanie'!$F$6:$F$300,"Concluído")+COUNTIFS('Fox'!$B$6:$B$300,$A81,'Fox'!$F$6:$F$300,"Concluído")+COUNTIFS('Bruna'!$B$6:$B$300,$A81,'Bruna'!$F$6:$F$300,"Concluído")+COUNTIFS('Stella'!$B$6:$B$300,$A81,'Stella'!$F$6:$F$300,"Concluído")+COUNTIFS('Igor'!$B$6:$B$300,$A81,'Igor'!$F$6:$F$300,"Concluído"))&amp;" / "&amp;(COUNTIF('Clarice'!$B$6:$B$300,$A81)+COUNTIF('Luisa'!$B$6:$B$300,$A81)+COUNTIF('Lui'!$B$6:$B$300,$A81)+COUNTIF('Thaís'!$B$6:$B$300,$A81)+COUNTIF('Daniel'!$B$6:$B$300,$A81)+COUNTIF('Fernando'!$B$6:$B$300,$A81)+COUNTIF('Stephanie'!$B$6:$B$300,$A81)+COUNTIF('Fox'!$B$6:$B$300,$A81)+COUNTIF('Bruna'!$B$6:$B$300,$A81)+COUNTIF('Stella'!$B$6:$B$300,$A81)+COUNTIF('Igor'!$B$6:$B$300,$A81)))</f>
        <v/>
      </c>
      <c r="K81" s="18" t="n">
        <v>46118</v>
      </c>
      <c r="L81" s="18" t="n">
        <v>46129</v>
      </c>
      <c r="M81" s="19" t="n"/>
      <c r="N81" s="19" t="n"/>
      <c r="O81" s="19" t="n"/>
      <c r="P81" s="20">
        <f>IF($A81="","",IF(M81&lt;&gt;"",M81,IF(K81&lt;&gt;"",K81,"")))</f>
        <v/>
      </c>
      <c r="Q81" s="20">
        <f>IF($A81="","",IF(N81&lt;&gt;"",N81,IF(L81&lt;&gt;"",L81,"")))</f>
        <v/>
      </c>
      <c r="R81" s="15" t="n"/>
      <c r="S81" s="16">
        <f t="array" ref="S81">IF($A81="","",_xlfn.TEXTJOIN(CHAR(10),TRUE,IF('Clarice'!$B$6:$B$300=$A81,"Clarice"&amp;IF('Clarice'!$E$6:$E$300="",""," : "&amp;'Clarice'!$E$6:$E$300)&amp;" ["&amp;'Clarice'!$F$6:$F$300&amp;"]",""),IF('Luisa'!$B$6:$B$300=$A81,"Luisa"&amp;IF('Luisa'!$E$6:$E$300="",""," : "&amp;'Luisa'!$E$6:$E$300)&amp;" ["&amp;'Luisa'!$F$6:$F$300&amp;"]",""),IF('Lui'!$B$6:$B$300=$A81,"Lui"&amp;IF('Lui'!$E$6:$E$300="",""," : "&amp;'Lui'!$E$6:$E$300)&amp;" ["&amp;'Lui'!$F$6:$F$300&amp;"]",""),IF('Thaís'!$B$6:$B$300=$A81,"Thaís"&amp;IF('Thaís'!$E$6:$E$300="",""," : "&amp;'Thaís'!$E$6:$E$300)&amp;" ["&amp;'Thaís'!$F$6:$F$300&amp;"]",""),IF('Daniel'!$B$6:$B$300=$A81,"Daniel"&amp;IF('Daniel'!$E$6:$E$300="",""," : "&amp;'Daniel'!$E$6:$E$300)&amp;" ["&amp;'Daniel'!$F$6:$F$300&amp;"]",""),IF('Fernando'!$B$6:$B$300=$A81,"Fernando"&amp;IF('Fernando'!$E$6:$E$300="",""," : "&amp;'Fernando'!$E$6:$E$300)&amp;" ["&amp;'Fernando'!$F$6:$F$300&amp;"]",""),IF('Stephanie'!$B$6:$B$300=$A81,"Stephanie"&amp;IF('Stephanie'!$E$6:$E$300="",""," : "&amp;'Stephanie'!$E$6:$E$300)&amp;" ["&amp;'Stephanie'!$F$6:$F$300&amp;"]",""),IF('Fox'!$B$6:$B$300=$A81,"Fox"&amp;IF('Fox'!$E$6:$E$300="",""," : "&amp;'Fox'!$E$6:$E$300)&amp;" ["&amp;'Fox'!$F$6:$F$300&amp;"]",""),IF('Bruna'!$B$6:$B$300=$A81,"Bruna"&amp;IF('Bruna'!$E$6:$E$300="",""," : "&amp;'Bruna'!$E$6:$E$300)&amp;" ["&amp;'Bruna'!$F$6:$F$300&amp;"]",""),IF('Stella'!$B$6:$B$300=$A81,"Stella"&amp;IF('Stella'!$E$6:$E$300="",""," : "&amp;'Stella'!$E$6:$E$300)&amp;" ["&amp;'Stella'!$F$6:$F$300&amp;"]",""),IF('Igor'!$B$6:$B$300=$A81,"Igor"&amp;IF('Igor'!$E$6:$E$300="",""," : "&amp;'Igor'!$E$6:$E$300)&amp;" ["&amp;'Igor'!$F$6:$F$300&amp;"]","")))</f>
        <v/>
      </c>
    </row>
    <row r="82" ht="53" customHeight="1">
      <c r="A82" s="13" t="inlineStr">
        <is>
          <t>DM-019</t>
        </is>
      </c>
      <c r="B82" s="14" t="inlineStr">
        <is>
          <t>Etapa 2: Construção das métricas | Atividade 7: Operacionalização das métricas | Atividade 8: Aplicação das métricas</t>
        </is>
      </c>
      <c r="C82" s="14" t="inlineStr">
        <is>
          <t>3. Aplicação da DM</t>
        </is>
      </c>
      <c r="D82" s="14" t="inlineStr">
        <is>
          <t>UTGCA</t>
        </is>
      </c>
      <c r="E82" s="15" t="inlineStr">
        <is>
          <t>Definir a estratégia de aplicação por táxon - fauna (UTGCA)</t>
        </is>
      </c>
      <c r="F82" s="13" t="inlineStr">
        <is>
          <t>Stephanie</t>
        </is>
      </c>
      <c r="G82" s="16">
        <f>IF($A82="","",_xlfn.TEXTJOIN("; ",TRUE,IF(COUNTIF('Clarice'!$B$6:$B$300,$A82)&gt;0,"Clarice",""),IF(COUNTIF('Luisa'!$B$6:$B$300,$A82)&gt;0,"Luisa",""),IF(COUNTIF('Lui'!$B$6:$B$300,$A82)&gt;0,"Lui",""),IF(COUNTIF('Thaís'!$B$6:$B$300,$A82)&gt;0,"Thaís",""),IF(COUNTIF('Daniel'!$B$6:$B$300,$A82)&gt;0,"Daniel",""),IF(COUNTIF('Fernando'!$B$6:$B$300,$A82)&gt;0,"Fernando",""),IF(COUNTIF('Stephanie'!$B$6:$B$300,$A82)&gt;0,"Stephanie",""),IF(COUNTIF('Fox'!$B$6:$B$300,$A82)&gt;0,"Fox",""),IF(COUNTIF('Bruna'!$B$6:$B$300,$A82)&gt;0,"Bruna",""),IF(COUNTIF('Stella'!$B$6:$B$300,$A82)&gt;0,"Stella",""),IF(COUNTIF('Igor'!$B$6:$B$300,$A82)&gt;0,"Igor","")))</f>
        <v/>
      </c>
      <c r="H82" s="13" t="n"/>
      <c r="I82" s="13" t="inlineStr">
        <is>
          <t>Em andamento</t>
        </is>
      </c>
      <c r="J82" s="17">
        <f>IF(OR($A82="",(COUNTIF('Clarice'!$B$6:$B$300,$A82)+COUNTIF('Luisa'!$B$6:$B$300,$A82)+COUNTIF('Lui'!$B$6:$B$300,$A82)+COUNTIF('Thaís'!$B$6:$B$300,$A82)+COUNTIF('Daniel'!$B$6:$B$300,$A82)+COUNTIF('Fernando'!$B$6:$B$300,$A82)+COUNTIF('Stephanie'!$B$6:$B$300,$A82)+COUNTIF('Fox'!$B$6:$B$300,$A82)+COUNTIF('Bruna'!$B$6:$B$300,$A82)+COUNTIF('Stella'!$B$6:$B$300,$A82)+COUNTIF('Igor'!$B$6:$B$300,$A82))=0),"",(COUNTIFS('Clarice'!$B$6:$B$300,$A82,'Clarice'!$F$6:$F$300,"Concluído")+COUNTIFS('Luisa'!$B$6:$B$300,$A82,'Luisa'!$F$6:$F$300,"Concluído")+COUNTIFS('Lui'!$B$6:$B$300,$A82,'Lui'!$F$6:$F$300,"Concluído")+COUNTIFS('Thaís'!$B$6:$B$300,$A82,'Thaís'!$F$6:$F$300,"Concluído")+COUNTIFS('Daniel'!$B$6:$B$300,$A82,'Daniel'!$F$6:$F$300,"Concluído")+COUNTIFS('Fernando'!$B$6:$B$300,$A82,'Fernando'!$F$6:$F$300,"Concluído")+COUNTIFS('Stephanie'!$B$6:$B$300,$A82,'Stephanie'!$F$6:$F$300,"Concluído")+COUNTIFS('Fox'!$B$6:$B$300,$A82,'Fox'!$F$6:$F$300,"Concluído")+COUNTIFS('Bruna'!$B$6:$B$300,$A82,'Bruna'!$F$6:$F$300,"Concluído")+COUNTIFS('Stella'!$B$6:$B$300,$A82,'Stella'!$F$6:$F$300,"Concluído")+COUNTIFS('Igor'!$B$6:$B$300,$A82,'Igor'!$F$6:$F$300,"Concluído"))&amp;" / "&amp;(COUNTIF('Clarice'!$B$6:$B$300,$A82)+COUNTIF('Luisa'!$B$6:$B$300,$A82)+COUNTIF('Lui'!$B$6:$B$300,$A82)+COUNTIF('Thaís'!$B$6:$B$300,$A82)+COUNTIF('Daniel'!$B$6:$B$300,$A82)+COUNTIF('Fernando'!$B$6:$B$300,$A82)+COUNTIF('Stephanie'!$B$6:$B$300,$A82)+COUNTIF('Fox'!$B$6:$B$300,$A82)+COUNTIF('Bruna'!$B$6:$B$300,$A82)+COUNTIF('Stella'!$B$6:$B$300,$A82)+COUNTIF('Igor'!$B$6:$B$300,$A82)))</f>
        <v/>
      </c>
      <c r="K82" s="18" t="n">
        <v>46097</v>
      </c>
      <c r="L82" s="18" t="n">
        <v>46142</v>
      </c>
      <c r="M82" s="18" t="n">
        <v>46097</v>
      </c>
      <c r="N82" s="18" t="n">
        <v>46213</v>
      </c>
      <c r="O82" s="19" t="n"/>
      <c r="P82" s="20">
        <f>IF($A82="","",IF(M82&lt;&gt;"",M82,IF(K82&lt;&gt;"",K82,"")))</f>
        <v/>
      </c>
      <c r="Q82" s="20">
        <f>IF($A82="","",IF(N82&lt;&gt;"",N82,IF(L82&lt;&gt;"",L82,"")))</f>
        <v/>
      </c>
      <c r="R82" s="15" t="n"/>
      <c r="S82" s="16">
        <f t="array" ref="S82">IF($A82="","",_xlfn.TEXTJOIN(CHAR(10),TRUE,IF('Clarice'!$B$6:$B$300=$A82,"Clarice"&amp;IF('Clarice'!$E$6:$E$300="",""," : "&amp;'Clarice'!$E$6:$E$300)&amp;" ["&amp;'Clarice'!$F$6:$F$300&amp;"]",""),IF('Luisa'!$B$6:$B$300=$A82,"Luisa"&amp;IF('Luisa'!$E$6:$E$300="",""," : "&amp;'Luisa'!$E$6:$E$300)&amp;" ["&amp;'Luisa'!$F$6:$F$300&amp;"]",""),IF('Lui'!$B$6:$B$300=$A82,"Lui"&amp;IF('Lui'!$E$6:$E$300="",""," : "&amp;'Lui'!$E$6:$E$300)&amp;" ["&amp;'Lui'!$F$6:$F$300&amp;"]",""),IF('Thaís'!$B$6:$B$300=$A82,"Thaís"&amp;IF('Thaís'!$E$6:$E$300="",""," : "&amp;'Thaís'!$E$6:$E$300)&amp;" ["&amp;'Thaís'!$F$6:$F$300&amp;"]",""),IF('Daniel'!$B$6:$B$300=$A82,"Daniel"&amp;IF('Daniel'!$E$6:$E$300="",""," : "&amp;'Daniel'!$E$6:$E$300)&amp;" ["&amp;'Daniel'!$F$6:$F$300&amp;"]",""),IF('Fernando'!$B$6:$B$300=$A82,"Fernando"&amp;IF('Fernando'!$E$6:$E$300="",""," : "&amp;'Fernando'!$E$6:$E$300)&amp;" ["&amp;'Fernando'!$F$6:$F$300&amp;"]",""),IF('Stephanie'!$B$6:$B$300=$A82,"Stephanie"&amp;IF('Stephanie'!$E$6:$E$300="",""," : "&amp;'Stephanie'!$E$6:$E$300)&amp;" ["&amp;'Stephanie'!$F$6:$F$300&amp;"]",""),IF('Fox'!$B$6:$B$300=$A82,"Fox"&amp;IF('Fox'!$E$6:$E$300="",""," : "&amp;'Fox'!$E$6:$E$300)&amp;" ["&amp;'Fox'!$F$6:$F$300&amp;"]",""),IF('Bruna'!$B$6:$B$300=$A82,"Bruna"&amp;IF('Bruna'!$E$6:$E$300="",""," : "&amp;'Bruna'!$E$6:$E$300)&amp;" ["&amp;'Bruna'!$F$6:$F$300&amp;"]",""),IF('Stella'!$B$6:$B$300=$A82,"Stella"&amp;IF('Stella'!$E$6:$E$300="",""," : "&amp;'Stella'!$E$6:$E$300)&amp;" ["&amp;'Stella'!$F$6:$F$300&amp;"]",""),IF('Igor'!$B$6:$B$300=$A82,"Igor"&amp;IF('Igor'!$E$6:$E$300="",""," : "&amp;'Igor'!$E$6:$E$300)&amp;" ["&amp;'Igor'!$F$6:$F$300&amp;"]","")))</f>
        <v/>
      </c>
    </row>
    <row r="83" ht="40.5" customHeight="1">
      <c r="A83" s="13" t="inlineStr">
        <is>
          <t>DM-020</t>
        </is>
      </c>
      <c r="B83" s="14" t="inlineStr">
        <is>
          <t>Etapa 2: Construção das métricas | Atividade 7: Operacionalização das métricas | Atividade 8: Aplicação das métricas</t>
        </is>
      </c>
      <c r="C83" s="14" t="inlineStr">
        <is>
          <t>3. Aplicação da DM</t>
        </is>
      </c>
      <c r="D83" s="14" t="inlineStr">
        <is>
          <t>UTGCA</t>
        </is>
      </c>
      <c r="E83" s="15" t="inlineStr">
        <is>
          <t>Avaliar disponibilidade de informação temporal e espacial para aplicação da métrica por táxon - fauna (UTGCA)</t>
        </is>
      </c>
      <c r="F83" s="13" t="inlineStr">
        <is>
          <t>Stephanie</t>
        </is>
      </c>
      <c r="G83" s="16">
        <f>IF($A83="","",_xlfn.TEXTJOIN("; ",TRUE,IF(COUNTIF('Clarice'!$B$6:$B$300,$A83)&gt;0,"Clarice",""),IF(COUNTIF('Luisa'!$B$6:$B$300,$A83)&gt;0,"Luisa",""),IF(COUNTIF('Lui'!$B$6:$B$300,$A83)&gt;0,"Lui",""),IF(COUNTIF('Thaís'!$B$6:$B$300,$A83)&gt;0,"Thaís",""),IF(COUNTIF('Daniel'!$B$6:$B$300,$A83)&gt;0,"Daniel",""),IF(COUNTIF('Fernando'!$B$6:$B$300,$A83)&gt;0,"Fernando",""),IF(COUNTIF('Stephanie'!$B$6:$B$300,$A83)&gt;0,"Stephanie",""),IF(COUNTIF('Fox'!$B$6:$B$300,$A83)&gt;0,"Fox",""),IF(COUNTIF('Bruna'!$B$6:$B$300,$A83)&gt;0,"Bruna",""),IF(COUNTIF('Stella'!$B$6:$B$300,$A83)&gt;0,"Stella",""),IF(COUNTIF('Igor'!$B$6:$B$300,$A83)&gt;0,"Igor","")))</f>
        <v/>
      </c>
      <c r="H83" s="13" t="n"/>
      <c r="I83" s="13" t="inlineStr">
        <is>
          <t>Em andamento</t>
        </is>
      </c>
      <c r="J83" s="17">
        <f>IF(OR($A83="",(COUNTIF('Clarice'!$B$6:$B$300,$A83)+COUNTIF('Luisa'!$B$6:$B$300,$A83)+COUNTIF('Lui'!$B$6:$B$300,$A83)+COUNTIF('Thaís'!$B$6:$B$300,$A83)+COUNTIF('Daniel'!$B$6:$B$300,$A83)+COUNTIF('Fernando'!$B$6:$B$300,$A83)+COUNTIF('Stephanie'!$B$6:$B$300,$A83)+COUNTIF('Fox'!$B$6:$B$300,$A83)+COUNTIF('Bruna'!$B$6:$B$300,$A83)+COUNTIF('Stella'!$B$6:$B$300,$A83)+COUNTIF('Igor'!$B$6:$B$300,$A83))=0),"",(COUNTIFS('Clarice'!$B$6:$B$300,$A83,'Clarice'!$F$6:$F$300,"Concluído")+COUNTIFS('Luisa'!$B$6:$B$300,$A83,'Luisa'!$F$6:$F$300,"Concluído")+COUNTIFS('Lui'!$B$6:$B$300,$A83,'Lui'!$F$6:$F$300,"Concluído")+COUNTIFS('Thaís'!$B$6:$B$300,$A83,'Thaís'!$F$6:$F$300,"Concluído")+COUNTIFS('Daniel'!$B$6:$B$300,$A83,'Daniel'!$F$6:$F$300,"Concluído")+COUNTIFS('Fernando'!$B$6:$B$300,$A83,'Fernando'!$F$6:$F$300,"Concluído")+COUNTIFS('Stephanie'!$B$6:$B$300,$A83,'Stephanie'!$F$6:$F$300,"Concluído")+COUNTIFS('Fox'!$B$6:$B$300,$A83,'Fox'!$F$6:$F$300,"Concluído")+COUNTIFS('Bruna'!$B$6:$B$300,$A83,'Bruna'!$F$6:$F$300,"Concluído")+COUNTIFS('Stella'!$B$6:$B$300,$A83,'Stella'!$F$6:$F$300,"Concluído")+COUNTIFS('Igor'!$B$6:$B$300,$A83,'Igor'!$F$6:$F$300,"Concluído"))&amp;" / "&amp;(COUNTIF('Clarice'!$B$6:$B$300,$A83)+COUNTIF('Luisa'!$B$6:$B$300,$A83)+COUNTIF('Lui'!$B$6:$B$300,$A83)+COUNTIF('Thaís'!$B$6:$B$300,$A83)+COUNTIF('Daniel'!$B$6:$B$300,$A83)+COUNTIF('Fernando'!$B$6:$B$300,$A83)+COUNTIF('Stephanie'!$B$6:$B$300,$A83)+COUNTIF('Fox'!$B$6:$B$300,$A83)+COUNTIF('Bruna'!$B$6:$B$300,$A83)+COUNTIF('Stella'!$B$6:$B$300,$A83)+COUNTIF('Igor'!$B$6:$B$300,$A83)))</f>
        <v/>
      </c>
      <c r="K83" s="18" t="n">
        <v>46097</v>
      </c>
      <c r="L83" s="18" t="n">
        <v>46142</v>
      </c>
      <c r="M83" s="18" t="n">
        <v>46097</v>
      </c>
      <c r="N83" s="18" t="n">
        <v>46213</v>
      </c>
      <c r="O83" s="19" t="n"/>
      <c r="P83" s="20">
        <f>IF($A83="","",IF(M83&lt;&gt;"",M83,IF(K83&lt;&gt;"",K83,"")))</f>
        <v/>
      </c>
      <c r="Q83" s="20">
        <f>IF($A83="","",IF(N83&lt;&gt;"",N83,IF(L83&lt;&gt;"",L83,"")))</f>
        <v/>
      </c>
      <c r="R83" s="15" t="n"/>
      <c r="S83" s="16">
        <f t="array" ref="S83">IF($A83="","",_xlfn.TEXTJOIN(CHAR(10),TRUE,IF('Clarice'!$B$6:$B$300=$A83,"Clarice"&amp;IF('Clarice'!$E$6:$E$300="",""," : "&amp;'Clarice'!$E$6:$E$300)&amp;" ["&amp;'Clarice'!$F$6:$F$300&amp;"]",""),IF('Luisa'!$B$6:$B$300=$A83,"Luisa"&amp;IF('Luisa'!$E$6:$E$300="",""," : "&amp;'Luisa'!$E$6:$E$300)&amp;" ["&amp;'Luisa'!$F$6:$F$300&amp;"]",""),IF('Lui'!$B$6:$B$300=$A83,"Lui"&amp;IF('Lui'!$E$6:$E$300="",""," : "&amp;'Lui'!$E$6:$E$300)&amp;" ["&amp;'Lui'!$F$6:$F$300&amp;"]",""),IF('Thaís'!$B$6:$B$300=$A83,"Thaís"&amp;IF('Thaís'!$E$6:$E$300="",""," : "&amp;'Thaís'!$E$6:$E$300)&amp;" ["&amp;'Thaís'!$F$6:$F$300&amp;"]",""),IF('Daniel'!$B$6:$B$300=$A83,"Daniel"&amp;IF('Daniel'!$E$6:$E$300="",""," : "&amp;'Daniel'!$E$6:$E$300)&amp;" ["&amp;'Daniel'!$F$6:$F$300&amp;"]",""),IF('Fernando'!$B$6:$B$300=$A83,"Fernando"&amp;IF('Fernando'!$E$6:$E$300="",""," : "&amp;'Fernando'!$E$6:$E$300)&amp;" ["&amp;'Fernando'!$F$6:$F$300&amp;"]",""),IF('Stephanie'!$B$6:$B$300=$A83,"Stephanie"&amp;IF('Stephanie'!$E$6:$E$300="",""," : "&amp;'Stephanie'!$E$6:$E$300)&amp;" ["&amp;'Stephanie'!$F$6:$F$300&amp;"]",""),IF('Fox'!$B$6:$B$300=$A83,"Fox"&amp;IF('Fox'!$E$6:$E$300="",""," : "&amp;'Fox'!$E$6:$E$300)&amp;" ["&amp;'Fox'!$F$6:$F$300&amp;"]",""),IF('Bruna'!$B$6:$B$300=$A83,"Bruna"&amp;IF('Bruna'!$E$6:$E$300="",""," : "&amp;'Bruna'!$E$6:$E$300)&amp;" ["&amp;'Bruna'!$F$6:$F$300&amp;"]",""),IF('Stella'!$B$6:$B$300=$A83,"Stella"&amp;IF('Stella'!$E$6:$E$300="",""," : "&amp;'Stella'!$E$6:$E$300)&amp;" ["&amp;'Stella'!$F$6:$F$300&amp;"]",""),IF('Igor'!$B$6:$B$300=$A83,"Igor"&amp;IF('Igor'!$E$6:$E$300="",""," : "&amp;'Igor'!$E$6:$E$300)&amp;" ["&amp;'Igor'!$F$6:$F$300&amp;"]","")))</f>
        <v/>
      </c>
    </row>
    <row r="84" ht="53" customHeight="1">
      <c r="A84" s="13" t="inlineStr">
        <is>
          <t>DM-021</t>
        </is>
      </c>
      <c r="B84" s="14" t="inlineStr">
        <is>
          <t>Etapa 2: Construção das métricas | Atividade 7: Operacionalização das métricas | Atividade 8: Aplicação das métricas</t>
        </is>
      </c>
      <c r="C84" s="14" t="inlineStr">
        <is>
          <t>3. Aplicação da DM</t>
        </is>
      </c>
      <c r="D84" s="14" t="inlineStr">
        <is>
          <t>UTGCA</t>
        </is>
      </c>
      <c r="E84" s="15" t="inlineStr">
        <is>
          <t>Definir tipo, componente e atributos por táxon - fauna (UTGCA)</t>
        </is>
      </c>
      <c r="F84" s="13" t="inlineStr">
        <is>
          <t>Stephanie</t>
        </is>
      </c>
      <c r="G84" s="16">
        <f>IF($A84="","",_xlfn.TEXTJOIN("; ",TRUE,IF(COUNTIF('Clarice'!$B$6:$B$300,$A84)&gt;0,"Clarice",""),IF(COUNTIF('Luisa'!$B$6:$B$300,$A84)&gt;0,"Luisa",""),IF(COUNTIF('Lui'!$B$6:$B$300,$A84)&gt;0,"Lui",""),IF(COUNTIF('Thaís'!$B$6:$B$300,$A84)&gt;0,"Thaís",""),IF(COUNTIF('Daniel'!$B$6:$B$300,$A84)&gt;0,"Daniel",""),IF(COUNTIF('Fernando'!$B$6:$B$300,$A84)&gt;0,"Fernando",""),IF(COUNTIF('Stephanie'!$B$6:$B$300,$A84)&gt;0,"Stephanie",""),IF(COUNTIF('Fox'!$B$6:$B$300,$A84)&gt;0,"Fox",""),IF(COUNTIF('Bruna'!$B$6:$B$300,$A84)&gt;0,"Bruna",""),IF(COUNTIF('Stella'!$B$6:$B$300,$A84)&gt;0,"Stella",""),IF(COUNTIF('Igor'!$B$6:$B$300,$A84)&gt;0,"Igor","")))</f>
        <v/>
      </c>
      <c r="H84" s="13" t="n"/>
      <c r="I84" s="13" t="inlineStr">
        <is>
          <t>Não iniciado</t>
        </is>
      </c>
      <c r="J84" s="17">
        <f>IF(OR($A84="",(COUNTIF('Clarice'!$B$6:$B$300,$A84)+COUNTIF('Luisa'!$B$6:$B$300,$A84)+COUNTIF('Lui'!$B$6:$B$300,$A84)+COUNTIF('Thaís'!$B$6:$B$300,$A84)+COUNTIF('Daniel'!$B$6:$B$300,$A84)+COUNTIF('Fernando'!$B$6:$B$300,$A84)+COUNTIF('Stephanie'!$B$6:$B$300,$A84)+COUNTIF('Fox'!$B$6:$B$300,$A84)+COUNTIF('Bruna'!$B$6:$B$300,$A84)+COUNTIF('Stella'!$B$6:$B$300,$A84)+COUNTIF('Igor'!$B$6:$B$300,$A84))=0),"",(COUNTIFS('Clarice'!$B$6:$B$300,$A84,'Clarice'!$F$6:$F$300,"Concluído")+COUNTIFS('Luisa'!$B$6:$B$300,$A84,'Luisa'!$F$6:$F$300,"Concluído")+COUNTIFS('Lui'!$B$6:$B$300,$A84,'Lui'!$F$6:$F$300,"Concluído")+COUNTIFS('Thaís'!$B$6:$B$300,$A84,'Thaís'!$F$6:$F$300,"Concluído")+COUNTIFS('Daniel'!$B$6:$B$300,$A84,'Daniel'!$F$6:$F$300,"Concluído")+COUNTIFS('Fernando'!$B$6:$B$300,$A84,'Fernando'!$F$6:$F$300,"Concluído")+COUNTIFS('Stephanie'!$B$6:$B$300,$A84,'Stephanie'!$F$6:$F$300,"Concluído")+COUNTIFS('Fox'!$B$6:$B$300,$A84,'Fox'!$F$6:$F$300,"Concluído")+COUNTIFS('Bruna'!$B$6:$B$300,$A84,'Bruna'!$F$6:$F$300,"Concluído")+COUNTIFS('Stella'!$B$6:$B$300,$A84,'Stella'!$F$6:$F$300,"Concluído")+COUNTIFS('Igor'!$B$6:$B$300,$A84,'Igor'!$F$6:$F$300,"Concluído"))&amp;" / "&amp;(COUNTIF('Clarice'!$B$6:$B$300,$A84)+COUNTIF('Luisa'!$B$6:$B$300,$A84)+COUNTIF('Lui'!$B$6:$B$300,$A84)+COUNTIF('Thaís'!$B$6:$B$300,$A84)+COUNTIF('Daniel'!$B$6:$B$300,$A84)+COUNTIF('Fernando'!$B$6:$B$300,$A84)+COUNTIF('Stephanie'!$B$6:$B$300,$A84)+COUNTIF('Fox'!$B$6:$B$300,$A84)+COUNTIF('Bruna'!$B$6:$B$300,$A84)+COUNTIF('Stella'!$B$6:$B$300,$A84)+COUNTIF('Igor'!$B$6:$B$300,$A84)))</f>
        <v/>
      </c>
      <c r="K84" s="18" t="n">
        <v>46111</v>
      </c>
      <c r="L84" s="18" t="n">
        <v>46136</v>
      </c>
      <c r="M84" s="18" t="n">
        <v>46111</v>
      </c>
      <c r="N84" s="18" t="n">
        <v>46213</v>
      </c>
      <c r="O84" s="19" t="n"/>
      <c r="P84" s="20">
        <f>IF($A84="","",IF(M84&lt;&gt;"",M84,IF(K84&lt;&gt;"",K84,"")))</f>
        <v/>
      </c>
      <c r="Q84" s="20">
        <f>IF($A84="","",IF(N84&lt;&gt;"",N84,IF(L84&lt;&gt;"",L84,"")))</f>
        <v/>
      </c>
      <c r="R84" s="15" t="inlineStr">
        <is>
          <t>Alinhar com Luí e Thaís para tentar usar os mesmo tipo, componente e atributo. Discutir como será!</t>
        </is>
      </c>
      <c r="S84" s="16">
        <f t="array" ref="S84">IF($A84="","",_xlfn.TEXTJOIN(CHAR(10),TRUE,IF('Clarice'!$B$6:$B$300=$A84,"Clarice"&amp;IF('Clarice'!$E$6:$E$300="",""," : "&amp;'Clarice'!$E$6:$E$300)&amp;" ["&amp;'Clarice'!$F$6:$F$300&amp;"]",""),IF('Luisa'!$B$6:$B$300=$A84,"Luisa"&amp;IF('Luisa'!$E$6:$E$300="",""," : "&amp;'Luisa'!$E$6:$E$300)&amp;" ["&amp;'Luisa'!$F$6:$F$300&amp;"]",""),IF('Lui'!$B$6:$B$300=$A84,"Lui"&amp;IF('Lui'!$E$6:$E$300="",""," : "&amp;'Lui'!$E$6:$E$300)&amp;" ["&amp;'Lui'!$F$6:$F$300&amp;"]",""),IF('Thaís'!$B$6:$B$300=$A84,"Thaís"&amp;IF('Thaís'!$E$6:$E$300="",""," : "&amp;'Thaís'!$E$6:$E$300)&amp;" ["&amp;'Thaís'!$F$6:$F$300&amp;"]",""),IF('Daniel'!$B$6:$B$300=$A84,"Daniel"&amp;IF('Daniel'!$E$6:$E$300="",""," : "&amp;'Daniel'!$E$6:$E$300)&amp;" ["&amp;'Daniel'!$F$6:$F$300&amp;"]",""),IF('Fernando'!$B$6:$B$300=$A84,"Fernando"&amp;IF('Fernando'!$E$6:$E$300="",""," : "&amp;'Fernando'!$E$6:$E$300)&amp;" ["&amp;'Fernando'!$F$6:$F$300&amp;"]",""),IF('Stephanie'!$B$6:$B$300=$A84,"Stephanie"&amp;IF('Stephanie'!$E$6:$E$300="",""," : "&amp;'Stephanie'!$E$6:$E$300)&amp;" ["&amp;'Stephanie'!$F$6:$F$300&amp;"]",""),IF('Fox'!$B$6:$B$300=$A84,"Fox"&amp;IF('Fox'!$E$6:$E$300="",""," : "&amp;'Fox'!$E$6:$E$300)&amp;" ["&amp;'Fox'!$F$6:$F$300&amp;"]",""),IF('Bruna'!$B$6:$B$300=$A84,"Bruna"&amp;IF('Bruna'!$E$6:$E$300="",""," : "&amp;'Bruna'!$E$6:$E$300)&amp;" ["&amp;'Bruna'!$F$6:$F$300&amp;"]",""),IF('Stella'!$B$6:$B$300=$A84,"Stella"&amp;IF('Stella'!$E$6:$E$300="",""," : "&amp;'Stella'!$E$6:$E$300)&amp;" ["&amp;'Stella'!$F$6:$F$300&amp;"]",""),IF('Igor'!$B$6:$B$300=$A84,"Igor"&amp;IF('Igor'!$E$6:$E$300="",""," : "&amp;'Igor'!$E$6:$E$300)&amp;" ["&amp;'Igor'!$F$6:$F$300&amp;"]","")))</f>
        <v/>
      </c>
    </row>
    <row r="85" ht="40.5" customHeight="1">
      <c r="A85" s="13" t="inlineStr">
        <is>
          <t>DM-022</t>
        </is>
      </c>
      <c r="B85" s="14" t="inlineStr">
        <is>
          <t>Etapa 2: Construção das métricas | Atividade 7: Operacionalização das métricas | Atividade 8: Aplicação das métricas</t>
        </is>
      </c>
      <c r="C85" s="14" t="inlineStr">
        <is>
          <t>3. Aplicação da DM</t>
        </is>
      </c>
      <c r="D85" s="14" t="inlineStr">
        <is>
          <t>UTGCA</t>
        </is>
      </c>
      <c r="E85" s="15" t="inlineStr">
        <is>
          <t>Definir os dados usados para cálculo de perdas e ganhos por táxon - fauna (UTGCA)</t>
        </is>
      </c>
      <c r="F85" s="13" t="inlineStr">
        <is>
          <t>Stephanie</t>
        </is>
      </c>
      <c r="G85" s="16">
        <f>IF($A85="","",_xlfn.TEXTJOIN("; ",TRUE,IF(COUNTIF('Clarice'!$B$6:$B$300,$A85)&gt;0,"Clarice",""),IF(COUNTIF('Luisa'!$B$6:$B$300,$A85)&gt;0,"Luisa",""),IF(COUNTIF('Lui'!$B$6:$B$300,$A85)&gt;0,"Lui",""),IF(COUNTIF('Thaís'!$B$6:$B$300,$A85)&gt;0,"Thaís",""),IF(COUNTIF('Daniel'!$B$6:$B$300,$A85)&gt;0,"Daniel",""),IF(COUNTIF('Fernando'!$B$6:$B$300,$A85)&gt;0,"Fernando",""),IF(COUNTIF('Stephanie'!$B$6:$B$300,$A85)&gt;0,"Stephanie",""),IF(COUNTIF('Fox'!$B$6:$B$300,$A85)&gt;0,"Fox",""),IF(COUNTIF('Bruna'!$B$6:$B$300,$A85)&gt;0,"Bruna",""),IF(COUNTIF('Stella'!$B$6:$B$300,$A85)&gt;0,"Stella",""),IF(COUNTIF('Igor'!$B$6:$B$300,$A85)&gt;0,"Igor","")))</f>
        <v/>
      </c>
      <c r="H85" s="13" t="n"/>
      <c r="I85" s="13" t="inlineStr">
        <is>
          <t>Em andamento</t>
        </is>
      </c>
      <c r="J85" s="17">
        <f>IF(OR($A85="",(COUNTIF('Clarice'!$B$6:$B$300,$A85)+COUNTIF('Luisa'!$B$6:$B$300,$A85)+COUNTIF('Lui'!$B$6:$B$300,$A85)+COUNTIF('Thaís'!$B$6:$B$300,$A85)+COUNTIF('Daniel'!$B$6:$B$300,$A85)+COUNTIF('Fernando'!$B$6:$B$300,$A85)+COUNTIF('Stephanie'!$B$6:$B$300,$A85)+COUNTIF('Fox'!$B$6:$B$300,$A85)+COUNTIF('Bruna'!$B$6:$B$300,$A85)+COUNTIF('Stella'!$B$6:$B$300,$A85)+COUNTIF('Igor'!$B$6:$B$300,$A85))=0),"",(COUNTIFS('Clarice'!$B$6:$B$300,$A85,'Clarice'!$F$6:$F$300,"Concluído")+COUNTIFS('Luisa'!$B$6:$B$300,$A85,'Luisa'!$F$6:$F$300,"Concluído")+COUNTIFS('Lui'!$B$6:$B$300,$A85,'Lui'!$F$6:$F$300,"Concluído")+COUNTIFS('Thaís'!$B$6:$B$300,$A85,'Thaís'!$F$6:$F$300,"Concluído")+COUNTIFS('Daniel'!$B$6:$B$300,$A85,'Daniel'!$F$6:$F$300,"Concluído")+COUNTIFS('Fernando'!$B$6:$B$300,$A85,'Fernando'!$F$6:$F$300,"Concluído")+COUNTIFS('Stephanie'!$B$6:$B$300,$A85,'Stephanie'!$F$6:$F$300,"Concluído")+COUNTIFS('Fox'!$B$6:$B$300,$A85,'Fox'!$F$6:$F$300,"Concluído")+COUNTIFS('Bruna'!$B$6:$B$300,$A85,'Bruna'!$F$6:$F$300,"Concluído")+COUNTIFS('Stella'!$B$6:$B$300,$A85,'Stella'!$F$6:$F$300,"Concluído")+COUNTIFS('Igor'!$B$6:$B$300,$A85,'Igor'!$F$6:$F$300,"Concluído"))&amp;" / "&amp;(COUNTIF('Clarice'!$B$6:$B$300,$A85)+COUNTIF('Luisa'!$B$6:$B$300,$A85)+COUNTIF('Lui'!$B$6:$B$300,$A85)+COUNTIF('Thaís'!$B$6:$B$300,$A85)+COUNTIF('Daniel'!$B$6:$B$300,$A85)+COUNTIF('Fernando'!$B$6:$B$300,$A85)+COUNTIF('Stephanie'!$B$6:$B$300,$A85)+COUNTIF('Fox'!$B$6:$B$300,$A85)+COUNTIF('Bruna'!$B$6:$B$300,$A85)+COUNTIF('Stella'!$B$6:$B$300,$A85)+COUNTIF('Igor'!$B$6:$B$300,$A85)))</f>
        <v/>
      </c>
      <c r="K85" s="18" t="n">
        <v>46104</v>
      </c>
      <c r="L85" s="18" t="n">
        <v>46142</v>
      </c>
      <c r="M85" s="18" t="n">
        <v>46104</v>
      </c>
      <c r="N85" s="18" t="n">
        <v>46213</v>
      </c>
      <c r="O85" s="19" t="n"/>
      <c r="P85" s="20">
        <f>IF($A85="","",IF(M85&lt;&gt;"",M85,IF(K85&lt;&gt;"",K85,"")))</f>
        <v/>
      </c>
      <c r="Q85" s="20">
        <f>IF($A85="","",IF(N85&lt;&gt;"",N85,IF(L85&lt;&gt;"",L85,"")))</f>
        <v/>
      </c>
      <c r="R85" s="15" t="n"/>
      <c r="S85" s="16">
        <f t="array" ref="S85">IF($A85="","",_xlfn.TEXTJOIN(CHAR(10),TRUE,IF('Clarice'!$B$6:$B$300=$A85,"Clarice"&amp;IF('Clarice'!$E$6:$E$300="",""," : "&amp;'Clarice'!$E$6:$E$300)&amp;" ["&amp;'Clarice'!$F$6:$F$300&amp;"]",""),IF('Luisa'!$B$6:$B$300=$A85,"Luisa"&amp;IF('Luisa'!$E$6:$E$300="",""," : "&amp;'Luisa'!$E$6:$E$300)&amp;" ["&amp;'Luisa'!$F$6:$F$300&amp;"]",""),IF('Lui'!$B$6:$B$300=$A85,"Lui"&amp;IF('Lui'!$E$6:$E$300="",""," : "&amp;'Lui'!$E$6:$E$300)&amp;" ["&amp;'Lui'!$F$6:$F$300&amp;"]",""),IF('Thaís'!$B$6:$B$300=$A85,"Thaís"&amp;IF('Thaís'!$E$6:$E$300="",""," : "&amp;'Thaís'!$E$6:$E$300)&amp;" ["&amp;'Thaís'!$F$6:$F$300&amp;"]",""),IF('Daniel'!$B$6:$B$300=$A85,"Daniel"&amp;IF('Daniel'!$E$6:$E$300="",""," : "&amp;'Daniel'!$E$6:$E$300)&amp;" ["&amp;'Daniel'!$F$6:$F$300&amp;"]",""),IF('Fernando'!$B$6:$B$300=$A85,"Fernando"&amp;IF('Fernando'!$E$6:$E$300="",""," : "&amp;'Fernando'!$E$6:$E$300)&amp;" ["&amp;'Fernando'!$F$6:$F$300&amp;"]",""),IF('Stephanie'!$B$6:$B$300=$A85,"Stephanie"&amp;IF('Stephanie'!$E$6:$E$300="",""," : "&amp;'Stephanie'!$E$6:$E$300)&amp;" ["&amp;'Stephanie'!$F$6:$F$300&amp;"]",""),IF('Fox'!$B$6:$B$300=$A85,"Fox"&amp;IF('Fox'!$E$6:$E$300="",""," : "&amp;'Fox'!$E$6:$E$300)&amp;" ["&amp;'Fox'!$F$6:$F$300&amp;"]",""),IF('Bruna'!$B$6:$B$300=$A85,"Bruna"&amp;IF('Bruna'!$E$6:$E$300="",""," : "&amp;'Bruna'!$E$6:$E$300)&amp;" ["&amp;'Bruna'!$F$6:$F$300&amp;"]",""),IF('Stella'!$B$6:$B$300=$A85,"Stella"&amp;IF('Stella'!$E$6:$E$300="",""," : "&amp;'Stella'!$E$6:$E$300)&amp;" ["&amp;'Stella'!$F$6:$F$300&amp;"]",""),IF('Igor'!$B$6:$B$300=$A85,"Igor"&amp;IF('Igor'!$E$6:$E$300="",""," : "&amp;'Igor'!$E$6:$E$300)&amp;" ["&amp;'Igor'!$F$6:$F$300&amp;"]","")))</f>
        <v/>
      </c>
    </row>
    <row r="86" ht="28" customHeight="1">
      <c r="A86" s="13" t="inlineStr">
        <is>
          <t>DM-023</t>
        </is>
      </c>
      <c r="B86" s="14" t="inlineStr">
        <is>
          <t>Etapa 2: Construção das métricas | Atividade 7: Operacionalização das métricas | Atividade 8: Aplicação das métricas</t>
        </is>
      </c>
      <c r="C86" s="14" t="inlineStr">
        <is>
          <t>3. Aplicação da DM</t>
        </is>
      </c>
      <c r="D86" s="14" t="inlineStr">
        <is>
          <t>UTGCA</t>
        </is>
      </c>
      <c r="E86" s="15" t="inlineStr">
        <is>
          <t>Definir parâmetros e fatores de ajuste por táxon - fauna (UTGCA)</t>
        </is>
      </c>
      <c r="F86" s="13" t="inlineStr">
        <is>
          <t>Stephanie</t>
        </is>
      </c>
      <c r="G86" s="16">
        <f>IF($A86="","",_xlfn.TEXTJOIN("; ",TRUE,IF(COUNTIF('Clarice'!$B$6:$B$300,$A86)&gt;0,"Clarice",""),IF(COUNTIF('Luisa'!$B$6:$B$300,$A86)&gt;0,"Luisa",""),IF(COUNTIF('Lui'!$B$6:$B$300,$A86)&gt;0,"Lui",""),IF(COUNTIF('Thaís'!$B$6:$B$300,$A86)&gt;0,"Thaís",""),IF(COUNTIF('Daniel'!$B$6:$B$300,$A86)&gt;0,"Daniel",""),IF(COUNTIF('Fernando'!$B$6:$B$300,$A86)&gt;0,"Fernando",""),IF(COUNTIF('Stephanie'!$B$6:$B$300,$A86)&gt;0,"Stephanie",""),IF(COUNTIF('Fox'!$B$6:$B$300,$A86)&gt;0,"Fox",""),IF(COUNTIF('Bruna'!$B$6:$B$300,$A86)&gt;0,"Bruna",""),IF(COUNTIF('Stella'!$B$6:$B$300,$A86)&gt;0,"Stella",""),IF(COUNTIF('Igor'!$B$6:$B$300,$A86)&gt;0,"Igor","")))</f>
        <v/>
      </c>
      <c r="H86" s="13" t="n"/>
      <c r="I86" s="13" t="inlineStr">
        <is>
          <t>Em andamento</t>
        </is>
      </c>
      <c r="J86" s="17">
        <f>IF(OR($A86="",(COUNTIF('Clarice'!$B$6:$B$300,$A86)+COUNTIF('Luisa'!$B$6:$B$300,$A86)+COUNTIF('Lui'!$B$6:$B$300,$A86)+COUNTIF('Thaís'!$B$6:$B$300,$A86)+COUNTIF('Daniel'!$B$6:$B$300,$A86)+COUNTIF('Fernando'!$B$6:$B$300,$A86)+COUNTIF('Stephanie'!$B$6:$B$300,$A86)+COUNTIF('Fox'!$B$6:$B$300,$A86)+COUNTIF('Bruna'!$B$6:$B$300,$A86)+COUNTIF('Stella'!$B$6:$B$300,$A86)+COUNTIF('Igor'!$B$6:$B$300,$A86))=0),"",(COUNTIFS('Clarice'!$B$6:$B$300,$A86,'Clarice'!$F$6:$F$300,"Concluído")+COUNTIFS('Luisa'!$B$6:$B$300,$A86,'Luisa'!$F$6:$F$300,"Concluído")+COUNTIFS('Lui'!$B$6:$B$300,$A86,'Lui'!$F$6:$F$300,"Concluído")+COUNTIFS('Thaís'!$B$6:$B$300,$A86,'Thaís'!$F$6:$F$300,"Concluído")+COUNTIFS('Daniel'!$B$6:$B$300,$A86,'Daniel'!$F$6:$F$300,"Concluído")+COUNTIFS('Fernando'!$B$6:$B$300,$A86,'Fernando'!$F$6:$F$300,"Concluído")+COUNTIFS('Stephanie'!$B$6:$B$300,$A86,'Stephanie'!$F$6:$F$300,"Concluído")+COUNTIFS('Fox'!$B$6:$B$300,$A86,'Fox'!$F$6:$F$300,"Concluído")+COUNTIFS('Bruna'!$B$6:$B$300,$A86,'Bruna'!$F$6:$F$300,"Concluído")+COUNTIFS('Stella'!$B$6:$B$300,$A86,'Stella'!$F$6:$F$300,"Concluído")+COUNTIFS('Igor'!$B$6:$B$300,$A86,'Igor'!$F$6:$F$300,"Concluído"))&amp;" / "&amp;(COUNTIF('Clarice'!$B$6:$B$300,$A86)+COUNTIF('Luisa'!$B$6:$B$300,$A86)+COUNTIF('Lui'!$B$6:$B$300,$A86)+COUNTIF('Thaís'!$B$6:$B$300,$A86)+COUNTIF('Daniel'!$B$6:$B$300,$A86)+COUNTIF('Fernando'!$B$6:$B$300,$A86)+COUNTIF('Stephanie'!$B$6:$B$300,$A86)+COUNTIF('Fox'!$B$6:$B$300,$A86)+COUNTIF('Bruna'!$B$6:$B$300,$A86)+COUNTIF('Stella'!$B$6:$B$300,$A86)+COUNTIF('Igor'!$B$6:$B$300,$A86)))</f>
        <v/>
      </c>
      <c r="K86" s="18" t="n">
        <v>46104</v>
      </c>
      <c r="L86" s="18" t="n">
        <v>46136</v>
      </c>
      <c r="M86" s="18" t="n">
        <v>46104</v>
      </c>
      <c r="N86" s="18" t="n">
        <v>46213</v>
      </c>
      <c r="O86" s="19" t="n"/>
      <c r="P86" s="20">
        <f>IF($A86="","",IF(M86&lt;&gt;"",M86,IF(K86&lt;&gt;"",K86,"")))</f>
        <v/>
      </c>
      <c r="Q86" s="20">
        <f>IF($A86="","",IF(N86&lt;&gt;"",N86,IF(L86&lt;&gt;"",L86,"")))</f>
        <v/>
      </c>
      <c r="R86" s="15" t="n"/>
      <c r="S86" s="16">
        <f t="array" ref="S86">IF($A86="","",_xlfn.TEXTJOIN(CHAR(10),TRUE,IF('Clarice'!$B$6:$B$300=$A86,"Clarice"&amp;IF('Clarice'!$E$6:$E$300="",""," : "&amp;'Clarice'!$E$6:$E$300)&amp;" ["&amp;'Clarice'!$F$6:$F$300&amp;"]",""),IF('Luisa'!$B$6:$B$300=$A86,"Luisa"&amp;IF('Luisa'!$E$6:$E$300="",""," : "&amp;'Luisa'!$E$6:$E$300)&amp;" ["&amp;'Luisa'!$F$6:$F$300&amp;"]",""),IF('Lui'!$B$6:$B$300=$A86,"Lui"&amp;IF('Lui'!$E$6:$E$300="",""," : "&amp;'Lui'!$E$6:$E$300)&amp;" ["&amp;'Lui'!$F$6:$F$300&amp;"]",""),IF('Thaís'!$B$6:$B$300=$A86,"Thaís"&amp;IF('Thaís'!$E$6:$E$300="",""," : "&amp;'Thaís'!$E$6:$E$300)&amp;" ["&amp;'Thaís'!$F$6:$F$300&amp;"]",""),IF('Daniel'!$B$6:$B$300=$A86,"Daniel"&amp;IF('Daniel'!$E$6:$E$300="",""," : "&amp;'Daniel'!$E$6:$E$300)&amp;" ["&amp;'Daniel'!$F$6:$F$300&amp;"]",""),IF('Fernando'!$B$6:$B$300=$A86,"Fernando"&amp;IF('Fernando'!$E$6:$E$300="",""," : "&amp;'Fernando'!$E$6:$E$300)&amp;" ["&amp;'Fernando'!$F$6:$F$300&amp;"]",""),IF('Stephanie'!$B$6:$B$300=$A86,"Stephanie"&amp;IF('Stephanie'!$E$6:$E$300="",""," : "&amp;'Stephanie'!$E$6:$E$300)&amp;" ["&amp;'Stephanie'!$F$6:$F$300&amp;"]",""),IF('Fox'!$B$6:$B$300=$A86,"Fox"&amp;IF('Fox'!$E$6:$E$300="",""," : "&amp;'Fox'!$E$6:$E$300)&amp;" ["&amp;'Fox'!$F$6:$F$300&amp;"]",""),IF('Bruna'!$B$6:$B$300=$A86,"Bruna"&amp;IF('Bruna'!$E$6:$E$300="",""," : "&amp;'Bruna'!$E$6:$E$300)&amp;" ["&amp;'Bruna'!$F$6:$F$300&amp;"]",""),IF('Stella'!$B$6:$B$300=$A86,"Stella"&amp;IF('Stella'!$E$6:$E$300="",""," : "&amp;'Stella'!$E$6:$E$300)&amp;" ["&amp;'Stella'!$F$6:$F$300&amp;"]",""),IF('Igor'!$B$6:$B$300=$A86,"Igor"&amp;IF('Igor'!$E$6:$E$300="",""," : "&amp;'Igor'!$E$6:$E$300)&amp;" ["&amp;'Igor'!$F$6:$F$300&amp;"]","")))</f>
        <v/>
      </c>
    </row>
    <row r="87" ht="28" customHeight="1">
      <c r="A87" s="13" t="inlineStr">
        <is>
          <t>DM-024</t>
        </is>
      </c>
      <c r="B87" s="14" t="inlineStr">
        <is>
          <t>Etapa 2: Construção das métricas | Atividade 7: Operacionalização das métricas | Atividade 8: Aplicação das métricas</t>
        </is>
      </c>
      <c r="C87" s="14" t="inlineStr">
        <is>
          <t>3. Aplicação da DM</t>
        </is>
      </c>
      <c r="D87" s="14" t="inlineStr">
        <is>
          <t>UTGCA</t>
        </is>
      </c>
      <c r="E87" s="15" t="inlineStr">
        <is>
          <t>Estruturação dos cálculos no excel - fauna (UTGCA)</t>
        </is>
      </c>
      <c r="F87" s="13" t="inlineStr">
        <is>
          <t>Stephanie</t>
        </is>
      </c>
      <c r="G87" s="16">
        <f>IF($A87="","",_xlfn.TEXTJOIN("; ",TRUE,IF(COUNTIF('Clarice'!$B$6:$B$300,$A87)&gt;0,"Clarice",""),IF(COUNTIF('Luisa'!$B$6:$B$300,$A87)&gt;0,"Luisa",""),IF(COUNTIF('Lui'!$B$6:$B$300,$A87)&gt;0,"Lui",""),IF(COUNTIF('Thaís'!$B$6:$B$300,$A87)&gt;0,"Thaís",""),IF(COUNTIF('Daniel'!$B$6:$B$300,$A87)&gt;0,"Daniel",""),IF(COUNTIF('Fernando'!$B$6:$B$300,$A87)&gt;0,"Fernando",""),IF(COUNTIF('Stephanie'!$B$6:$B$300,$A87)&gt;0,"Stephanie",""),IF(COUNTIF('Fox'!$B$6:$B$300,$A87)&gt;0,"Fox",""),IF(COUNTIF('Bruna'!$B$6:$B$300,$A87)&gt;0,"Bruna",""),IF(COUNTIF('Stella'!$B$6:$B$300,$A87)&gt;0,"Stella",""),IF(COUNTIF('Igor'!$B$6:$B$300,$A87)&gt;0,"Igor","")))</f>
        <v/>
      </c>
      <c r="H87" s="13" t="n"/>
      <c r="I87" s="13" t="inlineStr">
        <is>
          <t>Não iniciado</t>
        </is>
      </c>
      <c r="J87" s="17">
        <f>IF(OR($A87="",(COUNTIF('Clarice'!$B$6:$B$300,$A87)+COUNTIF('Luisa'!$B$6:$B$300,$A87)+COUNTIF('Lui'!$B$6:$B$300,$A87)+COUNTIF('Thaís'!$B$6:$B$300,$A87)+COUNTIF('Daniel'!$B$6:$B$300,$A87)+COUNTIF('Fernando'!$B$6:$B$300,$A87)+COUNTIF('Stephanie'!$B$6:$B$300,$A87)+COUNTIF('Fox'!$B$6:$B$300,$A87)+COUNTIF('Bruna'!$B$6:$B$300,$A87)+COUNTIF('Stella'!$B$6:$B$300,$A87)+COUNTIF('Igor'!$B$6:$B$300,$A87))=0),"",(COUNTIFS('Clarice'!$B$6:$B$300,$A87,'Clarice'!$F$6:$F$300,"Concluído")+COUNTIFS('Luisa'!$B$6:$B$300,$A87,'Luisa'!$F$6:$F$300,"Concluído")+COUNTIFS('Lui'!$B$6:$B$300,$A87,'Lui'!$F$6:$F$300,"Concluído")+COUNTIFS('Thaís'!$B$6:$B$300,$A87,'Thaís'!$F$6:$F$300,"Concluído")+COUNTIFS('Daniel'!$B$6:$B$300,$A87,'Daniel'!$F$6:$F$300,"Concluído")+COUNTIFS('Fernando'!$B$6:$B$300,$A87,'Fernando'!$F$6:$F$300,"Concluído")+COUNTIFS('Stephanie'!$B$6:$B$300,$A87,'Stephanie'!$F$6:$F$300,"Concluído")+COUNTIFS('Fox'!$B$6:$B$300,$A87,'Fox'!$F$6:$F$300,"Concluído")+COUNTIFS('Bruna'!$B$6:$B$300,$A87,'Bruna'!$F$6:$F$300,"Concluído")+COUNTIFS('Stella'!$B$6:$B$300,$A87,'Stella'!$F$6:$F$300,"Concluído")+COUNTIFS('Igor'!$B$6:$B$300,$A87,'Igor'!$F$6:$F$300,"Concluído"))&amp;" / "&amp;(COUNTIF('Clarice'!$B$6:$B$300,$A87)+COUNTIF('Luisa'!$B$6:$B$300,$A87)+COUNTIF('Lui'!$B$6:$B$300,$A87)+COUNTIF('Thaís'!$B$6:$B$300,$A87)+COUNTIF('Daniel'!$B$6:$B$300,$A87)+COUNTIF('Fernando'!$B$6:$B$300,$A87)+COUNTIF('Stephanie'!$B$6:$B$300,$A87)+COUNTIF('Fox'!$B$6:$B$300,$A87)+COUNTIF('Bruna'!$B$6:$B$300,$A87)+COUNTIF('Stella'!$B$6:$B$300,$A87)+COUNTIF('Igor'!$B$6:$B$300,$A87)))</f>
        <v/>
      </c>
      <c r="K87" s="18" t="n">
        <v>46132</v>
      </c>
      <c r="L87" s="18" t="n">
        <v>46142</v>
      </c>
      <c r="M87" s="18" t="n">
        <v>46132</v>
      </c>
      <c r="N87" s="18" t="n">
        <v>46213</v>
      </c>
      <c r="O87" s="19" t="n"/>
      <c r="P87" s="20">
        <f>IF($A87="","",IF(M87&lt;&gt;"",M87,IF(K87&lt;&gt;"",K87,"")))</f>
        <v/>
      </c>
      <c r="Q87" s="20">
        <f>IF($A87="","",IF(N87&lt;&gt;"",N87,IF(L87&lt;&gt;"",L87,"")))</f>
        <v/>
      </c>
      <c r="R87" s="15" t="n"/>
      <c r="S87" s="16">
        <f t="array" ref="S87">IF($A87="","",_xlfn.TEXTJOIN(CHAR(10),TRUE,IF('Clarice'!$B$6:$B$300=$A87,"Clarice"&amp;IF('Clarice'!$E$6:$E$300="",""," : "&amp;'Clarice'!$E$6:$E$300)&amp;" ["&amp;'Clarice'!$F$6:$F$300&amp;"]",""),IF('Luisa'!$B$6:$B$300=$A87,"Luisa"&amp;IF('Luisa'!$E$6:$E$300="",""," : "&amp;'Luisa'!$E$6:$E$300)&amp;" ["&amp;'Luisa'!$F$6:$F$300&amp;"]",""),IF('Lui'!$B$6:$B$300=$A87,"Lui"&amp;IF('Lui'!$E$6:$E$300="",""," : "&amp;'Lui'!$E$6:$E$300)&amp;" ["&amp;'Lui'!$F$6:$F$300&amp;"]",""),IF('Thaís'!$B$6:$B$300=$A87,"Thaís"&amp;IF('Thaís'!$E$6:$E$300="",""," : "&amp;'Thaís'!$E$6:$E$300)&amp;" ["&amp;'Thaís'!$F$6:$F$300&amp;"]",""),IF('Daniel'!$B$6:$B$300=$A87,"Daniel"&amp;IF('Daniel'!$E$6:$E$300="",""," : "&amp;'Daniel'!$E$6:$E$300)&amp;" ["&amp;'Daniel'!$F$6:$F$300&amp;"]",""),IF('Fernando'!$B$6:$B$300=$A87,"Fernando"&amp;IF('Fernando'!$E$6:$E$300="",""," : "&amp;'Fernando'!$E$6:$E$300)&amp;" ["&amp;'Fernando'!$F$6:$F$300&amp;"]",""),IF('Stephanie'!$B$6:$B$300=$A87,"Stephanie"&amp;IF('Stephanie'!$E$6:$E$300="",""," : "&amp;'Stephanie'!$E$6:$E$300)&amp;" ["&amp;'Stephanie'!$F$6:$F$300&amp;"]",""),IF('Fox'!$B$6:$B$300=$A87,"Fox"&amp;IF('Fox'!$E$6:$E$300="",""," : "&amp;'Fox'!$E$6:$E$300)&amp;" ["&amp;'Fox'!$F$6:$F$300&amp;"]",""),IF('Bruna'!$B$6:$B$300=$A87,"Bruna"&amp;IF('Bruna'!$E$6:$E$300="",""," : "&amp;'Bruna'!$E$6:$E$300)&amp;" ["&amp;'Bruna'!$F$6:$F$300&amp;"]",""),IF('Stella'!$B$6:$B$300=$A87,"Stella"&amp;IF('Stella'!$E$6:$E$300="",""," : "&amp;'Stella'!$E$6:$E$300)&amp;" ["&amp;'Stella'!$F$6:$F$300&amp;"]",""),IF('Igor'!$B$6:$B$300=$A87,"Igor"&amp;IF('Igor'!$E$6:$E$300="",""," : "&amp;'Igor'!$E$6:$E$300)&amp;" ["&amp;'Igor'!$F$6:$F$300&amp;"]","")))</f>
        <v/>
      </c>
    </row>
    <row r="88" ht="28" customHeight="1">
      <c r="A88" s="13" t="inlineStr">
        <is>
          <t>DM-025</t>
        </is>
      </c>
      <c r="B88" s="14" t="inlineStr">
        <is>
          <t>Etapa 2: Construção das métricas | Atividade 7: Operacionalização das métricas | Atividade 8: Aplicação das métricas</t>
        </is>
      </c>
      <c r="C88" s="14" t="inlineStr">
        <is>
          <t>3. Aplicação da DM</t>
        </is>
      </c>
      <c r="D88" s="14" t="inlineStr">
        <is>
          <t>UTGCA</t>
        </is>
      </c>
      <c r="E88" s="15" t="inlineStr">
        <is>
          <t>Rodar a métrica por táxon - fauna (UTGCA)</t>
        </is>
      </c>
      <c r="F88" s="13" t="inlineStr">
        <is>
          <t>Stephanie</t>
        </is>
      </c>
      <c r="G88" s="16">
        <f>IF($A88="","",_xlfn.TEXTJOIN("; ",TRUE,IF(COUNTIF('Clarice'!$B$6:$B$300,$A88)&gt;0,"Clarice",""),IF(COUNTIF('Luisa'!$B$6:$B$300,$A88)&gt;0,"Luisa",""),IF(COUNTIF('Lui'!$B$6:$B$300,$A88)&gt;0,"Lui",""),IF(COUNTIF('Thaís'!$B$6:$B$300,$A88)&gt;0,"Thaís",""),IF(COUNTIF('Daniel'!$B$6:$B$300,$A88)&gt;0,"Daniel",""),IF(COUNTIF('Fernando'!$B$6:$B$300,$A88)&gt;0,"Fernando",""),IF(COUNTIF('Stephanie'!$B$6:$B$300,$A88)&gt;0,"Stephanie",""),IF(COUNTIF('Fox'!$B$6:$B$300,$A88)&gt;0,"Fox",""),IF(COUNTIF('Bruna'!$B$6:$B$300,$A88)&gt;0,"Bruna",""),IF(COUNTIF('Stella'!$B$6:$B$300,$A88)&gt;0,"Stella",""),IF(COUNTIF('Igor'!$B$6:$B$300,$A88)&gt;0,"Igor","")))</f>
        <v/>
      </c>
      <c r="H88" s="13" t="n"/>
      <c r="I88" s="13" t="inlineStr">
        <is>
          <t>Não iniciado</t>
        </is>
      </c>
      <c r="J88" s="17">
        <f>IF(OR($A88="",(COUNTIF('Clarice'!$B$6:$B$300,$A88)+COUNTIF('Luisa'!$B$6:$B$300,$A88)+COUNTIF('Lui'!$B$6:$B$300,$A88)+COUNTIF('Thaís'!$B$6:$B$300,$A88)+COUNTIF('Daniel'!$B$6:$B$300,$A88)+COUNTIF('Fernando'!$B$6:$B$300,$A88)+COUNTIF('Stephanie'!$B$6:$B$300,$A88)+COUNTIF('Fox'!$B$6:$B$300,$A88)+COUNTIF('Bruna'!$B$6:$B$300,$A88)+COUNTIF('Stella'!$B$6:$B$300,$A88)+COUNTIF('Igor'!$B$6:$B$300,$A88))=0),"",(COUNTIFS('Clarice'!$B$6:$B$300,$A88,'Clarice'!$F$6:$F$300,"Concluído")+COUNTIFS('Luisa'!$B$6:$B$300,$A88,'Luisa'!$F$6:$F$300,"Concluído")+COUNTIFS('Lui'!$B$6:$B$300,$A88,'Lui'!$F$6:$F$300,"Concluído")+COUNTIFS('Thaís'!$B$6:$B$300,$A88,'Thaís'!$F$6:$F$300,"Concluído")+COUNTIFS('Daniel'!$B$6:$B$300,$A88,'Daniel'!$F$6:$F$300,"Concluído")+COUNTIFS('Fernando'!$B$6:$B$300,$A88,'Fernando'!$F$6:$F$300,"Concluído")+COUNTIFS('Stephanie'!$B$6:$B$300,$A88,'Stephanie'!$F$6:$F$300,"Concluído")+COUNTIFS('Fox'!$B$6:$B$300,$A88,'Fox'!$F$6:$F$300,"Concluído")+COUNTIFS('Bruna'!$B$6:$B$300,$A88,'Bruna'!$F$6:$F$300,"Concluído")+COUNTIFS('Stella'!$B$6:$B$300,$A88,'Stella'!$F$6:$F$300,"Concluído")+COUNTIFS('Igor'!$B$6:$B$300,$A88,'Igor'!$F$6:$F$300,"Concluído"))&amp;" / "&amp;(COUNTIF('Clarice'!$B$6:$B$300,$A88)+COUNTIF('Luisa'!$B$6:$B$300,$A88)+COUNTIF('Lui'!$B$6:$B$300,$A88)+COUNTIF('Thaís'!$B$6:$B$300,$A88)+COUNTIF('Daniel'!$B$6:$B$300,$A88)+COUNTIF('Fernando'!$B$6:$B$300,$A88)+COUNTIF('Stephanie'!$B$6:$B$300,$A88)+COUNTIF('Fox'!$B$6:$B$300,$A88)+COUNTIF('Bruna'!$B$6:$B$300,$A88)+COUNTIF('Stella'!$B$6:$B$300,$A88)+COUNTIF('Igor'!$B$6:$B$300,$A88)))</f>
        <v/>
      </c>
      <c r="K88" s="18" t="n">
        <v>46132</v>
      </c>
      <c r="L88" s="18" t="n">
        <v>46142</v>
      </c>
      <c r="M88" s="18" t="n">
        <v>46132</v>
      </c>
      <c r="N88" s="18" t="n">
        <v>46213</v>
      </c>
      <c r="O88" s="19" t="n"/>
      <c r="P88" s="20">
        <f>IF($A88="","",IF(M88&lt;&gt;"",M88,IF(K88&lt;&gt;"",K88,"")))</f>
        <v/>
      </c>
      <c r="Q88" s="20">
        <f>IF($A88="","",IF(N88&lt;&gt;"",N88,IF(L88&lt;&gt;"",L88,"")))</f>
        <v/>
      </c>
      <c r="R88" s="15" t="n"/>
      <c r="S88" s="16">
        <f t="array" ref="S88">IF($A88="","",_xlfn.TEXTJOIN(CHAR(10),TRUE,IF('Clarice'!$B$6:$B$300=$A88,"Clarice"&amp;IF('Clarice'!$E$6:$E$300="",""," : "&amp;'Clarice'!$E$6:$E$300)&amp;" ["&amp;'Clarice'!$F$6:$F$300&amp;"]",""),IF('Luisa'!$B$6:$B$300=$A88,"Luisa"&amp;IF('Luisa'!$E$6:$E$300="",""," : "&amp;'Luisa'!$E$6:$E$300)&amp;" ["&amp;'Luisa'!$F$6:$F$300&amp;"]",""),IF('Lui'!$B$6:$B$300=$A88,"Lui"&amp;IF('Lui'!$E$6:$E$300="",""," : "&amp;'Lui'!$E$6:$E$300)&amp;" ["&amp;'Lui'!$F$6:$F$300&amp;"]",""),IF('Thaís'!$B$6:$B$300=$A88,"Thaís"&amp;IF('Thaís'!$E$6:$E$300="",""," : "&amp;'Thaís'!$E$6:$E$300)&amp;" ["&amp;'Thaís'!$F$6:$F$300&amp;"]",""),IF('Daniel'!$B$6:$B$300=$A88,"Daniel"&amp;IF('Daniel'!$E$6:$E$300="",""," : "&amp;'Daniel'!$E$6:$E$300)&amp;" ["&amp;'Daniel'!$F$6:$F$300&amp;"]",""),IF('Fernando'!$B$6:$B$300=$A88,"Fernando"&amp;IF('Fernando'!$E$6:$E$300="",""," : "&amp;'Fernando'!$E$6:$E$300)&amp;" ["&amp;'Fernando'!$F$6:$F$300&amp;"]",""),IF('Stephanie'!$B$6:$B$300=$A88,"Stephanie"&amp;IF('Stephanie'!$E$6:$E$300="",""," : "&amp;'Stephanie'!$E$6:$E$300)&amp;" ["&amp;'Stephanie'!$F$6:$F$300&amp;"]",""),IF('Fox'!$B$6:$B$300=$A88,"Fox"&amp;IF('Fox'!$E$6:$E$300="",""," : "&amp;'Fox'!$E$6:$E$300)&amp;" ["&amp;'Fox'!$F$6:$F$300&amp;"]",""),IF('Bruna'!$B$6:$B$300=$A88,"Bruna"&amp;IF('Bruna'!$E$6:$E$300="",""," : "&amp;'Bruna'!$E$6:$E$300)&amp;" ["&amp;'Bruna'!$F$6:$F$300&amp;"]",""),IF('Stella'!$B$6:$B$300=$A88,"Stella"&amp;IF('Stella'!$E$6:$E$300="",""," : "&amp;'Stella'!$E$6:$E$300)&amp;" ["&amp;'Stella'!$F$6:$F$300&amp;"]",""),IF('Igor'!$B$6:$B$300=$A88,"Igor"&amp;IF('Igor'!$E$6:$E$300="",""," : "&amp;'Igor'!$E$6:$E$300)&amp;" ["&amp;'Igor'!$F$6:$F$300&amp;"]","")))</f>
        <v/>
      </c>
    </row>
    <row r="89" ht="40.5" customHeight="1">
      <c r="A89" s="13" t="inlineStr">
        <is>
          <t>DM-026</t>
        </is>
      </c>
      <c r="B89" s="14" t="inlineStr">
        <is>
          <t>Etapa 2: Construção das métricas | Atividade 7: Operacionalização das métricas | Atividade 8: Aplicação das métricas</t>
        </is>
      </c>
      <c r="C89" s="14" t="inlineStr">
        <is>
          <t>3. Aplicação da DM</t>
        </is>
      </c>
      <c r="D89" s="14" t="inlineStr">
        <is>
          <t>UTGCA</t>
        </is>
      </c>
      <c r="E89" s="15" t="inlineStr">
        <is>
          <t>Apresentar e consolidar os resultados internamente por táxon - fauna (UTGCA)</t>
        </is>
      </c>
      <c r="F89" s="13" t="inlineStr">
        <is>
          <t>Stephanie</t>
        </is>
      </c>
      <c r="G89" s="16">
        <f>IF($A89="","",_xlfn.TEXTJOIN("; ",TRUE,IF(COUNTIF('Clarice'!$B$6:$B$300,$A89)&gt;0,"Clarice",""),IF(COUNTIF('Luisa'!$B$6:$B$300,$A89)&gt;0,"Luisa",""),IF(COUNTIF('Lui'!$B$6:$B$300,$A89)&gt;0,"Lui",""),IF(COUNTIF('Thaís'!$B$6:$B$300,$A89)&gt;0,"Thaís",""),IF(COUNTIF('Daniel'!$B$6:$B$300,$A89)&gt;0,"Daniel",""),IF(COUNTIF('Fernando'!$B$6:$B$300,$A89)&gt;0,"Fernando",""),IF(COUNTIF('Stephanie'!$B$6:$B$300,$A89)&gt;0,"Stephanie",""),IF(COUNTIF('Fox'!$B$6:$B$300,$A89)&gt;0,"Fox",""),IF(COUNTIF('Bruna'!$B$6:$B$300,$A89)&gt;0,"Bruna",""),IF(COUNTIF('Stella'!$B$6:$B$300,$A89)&gt;0,"Stella",""),IF(COUNTIF('Igor'!$B$6:$B$300,$A89)&gt;0,"Igor","")))</f>
        <v/>
      </c>
      <c r="H89" s="13" t="n"/>
      <c r="I89" s="13" t="inlineStr">
        <is>
          <t>Não iniciado</t>
        </is>
      </c>
      <c r="J89" s="17">
        <f>IF(OR($A89="",(COUNTIF('Clarice'!$B$6:$B$300,$A89)+COUNTIF('Luisa'!$B$6:$B$300,$A89)+COUNTIF('Lui'!$B$6:$B$300,$A89)+COUNTIF('Thaís'!$B$6:$B$300,$A89)+COUNTIF('Daniel'!$B$6:$B$300,$A89)+COUNTIF('Fernando'!$B$6:$B$300,$A89)+COUNTIF('Stephanie'!$B$6:$B$300,$A89)+COUNTIF('Fox'!$B$6:$B$300,$A89)+COUNTIF('Bruna'!$B$6:$B$300,$A89)+COUNTIF('Stella'!$B$6:$B$300,$A89)+COUNTIF('Igor'!$B$6:$B$300,$A89))=0),"",(COUNTIFS('Clarice'!$B$6:$B$300,$A89,'Clarice'!$F$6:$F$300,"Concluído")+COUNTIFS('Luisa'!$B$6:$B$300,$A89,'Luisa'!$F$6:$F$300,"Concluído")+COUNTIFS('Lui'!$B$6:$B$300,$A89,'Lui'!$F$6:$F$300,"Concluído")+COUNTIFS('Thaís'!$B$6:$B$300,$A89,'Thaís'!$F$6:$F$300,"Concluído")+COUNTIFS('Daniel'!$B$6:$B$300,$A89,'Daniel'!$F$6:$F$300,"Concluído")+COUNTIFS('Fernando'!$B$6:$B$300,$A89,'Fernando'!$F$6:$F$300,"Concluído")+COUNTIFS('Stephanie'!$B$6:$B$300,$A89,'Stephanie'!$F$6:$F$300,"Concluído")+COUNTIFS('Fox'!$B$6:$B$300,$A89,'Fox'!$F$6:$F$300,"Concluído")+COUNTIFS('Bruna'!$B$6:$B$300,$A89,'Bruna'!$F$6:$F$300,"Concluído")+COUNTIFS('Stella'!$B$6:$B$300,$A89,'Stella'!$F$6:$F$300,"Concluído")+COUNTIFS('Igor'!$B$6:$B$300,$A89,'Igor'!$F$6:$F$300,"Concluído"))&amp;" / "&amp;(COUNTIF('Clarice'!$B$6:$B$300,$A89)+COUNTIF('Luisa'!$B$6:$B$300,$A89)+COUNTIF('Lui'!$B$6:$B$300,$A89)+COUNTIF('Thaís'!$B$6:$B$300,$A89)+COUNTIF('Daniel'!$B$6:$B$300,$A89)+COUNTIF('Fernando'!$B$6:$B$300,$A89)+COUNTIF('Stephanie'!$B$6:$B$300,$A89)+COUNTIF('Fox'!$B$6:$B$300,$A89)+COUNTIF('Bruna'!$B$6:$B$300,$A89)+COUNTIF('Stella'!$B$6:$B$300,$A89)+COUNTIF('Igor'!$B$6:$B$300,$A89)))</f>
        <v/>
      </c>
      <c r="K89" s="18" t="n">
        <v>46139</v>
      </c>
      <c r="L89" s="18" t="n">
        <v>46157</v>
      </c>
      <c r="M89" s="18" t="n">
        <v>46139</v>
      </c>
      <c r="N89" s="18" t="n">
        <v>46213</v>
      </c>
      <c r="O89" s="19" t="n"/>
      <c r="P89" s="20">
        <f>IF($A89="","",IF(M89&lt;&gt;"",M89,IF(K89&lt;&gt;"",K89,"")))</f>
        <v/>
      </c>
      <c r="Q89" s="20">
        <f>IF($A89="","",IF(N89&lt;&gt;"",N89,IF(L89&lt;&gt;"",L89,"")))</f>
        <v/>
      </c>
      <c r="R89" s="15" t="n"/>
      <c r="S89" s="16">
        <f t="array" ref="S89">IF($A89="","",_xlfn.TEXTJOIN(CHAR(10),TRUE,IF('Clarice'!$B$6:$B$300=$A89,"Clarice"&amp;IF('Clarice'!$E$6:$E$300="",""," : "&amp;'Clarice'!$E$6:$E$300)&amp;" ["&amp;'Clarice'!$F$6:$F$300&amp;"]",""),IF('Luisa'!$B$6:$B$300=$A89,"Luisa"&amp;IF('Luisa'!$E$6:$E$300="",""," : "&amp;'Luisa'!$E$6:$E$300)&amp;" ["&amp;'Luisa'!$F$6:$F$300&amp;"]",""),IF('Lui'!$B$6:$B$300=$A89,"Lui"&amp;IF('Lui'!$E$6:$E$300="",""," : "&amp;'Lui'!$E$6:$E$300)&amp;" ["&amp;'Lui'!$F$6:$F$300&amp;"]",""),IF('Thaís'!$B$6:$B$300=$A89,"Thaís"&amp;IF('Thaís'!$E$6:$E$300="",""," : "&amp;'Thaís'!$E$6:$E$300)&amp;" ["&amp;'Thaís'!$F$6:$F$300&amp;"]",""),IF('Daniel'!$B$6:$B$300=$A89,"Daniel"&amp;IF('Daniel'!$E$6:$E$300="",""," : "&amp;'Daniel'!$E$6:$E$300)&amp;" ["&amp;'Daniel'!$F$6:$F$300&amp;"]",""),IF('Fernando'!$B$6:$B$300=$A89,"Fernando"&amp;IF('Fernando'!$E$6:$E$300="",""," : "&amp;'Fernando'!$E$6:$E$300)&amp;" ["&amp;'Fernando'!$F$6:$F$300&amp;"]",""),IF('Stephanie'!$B$6:$B$300=$A89,"Stephanie"&amp;IF('Stephanie'!$E$6:$E$300="",""," : "&amp;'Stephanie'!$E$6:$E$300)&amp;" ["&amp;'Stephanie'!$F$6:$F$300&amp;"]",""),IF('Fox'!$B$6:$B$300=$A89,"Fox"&amp;IF('Fox'!$E$6:$E$300="",""," : "&amp;'Fox'!$E$6:$E$300)&amp;" ["&amp;'Fox'!$F$6:$F$300&amp;"]",""),IF('Bruna'!$B$6:$B$300=$A89,"Bruna"&amp;IF('Bruna'!$E$6:$E$300="",""," : "&amp;'Bruna'!$E$6:$E$300)&amp;" ["&amp;'Bruna'!$F$6:$F$300&amp;"]",""),IF('Stella'!$B$6:$B$300=$A89,"Stella"&amp;IF('Stella'!$E$6:$E$300="",""," : "&amp;'Stella'!$E$6:$E$300)&amp;" ["&amp;'Stella'!$F$6:$F$300&amp;"]",""),IF('Igor'!$B$6:$B$300=$A89,"Igor"&amp;IF('Igor'!$E$6:$E$300="",""," : "&amp;'Igor'!$E$6:$E$300)&amp;" ["&amp;'Igor'!$F$6:$F$300&amp;"]","")))</f>
        <v/>
      </c>
    </row>
    <row r="90" ht="28" customHeight="1">
      <c r="A90" s="13" t="inlineStr">
        <is>
          <t>DM-027</t>
        </is>
      </c>
      <c r="B90" s="14" t="inlineStr">
        <is>
          <t>Etapa 2: Construção das métricas | Atividade 7: Operacionalização das métricas | Atividade 8: Aplicação das métricas</t>
        </is>
      </c>
      <c r="C90" s="14" t="inlineStr">
        <is>
          <t>3. Aplicação da DM</t>
        </is>
      </c>
      <c r="D90" s="14" t="inlineStr">
        <is>
          <t>UTGCA</t>
        </is>
      </c>
      <c r="E90" s="15" t="inlineStr">
        <is>
          <t>Identificar lacunas de dados para recomendar para a Petrobras por táxon - fauna (UTGCA)</t>
        </is>
      </c>
      <c r="F90" s="13" t="inlineStr">
        <is>
          <t>Stephanie</t>
        </is>
      </c>
      <c r="G90" s="16">
        <f>IF($A90="","",_xlfn.TEXTJOIN("; ",TRUE,IF(COUNTIF('Clarice'!$B$6:$B$300,$A90)&gt;0,"Clarice",""),IF(COUNTIF('Luisa'!$B$6:$B$300,$A90)&gt;0,"Luisa",""),IF(COUNTIF('Lui'!$B$6:$B$300,$A90)&gt;0,"Lui",""),IF(COUNTIF('Thaís'!$B$6:$B$300,$A90)&gt;0,"Thaís",""),IF(COUNTIF('Daniel'!$B$6:$B$300,$A90)&gt;0,"Daniel",""),IF(COUNTIF('Fernando'!$B$6:$B$300,$A90)&gt;0,"Fernando",""),IF(COUNTIF('Stephanie'!$B$6:$B$300,$A90)&gt;0,"Stephanie",""),IF(COUNTIF('Fox'!$B$6:$B$300,$A90)&gt;0,"Fox",""),IF(COUNTIF('Bruna'!$B$6:$B$300,$A90)&gt;0,"Bruna",""),IF(COUNTIF('Stella'!$B$6:$B$300,$A90)&gt;0,"Stella",""),IF(COUNTIF('Igor'!$B$6:$B$300,$A90)&gt;0,"Igor","")))</f>
        <v/>
      </c>
      <c r="H90" s="13" t="n"/>
      <c r="I90" s="13" t="inlineStr">
        <is>
          <t>Em andamento</t>
        </is>
      </c>
      <c r="J90" s="17">
        <f>IF(OR($A90="",(COUNTIF('Clarice'!$B$6:$B$300,$A90)+COUNTIF('Luisa'!$B$6:$B$300,$A90)+COUNTIF('Lui'!$B$6:$B$300,$A90)+COUNTIF('Thaís'!$B$6:$B$300,$A90)+COUNTIF('Daniel'!$B$6:$B$300,$A90)+COUNTIF('Fernando'!$B$6:$B$300,$A90)+COUNTIF('Stephanie'!$B$6:$B$300,$A90)+COUNTIF('Fox'!$B$6:$B$300,$A90)+COUNTIF('Bruna'!$B$6:$B$300,$A90)+COUNTIF('Stella'!$B$6:$B$300,$A90)+COUNTIF('Igor'!$B$6:$B$300,$A90))=0),"",(COUNTIFS('Clarice'!$B$6:$B$300,$A90,'Clarice'!$F$6:$F$300,"Concluído")+COUNTIFS('Luisa'!$B$6:$B$300,$A90,'Luisa'!$F$6:$F$300,"Concluído")+COUNTIFS('Lui'!$B$6:$B$300,$A90,'Lui'!$F$6:$F$300,"Concluído")+COUNTIFS('Thaís'!$B$6:$B$300,$A90,'Thaís'!$F$6:$F$300,"Concluído")+COUNTIFS('Daniel'!$B$6:$B$300,$A90,'Daniel'!$F$6:$F$300,"Concluído")+COUNTIFS('Fernando'!$B$6:$B$300,$A90,'Fernando'!$F$6:$F$300,"Concluído")+COUNTIFS('Stephanie'!$B$6:$B$300,$A90,'Stephanie'!$F$6:$F$300,"Concluído")+COUNTIFS('Fox'!$B$6:$B$300,$A90,'Fox'!$F$6:$F$300,"Concluído")+COUNTIFS('Bruna'!$B$6:$B$300,$A90,'Bruna'!$F$6:$F$300,"Concluído")+COUNTIFS('Stella'!$B$6:$B$300,$A90,'Stella'!$F$6:$F$300,"Concluído")+COUNTIFS('Igor'!$B$6:$B$300,$A90,'Igor'!$F$6:$F$300,"Concluído"))&amp;" / "&amp;(COUNTIF('Clarice'!$B$6:$B$300,$A90)+COUNTIF('Luisa'!$B$6:$B$300,$A90)+COUNTIF('Lui'!$B$6:$B$300,$A90)+COUNTIF('Thaís'!$B$6:$B$300,$A90)+COUNTIF('Daniel'!$B$6:$B$300,$A90)+COUNTIF('Fernando'!$B$6:$B$300,$A90)+COUNTIF('Stephanie'!$B$6:$B$300,$A90)+COUNTIF('Fox'!$B$6:$B$300,$A90)+COUNTIF('Bruna'!$B$6:$B$300,$A90)+COUNTIF('Stella'!$B$6:$B$300,$A90)+COUNTIF('Igor'!$B$6:$B$300,$A90)))</f>
        <v/>
      </c>
      <c r="K90" s="18" t="n">
        <v>46146</v>
      </c>
      <c r="L90" s="18" t="n">
        <v>46164</v>
      </c>
      <c r="M90" s="18" t="n">
        <v>46146</v>
      </c>
      <c r="N90" s="18" t="n">
        <v>46220</v>
      </c>
      <c r="O90" s="19" t="n"/>
      <c r="P90" s="20">
        <f>IF($A90="","",IF(M90&lt;&gt;"",M90,IF(K90&lt;&gt;"",K90,"")))</f>
        <v/>
      </c>
      <c r="Q90" s="20">
        <f>IF($A90="","",IF(N90&lt;&gt;"",N90,IF(L90&lt;&gt;"",L90,"")))</f>
        <v/>
      </c>
      <c r="R90" s="15" t="n"/>
      <c r="S90" s="16">
        <f t="array" ref="S90">IF($A90="","",_xlfn.TEXTJOIN(CHAR(10),TRUE,IF('Clarice'!$B$6:$B$300=$A90,"Clarice"&amp;IF('Clarice'!$E$6:$E$300="",""," : "&amp;'Clarice'!$E$6:$E$300)&amp;" ["&amp;'Clarice'!$F$6:$F$300&amp;"]",""),IF('Luisa'!$B$6:$B$300=$A90,"Luisa"&amp;IF('Luisa'!$E$6:$E$300="",""," : "&amp;'Luisa'!$E$6:$E$300)&amp;" ["&amp;'Luisa'!$F$6:$F$300&amp;"]",""),IF('Lui'!$B$6:$B$300=$A90,"Lui"&amp;IF('Lui'!$E$6:$E$300="",""," : "&amp;'Lui'!$E$6:$E$300)&amp;" ["&amp;'Lui'!$F$6:$F$300&amp;"]",""),IF('Thaís'!$B$6:$B$300=$A90,"Thaís"&amp;IF('Thaís'!$E$6:$E$300="",""," : "&amp;'Thaís'!$E$6:$E$300)&amp;" ["&amp;'Thaís'!$F$6:$F$300&amp;"]",""),IF('Daniel'!$B$6:$B$300=$A90,"Daniel"&amp;IF('Daniel'!$E$6:$E$300="",""," : "&amp;'Daniel'!$E$6:$E$300)&amp;" ["&amp;'Daniel'!$F$6:$F$300&amp;"]",""),IF('Fernando'!$B$6:$B$300=$A90,"Fernando"&amp;IF('Fernando'!$E$6:$E$300="",""," : "&amp;'Fernando'!$E$6:$E$300)&amp;" ["&amp;'Fernando'!$F$6:$F$300&amp;"]",""),IF('Stephanie'!$B$6:$B$300=$A90,"Stephanie"&amp;IF('Stephanie'!$E$6:$E$300="",""," : "&amp;'Stephanie'!$E$6:$E$300)&amp;" ["&amp;'Stephanie'!$F$6:$F$300&amp;"]",""),IF('Fox'!$B$6:$B$300=$A90,"Fox"&amp;IF('Fox'!$E$6:$E$300="",""," : "&amp;'Fox'!$E$6:$E$300)&amp;" ["&amp;'Fox'!$F$6:$F$300&amp;"]",""),IF('Bruna'!$B$6:$B$300=$A90,"Bruna"&amp;IF('Bruna'!$E$6:$E$300="",""," : "&amp;'Bruna'!$E$6:$E$300)&amp;" ["&amp;'Bruna'!$F$6:$F$300&amp;"]",""),IF('Stella'!$B$6:$B$300=$A90,"Stella"&amp;IF('Stella'!$E$6:$E$300="",""," : "&amp;'Stella'!$E$6:$E$300)&amp;" ["&amp;'Stella'!$F$6:$F$300&amp;"]",""),IF('Igor'!$B$6:$B$300=$A90,"Igor"&amp;IF('Igor'!$E$6:$E$300="",""," : "&amp;'Igor'!$E$6:$E$300)&amp;" ["&amp;'Igor'!$F$6:$F$300&amp;"]","")))</f>
        <v/>
      </c>
    </row>
    <row r="91" ht="40.5" customHeight="1">
      <c r="A91" s="13" t="inlineStr">
        <is>
          <t>DM-028</t>
        </is>
      </c>
      <c r="B91" s="14" t="inlineStr">
        <is>
          <t>Etapa 2: Construção das métricas | Atividade 7: Operacionalização das métricas | Atividade 8: Aplicação das métricas</t>
        </is>
      </c>
      <c r="C91" s="14" t="inlineStr">
        <is>
          <t>3. Aplicação da DM</t>
        </is>
      </c>
      <c r="D91" s="14" t="inlineStr">
        <is>
          <t>UTGCA</t>
        </is>
      </c>
      <c r="E91" s="15" t="inlineStr">
        <is>
          <t>Apresentar os resultados para a Petrobras (UTGCA)</t>
        </is>
      </c>
      <c r="F91" s="13" t="inlineStr">
        <is>
          <t>Stephanie</t>
        </is>
      </c>
      <c r="G91" s="16">
        <f>IF($A91="","",_xlfn.TEXTJOIN("; ",TRUE,IF(COUNTIF('Clarice'!$B$6:$B$300,$A91)&gt;0,"Clarice",""),IF(COUNTIF('Luisa'!$B$6:$B$300,$A91)&gt;0,"Luisa",""),IF(COUNTIF('Lui'!$B$6:$B$300,$A91)&gt;0,"Lui",""),IF(COUNTIF('Thaís'!$B$6:$B$300,$A91)&gt;0,"Thaís",""),IF(COUNTIF('Daniel'!$B$6:$B$300,$A91)&gt;0,"Daniel",""),IF(COUNTIF('Fernando'!$B$6:$B$300,$A91)&gt;0,"Fernando",""),IF(COUNTIF('Stephanie'!$B$6:$B$300,$A91)&gt;0,"Stephanie",""),IF(COUNTIF('Fox'!$B$6:$B$300,$A91)&gt;0,"Fox",""),IF(COUNTIF('Bruna'!$B$6:$B$300,$A91)&gt;0,"Bruna",""),IF(COUNTIF('Stella'!$B$6:$B$300,$A91)&gt;0,"Stella",""),IF(COUNTIF('Igor'!$B$6:$B$300,$A91)&gt;0,"Igor","")))</f>
        <v/>
      </c>
      <c r="H91" s="13" t="n"/>
      <c r="I91" s="13" t="inlineStr">
        <is>
          <t>Não iniciado</t>
        </is>
      </c>
      <c r="J91" s="17">
        <f>IF(OR($A91="",(COUNTIF('Clarice'!$B$6:$B$300,$A91)+COUNTIF('Luisa'!$B$6:$B$300,$A91)+COUNTIF('Lui'!$B$6:$B$300,$A91)+COUNTIF('Thaís'!$B$6:$B$300,$A91)+COUNTIF('Daniel'!$B$6:$B$300,$A91)+COUNTIF('Fernando'!$B$6:$B$300,$A91)+COUNTIF('Stephanie'!$B$6:$B$300,$A91)+COUNTIF('Fox'!$B$6:$B$300,$A91)+COUNTIF('Bruna'!$B$6:$B$300,$A91)+COUNTIF('Stella'!$B$6:$B$300,$A91)+COUNTIF('Igor'!$B$6:$B$300,$A91))=0),"",(COUNTIFS('Clarice'!$B$6:$B$300,$A91,'Clarice'!$F$6:$F$300,"Concluído")+COUNTIFS('Luisa'!$B$6:$B$300,$A91,'Luisa'!$F$6:$F$300,"Concluído")+COUNTIFS('Lui'!$B$6:$B$300,$A91,'Lui'!$F$6:$F$300,"Concluído")+COUNTIFS('Thaís'!$B$6:$B$300,$A91,'Thaís'!$F$6:$F$300,"Concluído")+COUNTIFS('Daniel'!$B$6:$B$300,$A91,'Daniel'!$F$6:$F$300,"Concluído")+COUNTIFS('Fernando'!$B$6:$B$300,$A91,'Fernando'!$F$6:$F$300,"Concluído")+COUNTIFS('Stephanie'!$B$6:$B$300,$A91,'Stephanie'!$F$6:$F$300,"Concluído")+COUNTIFS('Fox'!$B$6:$B$300,$A91,'Fox'!$F$6:$F$300,"Concluído")+COUNTIFS('Bruna'!$B$6:$B$300,$A91,'Bruna'!$F$6:$F$300,"Concluído")+COUNTIFS('Stella'!$B$6:$B$300,$A91,'Stella'!$F$6:$F$300,"Concluído")+COUNTIFS('Igor'!$B$6:$B$300,$A91,'Igor'!$F$6:$F$300,"Concluído"))&amp;" / "&amp;(COUNTIF('Clarice'!$B$6:$B$300,$A91)+COUNTIF('Luisa'!$B$6:$B$300,$A91)+COUNTIF('Lui'!$B$6:$B$300,$A91)+COUNTIF('Thaís'!$B$6:$B$300,$A91)+COUNTIF('Daniel'!$B$6:$B$300,$A91)+COUNTIF('Fernando'!$B$6:$B$300,$A91)+COUNTIF('Stephanie'!$B$6:$B$300,$A91)+COUNTIF('Fox'!$B$6:$B$300,$A91)+COUNTIF('Bruna'!$B$6:$B$300,$A91)+COUNTIF('Stella'!$B$6:$B$300,$A91)+COUNTIF('Igor'!$B$6:$B$300,$A91)))</f>
        <v/>
      </c>
      <c r="K91" s="18" t="n">
        <v>46167</v>
      </c>
      <c r="L91" s="18" t="n">
        <v>46178</v>
      </c>
      <c r="M91" s="18" t="n">
        <v>46167</v>
      </c>
      <c r="N91" s="18" t="n">
        <v>46220</v>
      </c>
      <c r="O91" s="19" t="n"/>
      <c r="P91" s="20">
        <f>IF($A91="","",IF(M91&lt;&gt;"",M91,IF(K91&lt;&gt;"",K91,"")))</f>
        <v/>
      </c>
      <c r="Q91" s="20">
        <f>IF($A91="","",IF(N91&lt;&gt;"",N91,IF(L91&lt;&gt;"",L91,"")))</f>
        <v/>
      </c>
      <c r="R91" s="15" t="n"/>
      <c r="S91" s="16">
        <f t="array" ref="S91">IF($A91="","",_xlfn.TEXTJOIN(CHAR(10),TRUE,IF('Clarice'!$B$6:$B$300=$A91,"Clarice"&amp;IF('Clarice'!$E$6:$E$300="",""," : "&amp;'Clarice'!$E$6:$E$300)&amp;" ["&amp;'Clarice'!$F$6:$F$300&amp;"]",""),IF('Luisa'!$B$6:$B$300=$A91,"Luisa"&amp;IF('Luisa'!$E$6:$E$300="",""," : "&amp;'Luisa'!$E$6:$E$300)&amp;" ["&amp;'Luisa'!$F$6:$F$300&amp;"]",""),IF('Lui'!$B$6:$B$300=$A91,"Lui"&amp;IF('Lui'!$E$6:$E$300="",""," : "&amp;'Lui'!$E$6:$E$300)&amp;" ["&amp;'Lui'!$F$6:$F$300&amp;"]",""),IF('Thaís'!$B$6:$B$300=$A91,"Thaís"&amp;IF('Thaís'!$E$6:$E$300="",""," : "&amp;'Thaís'!$E$6:$E$300)&amp;" ["&amp;'Thaís'!$F$6:$F$300&amp;"]",""),IF('Daniel'!$B$6:$B$300=$A91,"Daniel"&amp;IF('Daniel'!$E$6:$E$300="",""," : "&amp;'Daniel'!$E$6:$E$300)&amp;" ["&amp;'Daniel'!$F$6:$F$300&amp;"]",""),IF('Fernando'!$B$6:$B$300=$A91,"Fernando"&amp;IF('Fernando'!$E$6:$E$300="",""," : "&amp;'Fernando'!$E$6:$E$300)&amp;" ["&amp;'Fernando'!$F$6:$F$300&amp;"]",""),IF('Stephanie'!$B$6:$B$300=$A91,"Stephanie"&amp;IF('Stephanie'!$E$6:$E$300="",""," : "&amp;'Stephanie'!$E$6:$E$300)&amp;" ["&amp;'Stephanie'!$F$6:$F$300&amp;"]",""),IF('Fox'!$B$6:$B$300=$A91,"Fox"&amp;IF('Fox'!$E$6:$E$300="",""," : "&amp;'Fox'!$E$6:$E$300)&amp;" ["&amp;'Fox'!$F$6:$F$300&amp;"]",""),IF('Bruna'!$B$6:$B$300=$A91,"Bruna"&amp;IF('Bruna'!$E$6:$E$300="",""," : "&amp;'Bruna'!$E$6:$E$300)&amp;" ["&amp;'Bruna'!$F$6:$F$300&amp;"]",""),IF('Stella'!$B$6:$B$300=$A91,"Stella"&amp;IF('Stella'!$E$6:$E$300="",""," : "&amp;'Stella'!$E$6:$E$300)&amp;" ["&amp;'Stella'!$F$6:$F$300&amp;"]",""),IF('Igor'!$B$6:$B$300=$A91,"Igor"&amp;IF('Igor'!$E$6:$E$300="",""," : "&amp;'Igor'!$E$6:$E$300)&amp;" ["&amp;'Igor'!$F$6:$F$300&amp;"]","")))</f>
        <v/>
      </c>
    </row>
    <row r="92" ht="28" customHeight="1">
      <c r="A92" s="13" t="inlineStr">
        <is>
          <t>DM-029</t>
        </is>
      </c>
      <c r="B92" s="14" t="inlineStr">
        <is>
          <t>Etapa 2: Construção das métricas | Atividade 7: Operacionalização das métricas | Atividade 8: Aplicação das métricas</t>
        </is>
      </c>
      <c r="C92" s="14" t="inlineStr">
        <is>
          <t>3. Aplicação da DM</t>
        </is>
      </c>
      <c r="D92" s="14" t="inlineStr">
        <is>
          <t>UTGCA</t>
        </is>
      </c>
      <c r="E92" s="15" t="inlineStr">
        <is>
          <t>Fazer os ajustes necessários (UTGCA)</t>
        </is>
      </c>
      <c r="F92" s="13" t="inlineStr">
        <is>
          <t>Stephanie</t>
        </is>
      </c>
      <c r="G92" s="16">
        <f>IF($A92="","",_xlfn.TEXTJOIN("; ",TRUE,IF(COUNTIF('Clarice'!$B$6:$B$300,$A92)&gt;0,"Clarice",""),IF(COUNTIF('Luisa'!$B$6:$B$300,$A92)&gt;0,"Luisa",""),IF(COUNTIF('Lui'!$B$6:$B$300,$A92)&gt;0,"Lui",""),IF(COUNTIF('Thaís'!$B$6:$B$300,$A92)&gt;0,"Thaís",""),IF(COUNTIF('Daniel'!$B$6:$B$300,$A92)&gt;0,"Daniel",""),IF(COUNTIF('Fernando'!$B$6:$B$300,$A92)&gt;0,"Fernando",""),IF(COUNTIF('Stephanie'!$B$6:$B$300,$A92)&gt;0,"Stephanie",""),IF(COUNTIF('Fox'!$B$6:$B$300,$A92)&gt;0,"Fox",""),IF(COUNTIF('Bruna'!$B$6:$B$300,$A92)&gt;0,"Bruna",""),IF(COUNTIF('Stella'!$B$6:$B$300,$A92)&gt;0,"Stella",""),IF(COUNTIF('Igor'!$B$6:$B$300,$A92)&gt;0,"Igor","")))</f>
        <v/>
      </c>
      <c r="H92" s="13" t="n"/>
      <c r="I92" s="13" t="inlineStr">
        <is>
          <t>Não iniciado</t>
        </is>
      </c>
      <c r="J92" s="17">
        <f>IF(OR($A92="",(COUNTIF('Clarice'!$B$6:$B$300,$A92)+COUNTIF('Luisa'!$B$6:$B$300,$A92)+COUNTIF('Lui'!$B$6:$B$300,$A92)+COUNTIF('Thaís'!$B$6:$B$300,$A92)+COUNTIF('Daniel'!$B$6:$B$300,$A92)+COUNTIF('Fernando'!$B$6:$B$300,$A92)+COUNTIF('Stephanie'!$B$6:$B$300,$A92)+COUNTIF('Fox'!$B$6:$B$300,$A92)+COUNTIF('Bruna'!$B$6:$B$300,$A92)+COUNTIF('Stella'!$B$6:$B$300,$A92)+COUNTIF('Igor'!$B$6:$B$300,$A92))=0),"",(COUNTIFS('Clarice'!$B$6:$B$300,$A92,'Clarice'!$F$6:$F$300,"Concluído")+COUNTIFS('Luisa'!$B$6:$B$300,$A92,'Luisa'!$F$6:$F$300,"Concluído")+COUNTIFS('Lui'!$B$6:$B$300,$A92,'Lui'!$F$6:$F$300,"Concluído")+COUNTIFS('Thaís'!$B$6:$B$300,$A92,'Thaís'!$F$6:$F$300,"Concluído")+COUNTIFS('Daniel'!$B$6:$B$300,$A92,'Daniel'!$F$6:$F$300,"Concluído")+COUNTIFS('Fernando'!$B$6:$B$300,$A92,'Fernando'!$F$6:$F$300,"Concluído")+COUNTIFS('Stephanie'!$B$6:$B$300,$A92,'Stephanie'!$F$6:$F$300,"Concluído")+COUNTIFS('Fox'!$B$6:$B$300,$A92,'Fox'!$F$6:$F$300,"Concluído")+COUNTIFS('Bruna'!$B$6:$B$300,$A92,'Bruna'!$F$6:$F$300,"Concluído")+COUNTIFS('Stella'!$B$6:$B$300,$A92,'Stella'!$F$6:$F$300,"Concluído")+COUNTIFS('Igor'!$B$6:$B$300,$A92,'Igor'!$F$6:$F$300,"Concluído"))&amp;" / "&amp;(COUNTIF('Clarice'!$B$6:$B$300,$A92)+COUNTIF('Luisa'!$B$6:$B$300,$A92)+COUNTIF('Lui'!$B$6:$B$300,$A92)+COUNTIF('Thaís'!$B$6:$B$300,$A92)+COUNTIF('Daniel'!$B$6:$B$300,$A92)+COUNTIF('Fernando'!$B$6:$B$300,$A92)+COUNTIF('Stephanie'!$B$6:$B$300,$A92)+COUNTIF('Fox'!$B$6:$B$300,$A92)+COUNTIF('Bruna'!$B$6:$B$300,$A92)+COUNTIF('Stella'!$B$6:$B$300,$A92)+COUNTIF('Igor'!$B$6:$B$300,$A92)))</f>
        <v/>
      </c>
      <c r="K92" s="18" t="n">
        <v>46181</v>
      </c>
      <c r="L92" s="18" t="n">
        <v>46192</v>
      </c>
      <c r="M92" s="18" t="n">
        <v>46181</v>
      </c>
      <c r="N92" s="18" t="n">
        <v>46241</v>
      </c>
      <c r="O92" s="19" t="n"/>
      <c r="P92" s="20">
        <f>IF($A92="","",IF(M92&lt;&gt;"",M92,IF(K92&lt;&gt;"",K92,"")))</f>
        <v/>
      </c>
      <c r="Q92" s="20">
        <f>IF($A92="","",IF(N92&lt;&gt;"",N92,IF(L92&lt;&gt;"",L92,"")))</f>
        <v/>
      </c>
      <c r="R92" s="15" t="n"/>
      <c r="S92" s="16">
        <f t="array" ref="S92">IF($A92="","",_xlfn.TEXTJOIN(CHAR(10),TRUE,IF('Clarice'!$B$6:$B$300=$A92,"Clarice"&amp;IF('Clarice'!$E$6:$E$300="",""," : "&amp;'Clarice'!$E$6:$E$300)&amp;" ["&amp;'Clarice'!$F$6:$F$300&amp;"]",""),IF('Luisa'!$B$6:$B$300=$A92,"Luisa"&amp;IF('Luisa'!$E$6:$E$300="",""," : "&amp;'Luisa'!$E$6:$E$300)&amp;" ["&amp;'Luisa'!$F$6:$F$300&amp;"]",""),IF('Lui'!$B$6:$B$300=$A92,"Lui"&amp;IF('Lui'!$E$6:$E$300="",""," : "&amp;'Lui'!$E$6:$E$300)&amp;" ["&amp;'Lui'!$F$6:$F$300&amp;"]",""),IF('Thaís'!$B$6:$B$300=$A92,"Thaís"&amp;IF('Thaís'!$E$6:$E$300="",""," : "&amp;'Thaís'!$E$6:$E$300)&amp;" ["&amp;'Thaís'!$F$6:$F$300&amp;"]",""),IF('Daniel'!$B$6:$B$300=$A92,"Daniel"&amp;IF('Daniel'!$E$6:$E$300="",""," : "&amp;'Daniel'!$E$6:$E$300)&amp;" ["&amp;'Daniel'!$F$6:$F$300&amp;"]",""),IF('Fernando'!$B$6:$B$300=$A92,"Fernando"&amp;IF('Fernando'!$E$6:$E$300="",""," : "&amp;'Fernando'!$E$6:$E$300)&amp;" ["&amp;'Fernando'!$F$6:$F$300&amp;"]",""),IF('Stephanie'!$B$6:$B$300=$A92,"Stephanie"&amp;IF('Stephanie'!$E$6:$E$300="",""," : "&amp;'Stephanie'!$E$6:$E$300)&amp;" ["&amp;'Stephanie'!$F$6:$F$300&amp;"]",""),IF('Fox'!$B$6:$B$300=$A92,"Fox"&amp;IF('Fox'!$E$6:$E$300="",""," : "&amp;'Fox'!$E$6:$E$300)&amp;" ["&amp;'Fox'!$F$6:$F$300&amp;"]",""),IF('Bruna'!$B$6:$B$300=$A92,"Bruna"&amp;IF('Bruna'!$E$6:$E$300="",""," : "&amp;'Bruna'!$E$6:$E$300)&amp;" ["&amp;'Bruna'!$F$6:$F$300&amp;"]",""),IF('Stella'!$B$6:$B$300=$A92,"Stella"&amp;IF('Stella'!$E$6:$E$300="",""," : "&amp;'Stella'!$E$6:$E$300)&amp;" ["&amp;'Stella'!$F$6:$F$300&amp;"]",""),IF('Igor'!$B$6:$B$300=$A92,"Igor"&amp;IF('Igor'!$E$6:$E$300="",""," : "&amp;'Igor'!$E$6:$E$300)&amp;" ["&amp;'Igor'!$F$6:$F$300&amp;"]","")))</f>
        <v/>
      </c>
    </row>
    <row r="93">
      <c r="A93" s="21" t="n"/>
      <c r="B93" s="21" t="inlineStr">
        <is>
          <t>Etapa 2: Construção das métricas | Atividade 7: Operacionalização das métricas | Atividade 8: Aplicação das métricas</t>
        </is>
      </c>
      <c r="C93" s="21" t="inlineStr">
        <is>
          <t>3. Aplicação da DM</t>
        </is>
      </c>
      <c r="D93" s="21" t="inlineStr">
        <is>
          <t>Boaventura</t>
        </is>
      </c>
      <c r="E93" s="21" t="inlineStr">
        <is>
          <t>Boaventura</t>
        </is>
      </c>
      <c r="F93" s="21" t="inlineStr">
        <is>
          <t>Stephanie</t>
        </is>
      </c>
      <c r="G93" s="21">
        <f>IF($A93="","",_xlfn.TEXTJOIN("; ",TRUE,IF(COUNTIF('Clarice'!$B$6:$B$300,$A93)&gt;0,"Clarice",""),IF(COUNTIF('Luisa'!$B$6:$B$300,$A93)&gt;0,"Luisa",""),IF(COUNTIF('Lui'!$B$6:$B$300,$A93)&gt;0,"Lui",""),IF(COUNTIF('Thaís'!$B$6:$B$300,$A93)&gt;0,"Thaís",""),IF(COUNTIF('Daniel'!$B$6:$B$300,$A93)&gt;0,"Daniel",""),IF(COUNTIF('Fernando'!$B$6:$B$300,$A93)&gt;0,"Fernando",""),IF(COUNTIF('Stephanie'!$B$6:$B$300,$A93)&gt;0,"Stephanie",""),IF(COUNTIF('Fox'!$B$6:$B$300,$A93)&gt;0,"Fox",""),IF(COUNTIF('Bruna'!$B$6:$B$300,$A93)&gt;0,"Bruna",""),IF(COUNTIF('Stella'!$B$6:$B$300,$A93)&gt;0,"Stella",""),IF(COUNTIF('Igor'!$B$6:$B$300,$A93)&gt;0,"Igor","")))</f>
        <v/>
      </c>
      <c r="H93" s="21" t="n"/>
      <c r="I93" s="21" t="n"/>
      <c r="J93" s="21">
        <f>IF(OR($A93="",(COUNTIF('Clarice'!$B$6:$B$300,$A93)+COUNTIF('Luisa'!$B$6:$B$300,$A93)+COUNTIF('Lui'!$B$6:$B$300,$A93)+COUNTIF('Thaís'!$B$6:$B$300,$A93)+COUNTIF('Daniel'!$B$6:$B$300,$A93)+COUNTIF('Fernando'!$B$6:$B$300,$A93)+COUNTIF('Stephanie'!$B$6:$B$300,$A93)+COUNTIF('Fox'!$B$6:$B$300,$A93)+COUNTIF('Bruna'!$B$6:$B$300,$A93)+COUNTIF('Stella'!$B$6:$B$300,$A93)+COUNTIF('Igor'!$B$6:$B$300,$A93))=0),"",(COUNTIFS('Clarice'!$B$6:$B$300,$A93,'Clarice'!$F$6:$F$300,"Concluído")+COUNTIFS('Luisa'!$B$6:$B$300,$A93,'Luisa'!$F$6:$F$300,"Concluído")+COUNTIFS('Lui'!$B$6:$B$300,$A93,'Lui'!$F$6:$F$300,"Concluído")+COUNTIFS('Thaís'!$B$6:$B$300,$A93,'Thaís'!$F$6:$F$300,"Concluído")+COUNTIFS('Daniel'!$B$6:$B$300,$A93,'Daniel'!$F$6:$F$300,"Concluído")+COUNTIFS('Fernando'!$B$6:$B$300,$A93,'Fernando'!$F$6:$F$300,"Concluído")+COUNTIFS('Stephanie'!$B$6:$B$300,$A93,'Stephanie'!$F$6:$F$300,"Concluído")+COUNTIFS('Fox'!$B$6:$B$300,$A93,'Fox'!$F$6:$F$300,"Concluído")+COUNTIFS('Bruna'!$B$6:$B$300,$A93,'Bruna'!$F$6:$F$300,"Concluído")+COUNTIFS('Stella'!$B$6:$B$300,$A93,'Stella'!$F$6:$F$300,"Concluído")+COUNTIFS('Igor'!$B$6:$B$300,$A93,'Igor'!$F$6:$F$300,"Concluído"))&amp;" / "&amp;(COUNTIF('Clarice'!$B$6:$B$300,$A93)+COUNTIF('Luisa'!$B$6:$B$300,$A93)+COUNTIF('Lui'!$B$6:$B$300,$A93)+COUNTIF('Thaís'!$B$6:$B$300,$A93)+COUNTIF('Daniel'!$B$6:$B$300,$A93)+COUNTIF('Fernando'!$B$6:$B$300,$A93)+COUNTIF('Stephanie'!$B$6:$B$300,$A93)+COUNTIF('Fox'!$B$6:$B$300,$A93)+COUNTIF('Bruna'!$B$6:$B$300,$A93)+COUNTIF('Stella'!$B$6:$B$300,$A93)+COUNTIF('Igor'!$B$6:$B$300,$A93)))</f>
        <v/>
      </c>
      <c r="K93" s="21" t="n"/>
      <c r="L93" s="21" t="n"/>
      <c r="M93" s="21" t="n"/>
      <c r="N93" s="21" t="n"/>
      <c r="O93" s="21" t="n"/>
      <c r="P93" s="22">
        <f>IF($A93="","",IF(M93&lt;&gt;"",M93,IF(K93&lt;&gt;"",K93,"")))</f>
        <v/>
      </c>
      <c r="Q93" s="22">
        <f>IF($A93="","",IF(N93&lt;&gt;"",N93,IF(L93&lt;&gt;"",L93,"")))</f>
        <v/>
      </c>
      <c r="R93" s="21" t="n"/>
      <c r="S93" s="21">
        <f t="array" ref="S93">IF($A93="","",_xlfn.TEXTJOIN(CHAR(10),TRUE,IF('Clarice'!$B$6:$B$300=$A93,"Clarice"&amp;IF('Clarice'!$E$6:$E$300="",""," : "&amp;'Clarice'!$E$6:$E$300)&amp;" ["&amp;'Clarice'!$F$6:$F$300&amp;"]",""),IF('Luisa'!$B$6:$B$300=$A93,"Luisa"&amp;IF('Luisa'!$E$6:$E$300="",""," : "&amp;'Luisa'!$E$6:$E$300)&amp;" ["&amp;'Luisa'!$F$6:$F$300&amp;"]",""),IF('Lui'!$B$6:$B$300=$A93,"Lui"&amp;IF('Lui'!$E$6:$E$300="",""," : "&amp;'Lui'!$E$6:$E$300)&amp;" ["&amp;'Lui'!$F$6:$F$300&amp;"]",""),IF('Thaís'!$B$6:$B$300=$A93,"Thaís"&amp;IF('Thaís'!$E$6:$E$300="",""," : "&amp;'Thaís'!$E$6:$E$300)&amp;" ["&amp;'Thaís'!$F$6:$F$300&amp;"]",""),IF('Daniel'!$B$6:$B$300=$A93,"Daniel"&amp;IF('Daniel'!$E$6:$E$300="",""," : "&amp;'Daniel'!$E$6:$E$300)&amp;" ["&amp;'Daniel'!$F$6:$F$300&amp;"]",""),IF('Fernando'!$B$6:$B$300=$A93,"Fernando"&amp;IF('Fernando'!$E$6:$E$300="",""," : "&amp;'Fernando'!$E$6:$E$300)&amp;" ["&amp;'Fernando'!$F$6:$F$300&amp;"]",""),IF('Stephanie'!$B$6:$B$300=$A93,"Stephanie"&amp;IF('Stephanie'!$E$6:$E$300="",""," : "&amp;'Stephanie'!$E$6:$E$300)&amp;" ["&amp;'Stephanie'!$F$6:$F$300&amp;"]",""),IF('Fox'!$B$6:$B$300=$A93,"Fox"&amp;IF('Fox'!$E$6:$E$300="",""," : "&amp;'Fox'!$E$6:$E$300)&amp;" ["&amp;'Fox'!$F$6:$F$300&amp;"]",""),IF('Bruna'!$B$6:$B$300=$A93,"Bruna"&amp;IF('Bruna'!$E$6:$E$300="",""," : "&amp;'Bruna'!$E$6:$E$300)&amp;" ["&amp;'Bruna'!$F$6:$F$300&amp;"]",""),IF('Stella'!$B$6:$B$300=$A93,"Stella"&amp;IF('Stella'!$E$6:$E$300="",""," : "&amp;'Stella'!$E$6:$E$300)&amp;" ["&amp;'Stella'!$F$6:$F$300&amp;"]",""),IF('Igor'!$B$6:$B$300=$A93,"Igor"&amp;IF('Igor'!$E$6:$E$300="",""," : "&amp;'Igor'!$E$6:$E$300)&amp;" ["&amp;'Igor'!$F$6:$F$300&amp;"]","")))</f>
        <v/>
      </c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</row>
    <row r="94" ht="28" customHeight="1">
      <c r="A94" s="13" t="inlineStr">
        <is>
          <t>DM-030</t>
        </is>
      </c>
      <c r="B94" s="14" t="inlineStr">
        <is>
          <t>Etapa 2: Construção das métricas | Atividade 7: Operacionalização das métricas | Atividade 8: Aplicação das métricas</t>
        </is>
      </c>
      <c r="C94" s="14" t="inlineStr">
        <is>
          <t>3. Aplicação da DM</t>
        </is>
      </c>
      <c r="D94" s="14" t="inlineStr">
        <is>
          <t>Boaventura</t>
        </is>
      </c>
      <c r="E94" s="15" t="inlineStr">
        <is>
          <t>Extrair dados primários (Boaventura)</t>
        </is>
      </c>
      <c r="F94" s="13" t="inlineStr">
        <is>
          <t>Stephanie</t>
        </is>
      </c>
      <c r="G94" s="16">
        <f>IF($A94="","",_xlfn.TEXTJOIN("; ",TRUE,IF(COUNTIF('Clarice'!$B$6:$B$300,$A94)&gt;0,"Clarice",""),IF(COUNTIF('Luisa'!$B$6:$B$300,$A94)&gt;0,"Luisa",""),IF(COUNTIF('Lui'!$B$6:$B$300,$A94)&gt;0,"Lui",""),IF(COUNTIF('Thaís'!$B$6:$B$300,$A94)&gt;0,"Thaís",""),IF(COUNTIF('Daniel'!$B$6:$B$300,$A94)&gt;0,"Daniel",""),IF(COUNTIF('Fernando'!$B$6:$B$300,$A94)&gt;0,"Fernando",""),IF(COUNTIF('Stephanie'!$B$6:$B$300,$A94)&gt;0,"Stephanie",""),IF(COUNTIF('Fox'!$B$6:$B$300,$A94)&gt;0,"Fox",""),IF(COUNTIF('Bruna'!$B$6:$B$300,$A94)&gt;0,"Bruna",""),IF(COUNTIF('Stella'!$B$6:$B$300,$A94)&gt;0,"Stella",""),IF(COUNTIF('Igor'!$B$6:$B$300,$A94)&gt;0,"Igor","")))</f>
        <v/>
      </c>
      <c r="H94" s="13" t="n"/>
      <c r="I94" s="13" t="inlineStr">
        <is>
          <t>Concluído</t>
        </is>
      </c>
      <c r="J94" s="17">
        <f>IF(OR($A94="",(COUNTIF('Clarice'!$B$6:$B$300,$A94)+COUNTIF('Luisa'!$B$6:$B$300,$A94)+COUNTIF('Lui'!$B$6:$B$300,$A94)+COUNTIF('Thaís'!$B$6:$B$300,$A94)+COUNTIF('Daniel'!$B$6:$B$300,$A94)+COUNTIF('Fernando'!$B$6:$B$300,$A94)+COUNTIF('Stephanie'!$B$6:$B$300,$A94)+COUNTIF('Fox'!$B$6:$B$300,$A94)+COUNTIF('Bruna'!$B$6:$B$300,$A94)+COUNTIF('Stella'!$B$6:$B$300,$A94)+COUNTIF('Igor'!$B$6:$B$300,$A94))=0),"",(COUNTIFS('Clarice'!$B$6:$B$300,$A94,'Clarice'!$F$6:$F$300,"Concluído")+COUNTIFS('Luisa'!$B$6:$B$300,$A94,'Luisa'!$F$6:$F$300,"Concluído")+COUNTIFS('Lui'!$B$6:$B$300,$A94,'Lui'!$F$6:$F$300,"Concluído")+COUNTIFS('Thaís'!$B$6:$B$300,$A94,'Thaís'!$F$6:$F$300,"Concluído")+COUNTIFS('Daniel'!$B$6:$B$300,$A94,'Daniel'!$F$6:$F$300,"Concluído")+COUNTIFS('Fernando'!$B$6:$B$300,$A94,'Fernando'!$F$6:$F$300,"Concluído")+COUNTIFS('Stephanie'!$B$6:$B$300,$A94,'Stephanie'!$F$6:$F$300,"Concluído")+COUNTIFS('Fox'!$B$6:$B$300,$A94,'Fox'!$F$6:$F$300,"Concluído")+COUNTIFS('Bruna'!$B$6:$B$300,$A94,'Bruna'!$F$6:$F$300,"Concluído")+COUNTIFS('Stella'!$B$6:$B$300,$A94,'Stella'!$F$6:$F$300,"Concluído")+COUNTIFS('Igor'!$B$6:$B$300,$A94,'Igor'!$F$6:$F$300,"Concluído"))&amp;" / "&amp;(COUNTIF('Clarice'!$B$6:$B$300,$A94)+COUNTIF('Luisa'!$B$6:$B$300,$A94)+COUNTIF('Lui'!$B$6:$B$300,$A94)+COUNTIF('Thaís'!$B$6:$B$300,$A94)+COUNTIF('Daniel'!$B$6:$B$300,$A94)+COUNTIF('Fernando'!$B$6:$B$300,$A94)+COUNTIF('Stephanie'!$B$6:$B$300,$A94)+COUNTIF('Fox'!$B$6:$B$300,$A94)+COUNTIF('Bruna'!$B$6:$B$300,$A94)+COUNTIF('Stella'!$B$6:$B$300,$A94)+COUNTIF('Igor'!$B$6:$B$300,$A94)))</f>
        <v/>
      </c>
      <c r="K94" s="19" t="n"/>
      <c r="L94" s="19" t="n"/>
      <c r="M94" s="19" t="n"/>
      <c r="N94" s="19" t="n"/>
      <c r="O94" s="19" t="n"/>
      <c r="P94" s="20">
        <f>IF($A94="","",IF(M94&lt;&gt;"",M94,IF(K94&lt;&gt;"",K94,"")))</f>
        <v/>
      </c>
      <c r="Q94" s="20">
        <f>IF($A94="","",IF(N94&lt;&gt;"",N94,IF(L94&lt;&gt;"",L94,"")))</f>
        <v/>
      </c>
      <c r="R94" s="15" t="n"/>
      <c r="S94" s="16">
        <f t="array" ref="S94">IF($A94="","",_xlfn.TEXTJOIN(CHAR(10),TRUE,IF('Clarice'!$B$6:$B$300=$A94,"Clarice"&amp;IF('Clarice'!$E$6:$E$300="",""," : "&amp;'Clarice'!$E$6:$E$300)&amp;" ["&amp;'Clarice'!$F$6:$F$300&amp;"]",""),IF('Luisa'!$B$6:$B$300=$A94,"Luisa"&amp;IF('Luisa'!$E$6:$E$300="",""," : "&amp;'Luisa'!$E$6:$E$300)&amp;" ["&amp;'Luisa'!$F$6:$F$300&amp;"]",""),IF('Lui'!$B$6:$B$300=$A94,"Lui"&amp;IF('Lui'!$E$6:$E$300="",""," : "&amp;'Lui'!$E$6:$E$300)&amp;" ["&amp;'Lui'!$F$6:$F$300&amp;"]",""),IF('Thaís'!$B$6:$B$300=$A94,"Thaís"&amp;IF('Thaís'!$E$6:$E$300="",""," : "&amp;'Thaís'!$E$6:$E$300)&amp;" ["&amp;'Thaís'!$F$6:$F$300&amp;"]",""),IF('Daniel'!$B$6:$B$300=$A94,"Daniel"&amp;IF('Daniel'!$E$6:$E$300="",""," : "&amp;'Daniel'!$E$6:$E$300)&amp;" ["&amp;'Daniel'!$F$6:$F$300&amp;"]",""),IF('Fernando'!$B$6:$B$300=$A94,"Fernando"&amp;IF('Fernando'!$E$6:$E$300="",""," : "&amp;'Fernando'!$E$6:$E$300)&amp;" ["&amp;'Fernando'!$F$6:$F$300&amp;"]",""),IF('Stephanie'!$B$6:$B$300=$A94,"Stephanie"&amp;IF('Stephanie'!$E$6:$E$300="",""," : "&amp;'Stephanie'!$E$6:$E$300)&amp;" ["&amp;'Stephanie'!$F$6:$F$300&amp;"]",""),IF('Fox'!$B$6:$B$300=$A94,"Fox"&amp;IF('Fox'!$E$6:$E$300="",""," : "&amp;'Fox'!$E$6:$E$300)&amp;" ["&amp;'Fox'!$F$6:$F$300&amp;"]",""),IF('Bruna'!$B$6:$B$300=$A94,"Bruna"&amp;IF('Bruna'!$E$6:$E$300="",""," : "&amp;'Bruna'!$E$6:$E$300)&amp;" ["&amp;'Bruna'!$F$6:$F$300&amp;"]",""),IF('Stella'!$B$6:$B$300=$A94,"Stella"&amp;IF('Stella'!$E$6:$E$300="",""," : "&amp;'Stella'!$E$6:$E$300)&amp;" ["&amp;'Stella'!$F$6:$F$300&amp;"]",""),IF('Igor'!$B$6:$B$300=$A94,"Igor"&amp;IF('Igor'!$E$6:$E$300="",""," : "&amp;'Igor'!$E$6:$E$300)&amp;" ["&amp;'Igor'!$F$6:$F$300&amp;"]","")))</f>
        <v/>
      </c>
    </row>
    <row r="95" ht="28" customHeight="1">
      <c r="A95" s="13" t="inlineStr">
        <is>
          <t>DM-031</t>
        </is>
      </c>
      <c r="B95" s="14" t="inlineStr">
        <is>
          <t>Etapa 2: Construção das métricas | Atividade 7: Operacionalização das métricas | Atividade 8: Aplicação das métricas</t>
        </is>
      </c>
      <c r="C95" s="14" t="inlineStr">
        <is>
          <t>3. Aplicação da DM</t>
        </is>
      </c>
      <c r="D95" s="14" t="inlineStr">
        <is>
          <t>Boaventura</t>
        </is>
      </c>
      <c r="E95" s="15" t="inlineStr">
        <is>
          <t>Compreender o histórico da unidade (Boaventura)</t>
        </is>
      </c>
      <c r="F95" s="13" t="inlineStr">
        <is>
          <t>Stephanie</t>
        </is>
      </c>
      <c r="G95" s="16">
        <f>IF($A95="","",_xlfn.TEXTJOIN("; ",TRUE,IF(COUNTIF('Clarice'!$B$6:$B$300,$A95)&gt;0,"Clarice",""),IF(COUNTIF('Luisa'!$B$6:$B$300,$A95)&gt;0,"Luisa",""),IF(COUNTIF('Lui'!$B$6:$B$300,$A95)&gt;0,"Lui",""),IF(COUNTIF('Thaís'!$B$6:$B$300,$A95)&gt;0,"Thaís",""),IF(COUNTIF('Daniel'!$B$6:$B$300,$A95)&gt;0,"Daniel",""),IF(COUNTIF('Fernando'!$B$6:$B$300,$A95)&gt;0,"Fernando",""),IF(COUNTIF('Stephanie'!$B$6:$B$300,$A95)&gt;0,"Stephanie",""),IF(COUNTIF('Fox'!$B$6:$B$300,$A95)&gt;0,"Fox",""),IF(COUNTIF('Bruna'!$B$6:$B$300,$A95)&gt;0,"Bruna",""),IF(COUNTIF('Stella'!$B$6:$B$300,$A95)&gt;0,"Stella",""),IF(COUNTIF('Igor'!$B$6:$B$300,$A95)&gt;0,"Igor","")))</f>
        <v/>
      </c>
      <c r="H95" s="13" t="n"/>
      <c r="I95" s="13" t="inlineStr">
        <is>
          <t>Concluído</t>
        </is>
      </c>
      <c r="J95" s="17">
        <f>IF(OR($A95="",(COUNTIF('Clarice'!$B$6:$B$300,$A95)+COUNTIF('Luisa'!$B$6:$B$300,$A95)+COUNTIF('Lui'!$B$6:$B$300,$A95)+COUNTIF('Thaís'!$B$6:$B$300,$A95)+COUNTIF('Daniel'!$B$6:$B$300,$A95)+COUNTIF('Fernando'!$B$6:$B$300,$A95)+COUNTIF('Stephanie'!$B$6:$B$300,$A95)+COUNTIF('Fox'!$B$6:$B$300,$A95)+COUNTIF('Bruna'!$B$6:$B$300,$A95)+COUNTIF('Stella'!$B$6:$B$300,$A95)+COUNTIF('Igor'!$B$6:$B$300,$A95))=0),"",(COUNTIFS('Clarice'!$B$6:$B$300,$A95,'Clarice'!$F$6:$F$300,"Concluído")+COUNTIFS('Luisa'!$B$6:$B$300,$A95,'Luisa'!$F$6:$F$300,"Concluído")+COUNTIFS('Lui'!$B$6:$B$300,$A95,'Lui'!$F$6:$F$300,"Concluído")+COUNTIFS('Thaís'!$B$6:$B$300,$A95,'Thaís'!$F$6:$F$300,"Concluído")+COUNTIFS('Daniel'!$B$6:$B$300,$A95,'Daniel'!$F$6:$F$300,"Concluído")+COUNTIFS('Fernando'!$B$6:$B$300,$A95,'Fernando'!$F$6:$F$300,"Concluído")+COUNTIFS('Stephanie'!$B$6:$B$300,$A95,'Stephanie'!$F$6:$F$300,"Concluído")+COUNTIFS('Fox'!$B$6:$B$300,$A95,'Fox'!$F$6:$F$300,"Concluído")+COUNTIFS('Bruna'!$B$6:$B$300,$A95,'Bruna'!$F$6:$F$300,"Concluído")+COUNTIFS('Stella'!$B$6:$B$300,$A95,'Stella'!$F$6:$F$300,"Concluído")+COUNTIFS('Igor'!$B$6:$B$300,$A95,'Igor'!$F$6:$F$300,"Concluído"))&amp;" / "&amp;(COUNTIF('Clarice'!$B$6:$B$300,$A95)+COUNTIF('Luisa'!$B$6:$B$300,$A95)+COUNTIF('Lui'!$B$6:$B$300,$A95)+COUNTIF('Thaís'!$B$6:$B$300,$A95)+COUNTIF('Daniel'!$B$6:$B$300,$A95)+COUNTIF('Fernando'!$B$6:$B$300,$A95)+COUNTIF('Stephanie'!$B$6:$B$300,$A95)+COUNTIF('Fox'!$B$6:$B$300,$A95)+COUNTIF('Bruna'!$B$6:$B$300,$A95)+COUNTIF('Stella'!$B$6:$B$300,$A95)+COUNTIF('Igor'!$B$6:$B$300,$A95)))</f>
        <v/>
      </c>
      <c r="K95" s="19" t="n"/>
      <c r="L95" s="19" t="n"/>
      <c r="M95" s="19" t="n"/>
      <c r="N95" s="19" t="n"/>
      <c r="O95" s="19" t="n"/>
      <c r="P95" s="20">
        <f>IF($A95="","",IF(M95&lt;&gt;"",M95,IF(K95&lt;&gt;"",K95,"")))</f>
        <v/>
      </c>
      <c r="Q95" s="20">
        <f>IF($A95="","",IF(N95&lt;&gt;"",N95,IF(L95&lt;&gt;"",L95,"")))</f>
        <v/>
      </c>
      <c r="R95" s="15" t="n"/>
      <c r="S95" s="16">
        <f t="array" ref="S95">IF($A95="","",_xlfn.TEXTJOIN(CHAR(10),TRUE,IF('Clarice'!$B$6:$B$300=$A95,"Clarice"&amp;IF('Clarice'!$E$6:$E$300="",""," : "&amp;'Clarice'!$E$6:$E$300)&amp;" ["&amp;'Clarice'!$F$6:$F$300&amp;"]",""),IF('Luisa'!$B$6:$B$300=$A95,"Luisa"&amp;IF('Luisa'!$E$6:$E$300="",""," : "&amp;'Luisa'!$E$6:$E$300)&amp;" ["&amp;'Luisa'!$F$6:$F$300&amp;"]",""),IF('Lui'!$B$6:$B$300=$A95,"Lui"&amp;IF('Lui'!$E$6:$E$300="",""," : "&amp;'Lui'!$E$6:$E$300)&amp;" ["&amp;'Lui'!$F$6:$F$300&amp;"]",""),IF('Thaís'!$B$6:$B$300=$A95,"Thaís"&amp;IF('Thaís'!$E$6:$E$300="",""," : "&amp;'Thaís'!$E$6:$E$300)&amp;" ["&amp;'Thaís'!$F$6:$F$300&amp;"]",""),IF('Daniel'!$B$6:$B$300=$A95,"Daniel"&amp;IF('Daniel'!$E$6:$E$300="",""," : "&amp;'Daniel'!$E$6:$E$300)&amp;" ["&amp;'Daniel'!$F$6:$F$300&amp;"]",""),IF('Fernando'!$B$6:$B$300=$A95,"Fernando"&amp;IF('Fernando'!$E$6:$E$300="",""," : "&amp;'Fernando'!$E$6:$E$300)&amp;" ["&amp;'Fernando'!$F$6:$F$300&amp;"]",""),IF('Stephanie'!$B$6:$B$300=$A95,"Stephanie"&amp;IF('Stephanie'!$E$6:$E$300="",""," : "&amp;'Stephanie'!$E$6:$E$300)&amp;" ["&amp;'Stephanie'!$F$6:$F$300&amp;"]",""),IF('Fox'!$B$6:$B$300=$A95,"Fox"&amp;IF('Fox'!$E$6:$E$300="",""," : "&amp;'Fox'!$E$6:$E$300)&amp;" ["&amp;'Fox'!$F$6:$F$300&amp;"]",""),IF('Bruna'!$B$6:$B$300=$A95,"Bruna"&amp;IF('Bruna'!$E$6:$E$300="",""," : "&amp;'Bruna'!$E$6:$E$300)&amp;" ["&amp;'Bruna'!$F$6:$F$300&amp;"]",""),IF('Stella'!$B$6:$B$300=$A95,"Stella"&amp;IF('Stella'!$E$6:$E$300="",""," : "&amp;'Stella'!$E$6:$E$300)&amp;" ["&amp;'Stella'!$F$6:$F$300&amp;"]",""),IF('Igor'!$B$6:$B$300=$A95,"Igor"&amp;IF('Igor'!$E$6:$E$300="",""," : "&amp;'Igor'!$E$6:$E$300)&amp;" ["&amp;'Igor'!$F$6:$F$300&amp;"]","")))</f>
        <v/>
      </c>
    </row>
    <row r="96" ht="28" customHeight="1">
      <c r="A96" s="13" t="inlineStr">
        <is>
          <t>DM-032</t>
        </is>
      </c>
      <c r="B96" s="14" t="inlineStr">
        <is>
          <t>Etapa 2: Construção das métricas | Atividade 7: Operacionalização das métricas | Atividade 8: Aplicação das métricas</t>
        </is>
      </c>
      <c r="C96" s="14" t="inlineStr">
        <is>
          <t>3. Aplicação da DM</t>
        </is>
      </c>
      <c r="D96" s="14" t="inlineStr">
        <is>
          <t>Boaventura</t>
        </is>
      </c>
      <c r="E96" s="15" t="inlineStr">
        <is>
          <t>Extração e espacialização dos pontos de coleta dos dados (Boaventura)</t>
        </is>
      </c>
      <c r="F96" s="13" t="inlineStr">
        <is>
          <t>Stephanie</t>
        </is>
      </c>
      <c r="G96" s="16">
        <f>IF($A96="","",_xlfn.TEXTJOIN("; ",TRUE,IF(COUNTIF('Clarice'!$B$6:$B$300,$A96)&gt;0,"Clarice",""),IF(COUNTIF('Luisa'!$B$6:$B$300,$A96)&gt;0,"Luisa",""),IF(COUNTIF('Lui'!$B$6:$B$300,$A96)&gt;0,"Lui",""),IF(COUNTIF('Thaís'!$B$6:$B$300,$A96)&gt;0,"Thaís",""),IF(COUNTIF('Daniel'!$B$6:$B$300,$A96)&gt;0,"Daniel",""),IF(COUNTIF('Fernando'!$B$6:$B$300,$A96)&gt;0,"Fernando",""),IF(COUNTIF('Stephanie'!$B$6:$B$300,$A96)&gt;0,"Stephanie",""),IF(COUNTIF('Fox'!$B$6:$B$300,$A96)&gt;0,"Fox",""),IF(COUNTIF('Bruna'!$B$6:$B$300,$A96)&gt;0,"Bruna",""),IF(COUNTIF('Stella'!$B$6:$B$300,$A96)&gt;0,"Stella",""),IF(COUNTIF('Igor'!$B$6:$B$300,$A96)&gt;0,"Igor","")))</f>
        <v/>
      </c>
      <c r="H96" s="13" t="n"/>
      <c r="I96" s="13" t="inlineStr">
        <is>
          <t>Concluído</t>
        </is>
      </c>
      <c r="J96" s="17">
        <f>IF(OR($A96="",(COUNTIF('Clarice'!$B$6:$B$300,$A96)+COUNTIF('Luisa'!$B$6:$B$300,$A96)+COUNTIF('Lui'!$B$6:$B$300,$A96)+COUNTIF('Thaís'!$B$6:$B$300,$A96)+COUNTIF('Daniel'!$B$6:$B$300,$A96)+COUNTIF('Fernando'!$B$6:$B$300,$A96)+COUNTIF('Stephanie'!$B$6:$B$300,$A96)+COUNTIF('Fox'!$B$6:$B$300,$A96)+COUNTIF('Bruna'!$B$6:$B$300,$A96)+COUNTIF('Stella'!$B$6:$B$300,$A96)+COUNTIF('Igor'!$B$6:$B$300,$A96))=0),"",(COUNTIFS('Clarice'!$B$6:$B$300,$A96,'Clarice'!$F$6:$F$300,"Concluído")+COUNTIFS('Luisa'!$B$6:$B$300,$A96,'Luisa'!$F$6:$F$300,"Concluído")+COUNTIFS('Lui'!$B$6:$B$300,$A96,'Lui'!$F$6:$F$300,"Concluído")+COUNTIFS('Thaís'!$B$6:$B$300,$A96,'Thaís'!$F$6:$F$300,"Concluído")+COUNTIFS('Daniel'!$B$6:$B$300,$A96,'Daniel'!$F$6:$F$300,"Concluído")+COUNTIFS('Fernando'!$B$6:$B$300,$A96,'Fernando'!$F$6:$F$300,"Concluído")+COUNTIFS('Stephanie'!$B$6:$B$300,$A96,'Stephanie'!$F$6:$F$300,"Concluído")+COUNTIFS('Fox'!$B$6:$B$300,$A96,'Fox'!$F$6:$F$300,"Concluído")+COUNTIFS('Bruna'!$B$6:$B$300,$A96,'Bruna'!$F$6:$F$300,"Concluído")+COUNTIFS('Stella'!$B$6:$B$300,$A96,'Stella'!$F$6:$F$300,"Concluído")+COUNTIFS('Igor'!$B$6:$B$300,$A96,'Igor'!$F$6:$F$300,"Concluído"))&amp;" / "&amp;(COUNTIF('Clarice'!$B$6:$B$300,$A96)+COUNTIF('Luisa'!$B$6:$B$300,$A96)+COUNTIF('Lui'!$B$6:$B$300,$A96)+COUNTIF('Thaís'!$B$6:$B$300,$A96)+COUNTIF('Daniel'!$B$6:$B$300,$A96)+COUNTIF('Fernando'!$B$6:$B$300,$A96)+COUNTIF('Stephanie'!$B$6:$B$300,$A96)+COUNTIF('Fox'!$B$6:$B$300,$A96)+COUNTIF('Bruna'!$B$6:$B$300,$A96)+COUNTIF('Stella'!$B$6:$B$300,$A96)+COUNTIF('Igor'!$B$6:$B$300,$A96)))</f>
        <v/>
      </c>
      <c r="K96" s="19" t="n"/>
      <c r="L96" s="19" t="n"/>
      <c r="M96" s="19" t="n"/>
      <c r="N96" s="19" t="n"/>
      <c r="O96" s="19" t="n"/>
      <c r="P96" s="20">
        <f>IF($A96="","",IF(M96&lt;&gt;"",M96,IF(K96&lt;&gt;"",K96,"")))</f>
        <v/>
      </c>
      <c r="Q96" s="20">
        <f>IF($A96="","",IF(N96&lt;&gt;"",N96,IF(L96&lt;&gt;"",L96,"")))</f>
        <v/>
      </c>
      <c r="R96" s="15" t="n"/>
      <c r="S96" s="16">
        <f t="array" ref="S96">IF($A96="","",_xlfn.TEXTJOIN(CHAR(10),TRUE,IF('Clarice'!$B$6:$B$300=$A96,"Clarice"&amp;IF('Clarice'!$E$6:$E$300="",""," : "&amp;'Clarice'!$E$6:$E$300)&amp;" ["&amp;'Clarice'!$F$6:$F$300&amp;"]",""),IF('Luisa'!$B$6:$B$300=$A96,"Luisa"&amp;IF('Luisa'!$E$6:$E$300="",""," : "&amp;'Luisa'!$E$6:$E$300)&amp;" ["&amp;'Luisa'!$F$6:$F$300&amp;"]",""),IF('Lui'!$B$6:$B$300=$A96,"Lui"&amp;IF('Lui'!$E$6:$E$300="",""," : "&amp;'Lui'!$E$6:$E$300)&amp;" ["&amp;'Lui'!$F$6:$F$300&amp;"]",""),IF('Thaís'!$B$6:$B$300=$A96,"Thaís"&amp;IF('Thaís'!$E$6:$E$300="",""," : "&amp;'Thaís'!$E$6:$E$300)&amp;" ["&amp;'Thaís'!$F$6:$F$300&amp;"]",""),IF('Daniel'!$B$6:$B$300=$A96,"Daniel"&amp;IF('Daniel'!$E$6:$E$300="",""," : "&amp;'Daniel'!$E$6:$E$300)&amp;" ["&amp;'Daniel'!$F$6:$F$300&amp;"]",""),IF('Fernando'!$B$6:$B$300=$A96,"Fernando"&amp;IF('Fernando'!$E$6:$E$300="",""," : "&amp;'Fernando'!$E$6:$E$300)&amp;" ["&amp;'Fernando'!$F$6:$F$300&amp;"]",""),IF('Stephanie'!$B$6:$B$300=$A96,"Stephanie"&amp;IF('Stephanie'!$E$6:$E$300="",""," : "&amp;'Stephanie'!$E$6:$E$300)&amp;" ["&amp;'Stephanie'!$F$6:$F$300&amp;"]",""),IF('Fox'!$B$6:$B$300=$A96,"Fox"&amp;IF('Fox'!$E$6:$E$300="",""," : "&amp;'Fox'!$E$6:$E$300)&amp;" ["&amp;'Fox'!$F$6:$F$300&amp;"]",""),IF('Bruna'!$B$6:$B$300=$A96,"Bruna"&amp;IF('Bruna'!$E$6:$E$300="",""," : "&amp;'Bruna'!$E$6:$E$300)&amp;" ["&amp;'Bruna'!$F$6:$F$300&amp;"]",""),IF('Stella'!$B$6:$B$300=$A96,"Stella"&amp;IF('Stella'!$E$6:$E$300="",""," : "&amp;'Stella'!$E$6:$E$300)&amp;" ["&amp;'Stella'!$F$6:$F$300&amp;"]",""),IF('Igor'!$B$6:$B$300=$A96,"Igor"&amp;IF('Igor'!$E$6:$E$300="",""," : "&amp;'Igor'!$E$6:$E$300)&amp;" ["&amp;'Igor'!$F$6:$F$300&amp;"]","")))</f>
        <v/>
      </c>
    </row>
    <row r="97" ht="40.5" customHeight="1">
      <c r="A97" s="13" t="inlineStr">
        <is>
          <t>DM-033</t>
        </is>
      </c>
      <c r="B97" s="14" t="inlineStr">
        <is>
          <t>Etapa 2: Construção das métricas | Atividade 7: Operacionalização das métricas | Atividade 8: Aplicação das métricas</t>
        </is>
      </c>
      <c r="C97" s="14" t="inlineStr">
        <is>
          <t>3. Aplicação da DM</t>
        </is>
      </c>
      <c r="D97" s="14" t="inlineStr">
        <is>
          <t>Boaventura</t>
        </is>
      </c>
      <c r="E97" s="15" t="inlineStr">
        <is>
          <t>Solicitar dados faltantes para Petrobras (Boaventura)</t>
        </is>
      </c>
      <c r="F97" s="13" t="inlineStr">
        <is>
          <t>Stephanie</t>
        </is>
      </c>
      <c r="G97" s="16">
        <f>IF($A97="","",_xlfn.TEXTJOIN("; ",TRUE,IF(COUNTIF('Clarice'!$B$6:$B$300,$A97)&gt;0,"Clarice",""),IF(COUNTIF('Luisa'!$B$6:$B$300,$A97)&gt;0,"Luisa",""),IF(COUNTIF('Lui'!$B$6:$B$300,$A97)&gt;0,"Lui",""),IF(COUNTIF('Thaís'!$B$6:$B$300,$A97)&gt;0,"Thaís",""),IF(COUNTIF('Daniel'!$B$6:$B$300,$A97)&gt;0,"Daniel",""),IF(COUNTIF('Fernando'!$B$6:$B$300,$A97)&gt;0,"Fernando",""),IF(COUNTIF('Stephanie'!$B$6:$B$300,$A97)&gt;0,"Stephanie",""),IF(COUNTIF('Fox'!$B$6:$B$300,$A97)&gt;0,"Fox",""),IF(COUNTIF('Bruna'!$B$6:$B$300,$A97)&gt;0,"Bruna",""),IF(COUNTIF('Stella'!$B$6:$B$300,$A97)&gt;0,"Stella",""),IF(COUNTIF('Igor'!$B$6:$B$300,$A97)&gt;0,"Igor","")))</f>
        <v/>
      </c>
      <c r="H97" s="13" t="n"/>
      <c r="I97" s="13" t="inlineStr">
        <is>
          <t>Concluído</t>
        </is>
      </c>
      <c r="J97" s="17">
        <f>IF(OR($A97="",(COUNTIF('Clarice'!$B$6:$B$300,$A97)+COUNTIF('Luisa'!$B$6:$B$300,$A97)+COUNTIF('Lui'!$B$6:$B$300,$A97)+COUNTIF('Thaís'!$B$6:$B$300,$A97)+COUNTIF('Daniel'!$B$6:$B$300,$A97)+COUNTIF('Fernando'!$B$6:$B$300,$A97)+COUNTIF('Stephanie'!$B$6:$B$300,$A97)+COUNTIF('Fox'!$B$6:$B$300,$A97)+COUNTIF('Bruna'!$B$6:$B$300,$A97)+COUNTIF('Stella'!$B$6:$B$300,$A97)+COUNTIF('Igor'!$B$6:$B$300,$A97))=0),"",(COUNTIFS('Clarice'!$B$6:$B$300,$A97,'Clarice'!$F$6:$F$300,"Concluído")+COUNTIFS('Luisa'!$B$6:$B$300,$A97,'Luisa'!$F$6:$F$300,"Concluído")+COUNTIFS('Lui'!$B$6:$B$300,$A97,'Lui'!$F$6:$F$300,"Concluído")+COUNTIFS('Thaís'!$B$6:$B$300,$A97,'Thaís'!$F$6:$F$300,"Concluído")+COUNTIFS('Daniel'!$B$6:$B$300,$A97,'Daniel'!$F$6:$F$300,"Concluído")+COUNTIFS('Fernando'!$B$6:$B$300,$A97,'Fernando'!$F$6:$F$300,"Concluído")+COUNTIFS('Stephanie'!$B$6:$B$300,$A97,'Stephanie'!$F$6:$F$300,"Concluído")+COUNTIFS('Fox'!$B$6:$B$300,$A97,'Fox'!$F$6:$F$300,"Concluído")+COUNTIFS('Bruna'!$B$6:$B$300,$A97,'Bruna'!$F$6:$F$300,"Concluído")+COUNTIFS('Stella'!$B$6:$B$300,$A97,'Stella'!$F$6:$F$300,"Concluído")+COUNTIFS('Igor'!$B$6:$B$300,$A97,'Igor'!$F$6:$F$300,"Concluído"))&amp;" / "&amp;(COUNTIF('Clarice'!$B$6:$B$300,$A97)+COUNTIF('Luisa'!$B$6:$B$300,$A97)+COUNTIF('Lui'!$B$6:$B$300,$A97)+COUNTIF('Thaís'!$B$6:$B$300,$A97)+COUNTIF('Daniel'!$B$6:$B$300,$A97)+COUNTIF('Fernando'!$B$6:$B$300,$A97)+COUNTIF('Stephanie'!$B$6:$B$300,$A97)+COUNTIF('Fox'!$B$6:$B$300,$A97)+COUNTIF('Bruna'!$B$6:$B$300,$A97)+COUNTIF('Stella'!$B$6:$B$300,$A97)+COUNTIF('Igor'!$B$6:$B$300,$A97)))</f>
        <v/>
      </c>
      <c r="K97" s="19" t="n"/>
      <c r="L97" s="19" t="n"/>
      <c r="M97" s="18" t="n">
        <v>46104</v>
      </c>
      <c r="N97" s="18" t="n">
        <v>46157</v>
      </c>
      <c r="O97" s="19" t="n"/>
      <c r="P97" s="20">
        <f>IF($A97="","",IF(M97&lt;&gt;"",M97,IF(K97&lt;&gt;"",K97,"")))</f>
        <v/>
      </c>
      <c r="Q97" s="20">
        <f>IF($A97="","",IF(N97&lt;&gt;"",N97,IF(L97&lt;&gt;"",L97,"")))</f>
        <v/>
      </c>
      <c r="R97" s="15" t="n"/>
      <c r="S97" s="16">
        <f t="array" ref="S97">IF($A97="","",_xlfn.TEXTJOIN(CHAR(10),TRUE,IF('Clarice'!$B$6:$B$300=$A97,"Clarice"&amp;IF('Clarice'!$E$6:$E$300="",""," : "&amp;'Clarice'!$E$6:$E$300)&amp;" ["&amp;'Clarice'!$F$6:$F$300&amp;"]",""),IF('Luisa'!$B$6:$B$300=$A97,"Luisa"&amp;IF('Luisa'!$E$6:$E$300="",""," : "&amp;'Luisa'!$E$6:$E$300)&amp;" ["&amp;'Luisa'!$F$6:$F$300&amp;"]",""),IF('Lui'!$B$6:$B$300=$A97,"Lui"&amp;IF('Lui'!$E$6:$E$300="",""," : "&amp;'Lui'!$E$6:$E$300)&amp;" ["&amp;'Lui'!$F$6:$F$300&amp;"]",""),IF('Thaís'!$B$6:$B$300=$A97,"Thaís"&amp;IF('Thaís'!$E$6:$E$300="",""," : "&amp;'Thaís'!$E$6:$E$300)&amp;" ["&amp;'Thaís'!$F$6:$F$300&amp;"]",""),IF('Daniel'!$B$6:$B$300=$A97,"Daniel"&amp;IF('Daniel'!$E$6:$E$300="",""," : "&amp;'Daniel'!$E$6:$E$300)&amp;" ["&amp;'Daniel'!$F$6:$F$300&amp;"]",""),IF('Fernando'!$B$6:$B$300=$A97,"Fernando"&amp;IF('Fernando'!$E$6:$E$300="",""," : "&amp;'Fernando'!$E$6:$E$300)&amp;" ["&amp;'Fernando'!$F$6:$F$300&amp;"]",""),IF('Stephanie'!$B$6:$B$300=$A97,"Stephanie"&amp;IF('Stephanie'!$E$6:$E$300="",""," : "&amp;'Stephanie'!$E$6:$E$300)&amp;" ["&amp;'Stephanie'!$F$6:$F$300&amp;"]",""),IF('Fox'!$B$6:$B$300=$A97,"Fox"&amp;IF('Fox'!$E$6:$E$300="",""," : "&amp;'Fox'!$E$6:$E$300)&amp;" ["&amp;'Fox'!$F$6:$F$300&amp;"]",""),IF('Bruna'!$B$6:$B$300=$A97,"Bruna"&amp;IF('Bruna'!$E$6:$E$300="",""," : "&amp;'Bruna'!$E$6:$E$300)&amp;" ["&amp;'Bruna'!$F$6:$F$300&amp;"]",""),IF('Stella'!$B$6:$B$300=$A97,"Stella"&amp;IF('Stella'!$E$6:$E$300="",""," : "&amp;'Stella'!$E$6:$E$300)&amp;" ["&amp;'Stella'!$F$6:$F$300&amp;"]",""),IF('Igor'!$B$6:$B$300=$A97,"Igor"&amp;IF('Igor'!$E$6:$E$300="",""," : "&amp;'Igor'!$E$6:$E$300)&amp;" ["&amp;'Igor'!$F$6:$F$300&amp;"]","")))</f>
        <v/>
      </c>
    </row>
    <row r="98" ht="15.5" customHeight="1">
      <c r="A98" s="13" t="inlineStr">
        <is>
          <t>DM-034</t>
        </is>
      </c>
      <c r="B98" s="14" t="inlineStr">
        <is>
          <t>Etapa 2: Construção das métricas | Atividade 7: Operacionalização das métricas | Atividade 8: Aplicação das métricas</t>
        </is>
      </c>
      <c r="C98" s="14" t="inlineStr">
        <is>
          <t>3. Aplicação da DM</t>
        </is>
      </c>
      <c r="D98" s="14" t="inlineStr">
        <is>
          <t>Boaventura</t>
        </is>
      </c>
      <c r="E98" s="15" t="inlineStr">
        <is>
          <t>Obter os dados faltantes (Boaventura)</t>
        </is>
      </c>
      <c r="F98" s="13" t="inlineStr">
        <is>
          <t>Stephanie</t>
        </is>
      </c>
      <c r="G98" s="16">
        <f>IF($A98="","",_xlfn.TEXTJOIN("; ",TRUE,IF(COUNTIF('Clarice'!$B$6:$B$300,$A98)&gt;0,"Clarice",""),IF(COUNTIF('Luisa'!$B$6:$B$300,$A98)&gt;0,"Luisa",""),IF(COUNTIF('Lui'!$B$6:$B$300,$A98)&gt;0,"Lui",""),IF(COUNTIF('Thaís'!$B$6:$B$300,$A98)&gt;0,"Thaís",""),IF(COUNTIF('Daniel'!$B$6:$B$300,$A98)&gt;0,"Daniel",""),IF(COUNTIF('Fernando'!$B$6:$B$300,$A98)&gt;0,"Fernando",""),IF(COUNTIF('Stephanie'!$B$6:$B$300,$A98)&gt;0,"Stephanie",""),IF(COUNTIF('Fox'!$B$6:$B$300,$A98)&gt;0,"Fox",""),IF(COUNTIF('Bruna'!$B$6:$B$300,$A98)&gt;0,"Bruna",""),IF(COUNTIF('Stella'!$B$6:$B$300,$A98)&gt;0,"Stella",""),IF(COUNTIF('Igor'!$B$6:$B$300,$A98)&gt;0,"Igor","")))</f>
        <v/>
      </c>
      <c r="H98" s="13" t="inlineStr">
        <is>
          <t>Petrobras</t>
        </is>
      </c>
      <c r="I98" s="13" t="inlineStr">
        <is>
          <t>Concluído</t>
        </is>
      </c>
      <c r="J98" s="17">
        <f>IF(OR($A98="",(COUNTIF('Clarice'!$B$6:$B$300,$A98)+COUNTIF('Luisa'!$B$6:$B$300,$A98)+COUNTIF('Lui'!$B$6:$B$300,$A98)+COUNTIF('Thaís'!$B$6:$B$300,$A98)+COUNTIF('Daniel'!$B$6:$B$300,$A98)+COUNTIF('Fernando'!$B$6:$B$300,$A98)+COUNTIF('Stephanie'!$B$6:$B$300,$A98)+COUNTIF('Fox'!$B$6:$B$300,$A98)+COUNTIF('Bruna'!$B$6:$B$300,$A98)+COUNTIF('Stella'!$B$6:$B$300,$A98)+COUNTIF('Igor'!$B$6:$B$300,$A98))=0),"",(COUNTIFS('Clarice'!$B$6:$B$300,$A98,'Clarice'!$F$6:$F$300,"Concluído")+COUNTIFS('Luisa'!$B$6:$B$300,$A98,'Luisa'!$F$6:$F$300,"Concluído")+COUNTIFS('Lui'!$B$6:$B$300,$A98,'Lui'!$F$6:$F$300,"Concluído")+COUNTIFS('Thaís'!$B$6:$B$300,$A98,'Thaís'!$F$6:$F$300,"Concluído")+COUNTIFS('Daniel'!$B$6:$B$300,$A98,'Daniel'!$F$6:$F$300,"Concluído")+COUNTIFS('Fernando'!$B$6:$B$300,$A98,'Fernando'!$F$6:$F$300,"Concluído")+COUNTIFS('Stephanie'!$B$6:$B$300,$A98,'Stephanie'!$F$6:$F$300,"Concluído")+COUNTIFS('Fox'!$B$6:$B$300,$A98,'Fox'!$F$6:$F$300,"Concluído")+COUNTIFS('Bruna'!$B$6:$B$300,$A98,'Bruna'!$F$6:$F$300,"Concluído")+COUNTIFS('Stella'!$B$6:$B$300,$A98,'Stella'!$F$6:$F$300,"Concluído")+COUNTIFS('Igor'!$B$6:$B$300,$A98,'Igor'!$F$6:$F$300,"Concluído"))&amp;" / "&amp;(COUNTIF('Clarice'!$B$6:$B$300,$A98)+COUNTIF('Luisa'!$B$6:$B$300,$A98)+COUNTIF('Lui'!$B$6:$B$300,$A98)+COUNTIF('Thaís'!$B$6:$B$300,$A98)+COUNTIF('Daniel'!$B$6:$B$300,$A98)+COUNTIF('Fernando'!$B$6:$B$300,$A98)+COUNTIF('Stephanie'!$B$6:$B$300,$A98)+COUNTIF('Fox'!$B$6:$B$300,$A98)+COUNTIF('Bruna'!$B$6:$B$300,$A98)+COUNTIF('Stella'!$B$6:$B$300,$A98)+COUNTIF('Igor'!$B$6:$B$300,$A98)))</f>
        <v/>
      </c>
      <c r="K98" s="19" t="n"/>
      <c r="L98" s="19" t="n"/>
      <c r="M98" s="18" t="n">
        <v>46111</v>
      </c>
      <c r="N98" s="18" t="n">
        <v>46164</v>
      </c>
      <c r="O98" s="19" t="n"/>
      <c r="P98" s="20">
        <f>IF($A98="","",IF(M98&lt;&gt;"",M98,IF(K98&lt;&gt;"",K98,"")))</f>
        <v/>
      </c>
      <c r="Q98" s="20">
        <f>IF($A98="","",IF(N98&lt;&gt;"",N98,IF(L98&lt;&gt;"",L98,"")))</f>
        <v/>
      </c>
      <c r="R98" s="15" t="n"/>
      <c r="S98" s="16">
        <f t="array" ref="S98">IF($A98="","",_xlfn.TEXTJOIN(CHAR(10),TRUE,IF('Clarice'!$B$6:$B$300=$A98,"Clarice"&amp;IF('Clarice'!$E$6:$E$300="",""," : "&amp;'Clarice'!$E$6:$E$300)&amp;" ["&amp;'Clarice'!$F$6:$F$300&amp;"]",""),IF('Luisa'!$B$6:$B$300=$A98,"Luisa"&amp;IF('Luisa'!$E$6:$E$300="",""," : "&amp;'Luisa'!$E$6:$E$300)&amp;" ["&amp;'Luisa'!$F$6:$F$300&amp;"]",""),IF('Lui'!$B$6:$B$300=$A98,"Lui"&amp;IF('Lui'!$E$6:$E$300="",""," : "&amp;'Lui'!$E$6:$E$300)&amp;" ["&amp;'Lui'!$F$6:$F$300&amp;"]",""),IF('Thaís'!$B$6:$B$300=$A98,"Thaís"&amp;IF('Thaís'!$E$6:$E$300="",""," : "&amp;'Thaís'!$E$6:$E$300)&amp;" ["&amp;'Thaís'!$F$6:$F$300&amp;"]",""),IF('Daniel'!$B$6:$B$300=$A98,"Daniel"&amp;IF('Daniel'!$E$6:$E$300="",""," : "&amp;'Daniel'!$E$6:$E$300)&amp;" ["&amp;'Daniel'!$F$6:$F$300&amp;"]",""),IF('Fernando'!$B$6:$B$300=$A98,"Fernando"&amp;IF('Fernando'!$E$6:$E$300="",""," : "&amp;'Fernando'!$E$6:$E$300)&amp;" ["&amp;'Fernando'!$F$6:$F$300&amp;"]",""),IF('Stephanie'!$B$6:$B$300=$A98,"Stephanie"&amp;IF('Stephanie'!$E$6:$E$300="",""," : "&amp;'Stephanie'!$E$6:$E$300)&amp;" ["&amp;'Stephanie'!$F$6:$F$300&amp;"]",""),IF('Fox'!$B$6:$B$300=$A98,"Fox"&amp;IF('Fox'!$E$6:$E$300="",""," : "&amp;'Fox'!$E$6:$E$300)&amp;" ["&amp;'Fox'!$F$6:$F$300&amp;"]",""),IF('Bruna'!$B$6:$B$300=$A98,"Bruna"&amp;IF('Bruna'!$E$6:$E$300="",""," : "&amp;'Bruna'!$E$6:$E$300)&amp;" ["&amp;'Bruna'!$F$6:$F$300&amp;"]",""),IF('Stella'!$B$6:$B$300=$A98,"Stella"&amp;IF('Stella'!$E$6:$E$300="",""," : "&amp;'Stella'!$E$6:$E$300)&amp;" ["&amp;'Stella'!$F$6:$F$300&amp;"]",""),IF('Igor'!$B$6:$B$300=$A98,"Igor"&amp;IF('Igor'!$E$6:$E$300="",""," : "&amp;'Igor'!$E$6:$E$300)&amp;" ["&amp;'Igor'!$F$6:$F$300&amp;"]","")))</f>
        <v/>
      </c>
    </row>
    <row r="99" ht="40.5" customHeight="1">
      <c r="A99" s="13" t="inlineStr">
        <is>
          <t>DM-035</t>
        </is>
      </c>
      <c r="B99" s="14" t="inlineStr">
        <is>
          <t>Etapa 2: Construção das métricas | Atividade 7: Operacionalização das métricas | Atividade 8: Aplicação das métricas</t>
        </is>
      </c>
      <c r="C99" s="14" t="inlineStr">
        <is>
          <t>3. Aplicação da DM</t>
        </is>
      </c>
      <c r="D99" s="14" t="inlineStr">
        <is>
          <t>Boaventura</t>
        </is>
      </c>
      <c r="E99" s="15" t="inlineStr">
        <is>
          <t>Sistematizar os novos dados (Boaventura)</t>
        </is>
      </c>
      <c r="F99" s="13" t="inlineStr">
        <is>
          <t>Stephanie</t>
        </is>
      </c>
      <c r="G99" s="16">
        <f>IF($A99="","",_xlfn.TEXTJOIN("; ",TRUE,IF(COUNTIF('Clarice'!$B$6:$B$300,$A99)&gt;0,"Clarice",""),IF(COUNTIF('Luisa'!$B$6:$B$300,$A99)&gt;0,"Luisa",""),IF(COUNTIF('Lui'!$B$6:$B$300,$A99)&gt;0,"Lui",""),IF(COUNTIF('Thaís'!$B$6:$B$300,$A99)&gt;0,"Thaís",""),IF(COUNTIF('Daniel'!$B$6:$B$300,$A99)&gt;0,"Daniel",""),IF(COUNTIF('Fernando'!$B$6:$B$300,$A99)&gt;0,"Fernando",""),IF(COUNTIF('Stephanie'!$B$6:$B$300,$A99)&gt;0,"Stephanie",""),IF(COUNTIF('Fox'!$B$6:$B$300,$A99)&gt;0,"Fox",""),IF(COUNTIF('Bruna'!$B$6:$B$300,$A99)&gt;0,"Bruna",""),IF(COUNTIF('Stella'!$B$6:$B$300,$A99)&gt;0,"Stella",""),IF(COUNTIF('Igor'!$B$6:$B$300,$A99)&gt;0,"Igor","")))</f>
        <v/>
      </c>
      <c r="H99" s="13" t="n"/>
      <c r="I99" s="13" t="inlineStr">
        <is>
          <t>Concluído</t>
        </is>
      </c>
      <c r="J99" s="17">
        <f>IF(OR($A99="",(COUNTIF('Clarice'!$B$6:$B$300,$A99)+COUNTIF('Luisa'!$B$6:$B$300,$A99)+COUNTIF('Lui'!$B$6:$B$300,$A99)+COUNTIF('Thaís'!$B$6:$B$300,$A99)+COUNTIF('Daniel'!$B$6:$B$300,$A99)+COUNTIF('Fernando'!$B$6:$B$300,$A99)+COUNTIF('Stephanie'!$B$6:$B$300,$A99)+COUNTIF('Fox'!$B$6:$B$300,$A99)+COUNTIF('Bruna'!$B$6:$B$300,$A99)+COUNTIF('Stella'!$B$6:$B$300,$A99)+COUNTIF('Igor'!$B$6:$B$300,$A99))=0),"",(COUNTIFS('Clarice'!$B$6:$B$300,$A99,'Clarice'!$F$6:$F$300,"Concluído")+COUNTIFS('Luisa'!$B$6:$B$300,$A99,'Luisa'!$F$6:$F$300,"Concluído")+COUNTIFS('Lui'!$B$6:$B$300,$A99,'Lui'!$F$6:$F$300,"Concluído")+COUNTIFS('Thaís'!$B$6:$B$300,$A99,'Thaís'!$F$6:$F$300,"Concluído")+COUNTIFS('Daniel'!$B$6:$B$300,$A99,'Daniel'!$F$6:$F$300,"Concluído")+COUNTIFS('Fernando'!$B$6:$B$300,$A99,'Fernando'!$F$6:$F$300,"Concluído")+COUNTIFS('Stephanie'!$B$6:$B$300,$A99,'Stephanie'!$F$6:$F$300,"Concluído")+COUNTIFS('Fox'!$B$6:$B$300,$A99,'Fox'!$F$6:$F$300,"Concluído")+COUNTIFS('Bruna'!$B$6:$B$300,$A99,'Bruna'!$F$6:$F$300,"Concluído")+COUNTIFS('Stella'!$B$6:$B$300,$A99,'Stella'!$F$6:$F$300,"Concluído")+COUNTIFS('Igor'!$B$6:$B$300,$A99,'Igor'!$F$6:$F$300,"Concluído"))&amp;" / "&amp;(COUNTIF('Clarice'!$B$6:$B$300,$A99)+COUNTIF('Luisa'!$B$6:$B$300,$A99)+COUNTIF('Lui'!$B$6:$B$300,$A99)+COUNTIF('Thaís'!$B$6:$B$300,$A99)+COUNTIF('Daniel'!$B$6:$B$300,$A99)+COUNTIF('Fernando'!$B$6:$B$300,$A99)+COUNTIF('Stephanie'!$B$6:$B$300,$A99)+COUNTIF('Fox'!$B$6:$B$300,$A99)+COUNTIF('Bruna'!$B$6:$B$300,$A99)+COUNTIF('Stella'!$B$6:$B$300,$A99)+COUNTIF('Igor'!$B$6:$B$300,$A99)))</f>
        <v/>
      </c>
      <c r="K99" s="18" t="n">
        <v>46104</v>
      </c>
      <c r="L99" s="18" t="n">
        <v>46114</v>
      </c>
      <c r="M99" s="18" t="n">
        <v>46104</v>
      </c>
      <c r="N99" s="18" t="n">
        <v>46185</v>
      </c>
      <c r="O99" s="19" t="n"/>
      <c r="P99" s="20">
        <f>IF($A99="","",IF(M99&lt;&gt;"",M99,IF(K99&lt;&gt;"",K99,"")))</f>
        <v/>
      </c>
      <c r="Q99" s="20">
        <f>IF($A99="","",IF(N99&lt;&gt;"",N99,IF(L99&lt;&gt;"",L99,"")))</f>
        <v/>
      </c>
      <c r="R99" s="15" t="n"/>
      <c r="S99" s="16">
        <f t="array" ref="S99">IF($A99="","",_xlfn.TEXTJOIN(CHAR(10),TRUE,IF('Clarice'!$B$6:$B$300=$A99,"Clarice"&amp;IF('Clarice'!$E$6:$E$300="",""," : "&amp;'Clarice'!$E$6:$E$300)&amp;" ["&amp;'Clarice'!$F$6:$F$300&amp;"]",""),IF('Luisa'!$B$6:$B$300=$A99,"Luisa"&amp;IF('Luisa'!$E$6:$E$300="",""," : "&amp;'Luisa'!$E$6:$E$300)&amp;" ["&amp;'Luisa'!$F$6:$F$300&amp;"]",""),IF('Lui'!$B$6:$B$300=$A99,"Lui"&amp;IF('Lui'!$E$6:$E$300="",""," : "&amp;'Lui'!$E$6:$E$300)&amp;" ["&amp;'Lui'!$F$6:$F$300&amp;"]",""),IF('Thaís'!$B$6:$B$300=$A99,"Thaís"&amp;IF('Thaís'!$E$6:$E$300="",""," : "&amp;'Thaís'!$E$6:$E$300)&amp;" ["&amp;'Thaís'!$F$6:$F$300&amp;"]",""),IF('Daniel'!$B$6:$B$300=$A99,"Daniel"&amp;IF('Daniel'!$E$6:$E$300="",""," : "&amp;'Daniel'!$E$6:$E$300)&amp;" ["&amp;'Daniel'!$F$6:$F$300&amp;"]",""),IF('Fernando'!$B$6:$B$300=$A99,"Fernando"&amp;IF('Fernando'!$E$6:$E$300="",""," : "&amp;'Fernando'!$E$6:$E$300)&amp;" ["&amp;'Fernando'!$F$6:$F$300&amp;"]",""),IF('Stephanie'!$B$6:$B$300=$A99,"Stephanie"&amp;IF('Stephanie'!$E$6:$E$300="",""," : "&amp;'Stephanie'!$E$6:$E$300)&amp;" ["&amp;'Stephanie'!$F$6:$F$300&amp;"]",""),IF('Fox'!$B$6:$B$300=$A99,"Fox"&amp;IF('Fox'!$E$6:$E$300="",""," : "&amp;'Fox'!$E$6:$E$300)&amp;" ["&amp;'Fox'!$F$6:$F$300&amp;"]",""),IF('Bruna'!$B$6:$B$300=$A99,"Bruna"&amp;IF('Bruna'!$E$6:$E$300="",""," : "&amp;'Bruna'!$E$6:$E$300)&amp;" ["&amp;'Bruna'!$F$6:$F$300&amp;"]",""),IF('Stella'!$B$6:$B$300=$A99,"Stella"&amp;IF('Stella'!$E$6:$E$300="",""," : "&amp;'Stella'!$E$6:$E$300)&amp;" ["&amp;'Stella'!$F$6:$F$300&amp;"]",""),IF('Igor'!$B$6:$B$300=$A99,"Igor"&amp;IF('Igor'!$E$6:$E$300="",""," : "&amp;'Igor'!$E$6:$E$300)&amp;" ["&amp;'Igor'!$F$6:$F$300&amp;"]","")))</f>
        <v/>
      </c>
    </row>
    <row r="100" ht="40.5" customHeight="1">
      <c r="A100" s="13" t="inlineStr">
        <is>
          <t>DM-036</t>
        </is>
      </c>
      <c r="B100" s="14" t="inlineStr">
        <is>
          <t>Etapa 2: Construção das métricas | Atividade 7: Operacionalização das métricas | Atividade 8: Aplicação das métricas</t>
        </is>
      </c>
      <c r="C100" s="14" t="inlineStr">
        <is>
          <t>3. Aplicação da DM</t>
        </is>
      </c>
      <c r="D100" s="14" t="inlineStr">
        <is>
          <t>Boaventura</t>
        </is>
      </c>
      <c r="E100" s="15" t="inlineStr">
        <is>
          <t>Corrigir a avaliação taxonômica - cf aff e sp. (Boaventura)</t>
        </is>
      </c>
      <c r="F100" s="13" t="inlineStr">
        <is>
          <t>Stephanie</t>
        </is>
      </c>
      <c r="G100" s="16">
        <f>IF($A100="","",_xlfn.TEXTJOIN("; ",TRUE,IF(COUNTIF('Clarice'!$B$6:$B$300,$A100)&gt;0,"Clarice",""),IF(COUNTIF('Luisa'!$B$6:$B$300,$A100)&gt;0,"Luisa",""),IF(COUNTIF('Lui'!$B$6:$B$300,$A100)&gt;0,"Lui",""),IF(COUNTIF('Thaís'!$B$6:$B$300,$A100)&gt;0,"Thaís",""),IF(COUNTIF('Daniel'!$B$6:$B$300,$A100)&gt;0,"Daniel",""),IF(COUNTIF('Fernando'!$B$6:$B$300,$A100)&gt;0,"Fernando",""),IF(COUNTIF('Stephanie'!$B$6:$B$300,$A100)&gt;0,"Stephanie",""),IF(COUNTIF('Fox'!$B$6:$B$300,$A100)&gt;0,"Fox",""),IF(COUNTIF('Bruna'!$B$6:$B$300,$A100)&gt;0,"Bruna",""),IF(COUNTIF('Stella'!$B$6:$B$300,$A100)&gt;0,"Stella",""),IF(COUNTIF('Igor'!$B$6:$B$300,$A100)&gt;0,"Igor","")))</f>
        <v/>
      </c>
      <c r="H100" s="13" t="n"/>
      <c r="I100" s="13" t="inlineStr">
        <is>
          <t>Concluído</t>
        </is>
      </c>
      <c r="J100" s="17">
        <f>IF(OR($A100="",(COUNTIF('Clarice'!$B$6:$B$300,$A100)+COUNTIF('Luisa'!$B$6:$B$300,$A100)+COUNTIF('Lui'!$B$6:$B$300,$A100)+COUNTIF('Thaís'!$B$6:$B$300,$A100)+COUNTIF('Daniel'!$B$6:$B$300,$A100)+COUNTIF('Fernando'!$B$6:$B$300,$A100)+COUNTIF('Stephanie'!$B$6:$B$300,$A100)+COUNTIF('Fox'!$B$6:$B$300,$A100)+COUNTIF('Bruna'!$B$6:$B$300,$A100)+COUNTIF('Stella'!$B$6:$B$300,$A100)+COUNTIF('Igor'!$B$6:$B$300,$A100))=0),"",(COUNTIFS('Clarice'!$B$6:$B$300,$A100,'Clarice'!$F$6:$F$300,"Concluído")+COUNTIFS('Luisa'!$B$6:$B$300,$A100,'Luisa'!$F$6:$F$300,"Concluído")+COUNTIFS('Lui'!$B$6:$B$300,$A100,'Lui'!$F$6:$F$300,"Concluído")+COUNTIFS('Thaís'!$B$6:$B$300,$A100,'Thaís'!$F$6:$F$300,"Concluído")+COUNTIFS('Daniel'!$B$6:$B$300,$A100,'Daniel'!$F$6:$F$300,"Concluído")+COUNTIFS('Fernando'!$B$6:$B$300,$A100,'Fernando'!$F$6:$F$300,"Concluído")+COUNTIFS('Stephanie'!$B$6:$B$300,$A100,'Stephanie'!$F$6:$F$300,"Concluído")+COUNTIFS('Fox'!$B$6:$B$300,$A100,'Fox'!$F$6:$F$300,"Concluído")+COUNTIFS('Bruna'!$B$6:$B$300,$A100,'Bruna'!$F$6:$F$300,"Concluído")+COUNTIFS('Stella'!$B$6:$B$300,$A100,'Stella'!$F$6:$F$300,"Concluído")+COUNTIFS('Igor'!$B$6:$B$300,$A100,'Igor'!$F$6:$F$300,"Concluído"))&amp;" / "&amp;(COUNTIF('Clarice'!$B$6:$B$300,$A100)+COUNTIF('Luisa'!$B$6:$B$300,$A100)+COUNTIF('Lui'!$B$6:$B$300,$A100)+COUNTIF('Thaís'!$B$6:$B$300,$A100)+COUNTIF('Daniel'!$B$6:$B$300,$A100)+COUNTIF('Fernando'!$B$6:$B$300,$A100)+COUNTIF('Stephanie'!$B$6:$B$300,$A100)+COUNTIF('Fox'!$B$6:$B$300,$A100)+COUNTIF('Bruna'!$B$6:$B$300,$A100)+COUNTIF('Stella'!$B$6:$B$300,$A100)+COUNTIF('Igor'!$B$6:$B$300,$A100)))</f>
        <v/>
      </c>
      <c r="K100" s="18" t="n">
        <v>46113</v>
      </c>
      <c r="L100" s="18" t="n">
        <v>46122</v>
      </c>
      <c r="M100" s="18" t="n">
        <v>46113</v>
      </c>
      <c r="N100" s="18" t="n">
        <v>46199</v>
      </c>
      <c r="O100" s="19" t="n"/>
      <c r="P100" s="20">
        <f>IF($A100="","",IF(M100&lt;&gt;"",M100,IF(K100&lt;&gt;"",K100,"")))</f>
        <v/>
      </c>
      <c r="Q100" s="20">
        <f>IF($A100="","",IF(N100&lt;&gt;"",N100,IF(L100&lt;&gt;"",L100,"")))</f>
        <v/>
      </c>
      <c r="R100" s="15" t="inlineStr">
        <is>
          <t>Aqui inclui também limpar dados não consistentes</t>
        </is>
      </c>
      <c r="S100" s="16">
        <f t="array" ref="S100">IF($A100="","",_xlfn.TEXTJOIN(CHAR(10),TRUE,IF('Clarice'!$B$6:$B$300=$A100,"Clarice"&amp;IF('Clarice'!$E$6:$E$300="",""," : "&amp;'Clarice'!$E$6:$E$300)&amp;" ["&amp;'Clarice'!$F$6:$F$300&amp;"]",""),IF('Luisa'!$B$6:$B$300=$A100,"Luisa"&amp;IF('Luisa'!$E$6:$E$300="",""," : "&amp;'Luisa'!$E$6:$E$300)&amp;" ["&amp;'Luisa'!$F$6:$F$300&amp;"]",""),IF('Lui'!$B$6:$B$300=$A100,"Lui"&amp;IF('Lui'!$E$6:$E$300="",""," : "&amp;'Lui'!$E$6:$E$300)&amp;" ["&amp;'Lui'!$F$6:$F$300&amp;"]",""),IF('Thaís'!$B$6:$B$300=$A100,"Thaís"&amp;IF('Thaís'!$E$6:$E$300="",""," : "&amp;'Thaís'!$E$6:$E$300)&amp;" ["&amp;'Thaís'!$F$6:$F$300&amp;"]",""),IF('Daniel'!$B$6:$B$300=$A100,"Daniel"&amp;IF('Daniel'!$E$6:$E$300="",""," : "&amp;'Daniel'!$E$6:$E$300)&amp;" ["&amp;'Daniel'!$F$6:$F$300&amp;"]",""),IF('Fernando'!$B$6:$B$300=$A100,"Fernando"&amp;IF('Fernando'!$E$6:$E$300="",""," : "&amp;'Fernando'!$E$6:$E$300)&amp;" ["&amp;'Fernando'!$F$6:$F$300&amp;"]",""),IF('Stephanie'!$B$6:$B$300=$A100,"Stephanie"&amp;IF('Stephanie'!$E$6:$E$300="",""," : "&amp;'Stephanie'!$E$6:$E$300)&amp;" ["&amp;'Stephanie'!$F$6:$F$300&amp;"]",""),IF('Fox'!$B$6:$B$300=$A100,"Fox"&amp;IF('Fox'!$E$6:$E$300="",""," : "&amp;'Fox'!$E$6:$E$300)&amp;" ["&amp;'Fox'!$F$6:$F$300&amp;"]",""),IF('Bruna'!$B$6:$B$300=$A100,"Bruna"&amp;IF('Bruna'!$E$6:$E$300="",""," : "&amp;'Bruna'!$E$6:$E$300)&amp;" ["&amp;'Bruna'!$F$6:$F$300&amp;"]",""),IF('Stella'!$B$6:$B$300=$A100,"Stella"&amp;IF('Stella'!$E$6:$E$300="",""," : "&amp;'Stella'!$E$6:$E$300)&amp;" ["&amp;'Stella'!$F$6:$F$300&amp;"]",""),IF('Igor'!$B$6:$B$300=$A100,"Igor"&amp;IF('Igor'!$E$6:$E$300="",""," : "&amp;'Igor'!$E$6:$E$300)&amp;" ["&amp;'Igor'!$F$6:$F$300&amp;"]","")))</f>
        <v/>
      </c>
    </row>
    <row r="101" ht="28" customHeight="1">
      <c r="A101" s="13" t="inlineStr">
        <is>
          <t>DM-037</t>
        </is>
      </c>
      <c r="B101" s="14" t="inlineStr">
        <is>
          <t>Etapa 2: Construção das métricas | Atividade 7: Operacionalização das métricas | Atividade 8: Aplicação das métricas</t>
        </is>
      </c>
      <c r="C101" s="14" t="inlineStr">
        <is>
          <t>3. Aplicação da DM</t>
        </is>
      </c>
      <c r="D101" s="14" t="inlineStr">
        <is>
          <t>Boaventura</t>
        </is>
      </c>
      <c r="E101" s="15" t="inlineStr">
        <is>
          <t>Separação de táxons por aba (Boaventura)</t>
        </is>
      </c>
      <c r="F101" s="13" t="inlineStr">
        <is>
          <t>Stephanie</t>
        </is>
      </c>
      <c r="G101" s="16">
        <f>IF($A101="","",_xlfn.TEXTJOIN("; ",TRUE,IF(COUNTIF('Clarice'!$B$6:$B$300,$A101)&gt;0,"Clarice",""),IF(COUNTIF('Luisa'!$B$6:$B$300,$A101)&gt;0,"Luisa",""),IF(COUNTIF('Lui'!$B$6:$B$300,$A101)&gt;0,"Lui",""),IF(COUNTIF('Thaís'!$B$6:$B$300,$A101)&gt;0,"Thaís",""),IF(COUNTIF('Daniel'!$B$6:$B$300,$A101)&gt;0,"Daniel",""),IF(COUNTIF('Fernando'!$B$6:$B$300,$A101)&gt;0,"Fernando",""),IF(COUNTIF('Stephanie'!$B$6:$B$300,$A101)&gt;0,"Stephanie",""),IF(COUNTIF('Fox'!$B$6:$B$300,$A101)&gt;0,"Fox",""),IF(COUNTIF('Bruna'!$B$6:$B$300,$A101)&gt;0,"Bruna",""),IF(COUNTIF('Stella'!$B$6:$B$300,$A101)&gt;0,"Stella",""),IF(COUNTIF('Igor'!$B$6:$B$300,$A101)&gt;0,"Igor","")))</f>
        <v/>
      </c>
      <c r="H101" s="13" t="n"/>
      <c r="I101" s="13" t="inlineStr">
        <is>
          <t>Concluído</t>
        </is>
      </c>
      <c r="J101" s="17">
        <f>IF(OR($A101="",(COUNTIF('Clarice'!$B$6:$B$300,$A101)+COUNTIF('Luisa'!$B$6:$B$300,$A101)+COUNTIF('Lui'!$B$6:$B$300,$A101)+COUNTIF('Thaís'!$B$6:$B$300,$A101)+COUNTIF('Daniel'!$B$6:$B$300,$A101)+COUNTIF('Fernando'!$B$6:$B$300,$A101)+COUNTIF('Stephanie'!$B$6:$B$300,$A101)+COUNTIF('Fox'!$B$6:$B$300,$A101)+COUNTIF('Bruna'!$B$6:$B$300,$A101)+COUNTIF('Stella'!$B$6:$B$300,$A101)+COUNTIF('Igor'!$B$6:$B$300,$A101))=0),"",(COUNTIFS('Clarice'!$B$6:$B$300,$A101,'Clarice'!$F$6:$F$300,"Concluído")+COUNTIFS('Luisa'!$B$6:$B$300,$A101,'Luisa'!$F$6:$F$300,"Concluído")+COUNTIFS('Lui'!$B$6:$B$300,$A101,'Lui'!$F$6:$F$300,"Concluído")+COUNTIFS('Thaís'!$B$6:$B$300,$A101,'Thaís'!$F$6:$F$300,"Concluído")+COUNTIFS('Daniel'!$B$6:$B$300,$A101,'Daniel'!$F$6:$F$300,"Concluído")+COUNTIFS('Fernando'!$B$6:$B$300,$A101,'Fernando'!$F$6:$F$300,"Concluído")+COUNTIFS('Stephanie'!$B$6:$B$300,$A101,'Stephanie'!$F$6:$F$300,"Concluído")+COUNTIFS('Fox'!$B$6:$B$300,$A101,'Fox'!$F$6:$F$300,"Concluído")+COUNTIFS('Bruna'!$B$6:$B$300,$A101,'Bruna'!$F$6:$F$300,"Concluído")+COUNTIFS('Stella'!$B$6:$B$300,$A101,'Stella'!$F$6:$F$300,"Concluído")+COUNTIFS('Igor'!$B$6:$B$300,$A101,'Igor'!$F$6:$F$300,"Concluído"))&amp;" / "&amp;(COUNTIF('Clarice'!$B$6:$B$300,$A101)+COUNTIF('Luisa'!$B$6:$B$300,$A101)+COUNTIF('Lui'!$B$6:$B$300,$A101)+COUNTIF('Thaís'!$B$6:$B$300,$A101)+COUNTIF('Daniel'!$B$6:$B$300,$A101)+COUNTIF('Fernando'!$B$6:$B$300,$A101)+COUNTIF('Stephanie'!$B$6:$B$300,$A101)+COUNTIF('Fox'!$B$6:$B$300,$A101)+COUNTIF('Bruna'!$B$6:$B$300,$A101)+COUNTIF('Stella'!$B$6:$B$300,$A101)+COUNTIF('Igor'!$B$6:$B$300,$A101)))</f>
        <v/>
      </c>
      <c r="K101" s="18" t="n">
        <v>46111</v>
      </c>
      <c r="L101" s="18" t="n">
        <v>46114</v>
      </c>
      <c r="M101" s="18" t="n">
        <v>46111</v>
      </c>
      <c r="N101" s="18" t="n">
        <v>46203</v>
      </c>
      <c r="O101" s="19" t="n"/>
      <c r="P101" s="20">
        <f>IF($A101="","",IF(M101&lt;&gt;"",M101,IF(K101&lt;&gt;"",K101,"")))</f>
        <v/>
      </c>
      <c r="Q101" s="20">
        <f>IF($A101="","",IF(N101&lt;&gt;"",N101,IF(L101&lt;&gt;"",L101,"")))</f>
        <v/>
      </c>
      <c r="R101" s="15" t="n"/>
      <c r="S101" s="16">
        <f t="array" ref="S101">IF($A101="","",_xlfn.TEXTJOIN(CHAR(10),TRUE,IF('Clarice'!$B$6:$B$300=$A101,"Clarice"&amp;IF('Clarice'!$E$6:$E$300="",""," : "&amp;'Clarice'!$E$6:$E$300)&amp;" ["&amp;'Clarice'!$F$6:$F$300&amp;"]",""),IF('Luisa'!$B$6:$B$300=$A101,"Luisa"&amp;IF('Luisa'!$E$6:$E$300="",""," : "&amp;'Luisa'!$E$6:$E$300)&amp;" ["&amp;'Luisa'!$F$6:$F$300&amp;"]",""),IF('Lui'!$B$6:$B$300=$A101,"Lui"&amp;IF('Lui'!$E$6:$E$300="",""," : "&amp;'Lui'!$E$6:$E$300)&amp;" ["&amp;'Lui'!$F$6:$F$300&amp;"]",""),IF('Thaís'!$B$6:$B$300=$A101,"Thaís"&amp;IF('Thaís'!$E$6:$E$300="",""," : "&amp;'Thaís'!$E$6:$E$300)&amp;" ["&amp;'Thaís'!$F$6:$F$300&amp;"]",""),IF('Daniel'!$B$6:$B$300=$A101,"Daniel"&amp;IF('Daniel'!$E$6:$E$300="",""," : "&amp;'Daniel'!$E$6:$E$300)&amp;" ["&amp;'Daniel'!$F$6:$F$300&amp;"]",""),IF('Fernando'!$B$6:$B$300=$A101,"Fernando"&amp;IF('Fernando'!$E$6:$E$300="",""," : "&amp;'Fernando'!$E$6:$E$300)&amp;" ["&amp;'Fernando'!$F$6:$F$300&amp;"]",""),IF('Stephanie'!$B$6:$B$300=$A101,"Stephanie"&amp;IF('Stephanie'!$E$6:$E$300="",""," : "&amp;'Stephanie'!$E$6:$E$300)&amp;" ["&amp;'Stephanie'!$F$6:$F$300&amp;"]",""),IF('Fox'!$B$6:$B$300=$A101,"Fox"&amp;IF('Fox'!$E$6:$E$300="",""," : "&amp;'Fox'!$E$6:$E$300)&amp;" ["&amp;'Fox'!$F$6:$F$300&amp;"]",""),IF('Bruna'!$B$6:$B$300=$A101,"Bruna"&amp;IF('Bruna'!$E$6:$E$300="",""," : "&amp;'Bruna'!$E$6:$E$300)&amp;" ["&amp;'Bruna'!$F$6:$F$300&amp;"]",""),IF('Stella'!$B$6:$B$300=$A101,"Stella"&amp;IF('Stella'!$E$6:$E$300="",""," : "&amp;'Stella'!$E$6:$E$300)&amp;" ["&amp;'Stella'!$F$6:$F$300&amp;"]",""),IF('Igor'!$B$6:$B$300=$A101,"Igor"&amp;IF('Igor'!$E$6:$E$300="",""," : "&amp;'Igor'!$E$6:$E$300)&amp;" ["&amp;'Igor'!$F$6:$F$300&amp;"]","")))</f>
        <v/>
      </c>
    </row>
    <row r="102" ht="28" customHeight="1">
      <c r="A102" s="13" t="inlineStr">
        <is>
          <t>DM-038</t>
        </is>
      </c>
      <c r="B102" s="14" t="inlineStr">
        <is>
          <t>Etapa 2: Construção das métricas | Atividade 7: Operacionalização das métricas | Atividade 8: Aplicação das métricas</t>
        </is>
      </c>
      <c r="C102" s="14" t="inlineStr">
        <is>
          <t>3. Aplicação da DM</t>
        </is>
      </c>
      <c r="D102" s="14" t="inlineStr">
        <is>
          <t>Boaventura</t>
        </is>
      </c>
      <c r="E102" s="15" t="inlineStr">
        <is>
          <t>Definir a estratégia de aplicação - flora (Boaventura)</t>
        </is>
      </c>
      <c r="F102" s="13" t="inlineStr">
        <is>
          <t>Stephanie</t>
        </is>
      </c>
      <c r="G102" s="16">
        <f>IF($A102="","",_xlfn.TEXTJOIN("; ",TRUE,IF(COUNTIF('Clarice'!$B$6:$B$300,$A102)&gt;0,"Clarice",""),IF(COUNTIF('Luisa'!$B$6:$B$300,$A102)&gt;0,"Luisa",""),IF(COUNTIF('Lui'!$B$6:$B$300,$A102)&gt;0,"Lui",""),IF(COUNTIF('Thaís'!$B$6:$B$300,$A102)&gt;0,"Thaís",""),IF(COUNTIF('Daniel'!$B$6:$B$300,$A102)&gt;0,"Daniel",""),IF(COUNTIF('Fernando'!$B$6:$B$300,$A102)&gt;0,"Fernando",""),IF(COUNTIF('Stephanie'!$B$6:$B$300,$A102)&gt;0,"Stephanie",""),IF(COUNTIF('Fox'!$B$6:$B$300,$A102)&gt;0,"Fox",""),IF(COUNTIF('Bruna'!$B$6:$B$300,$A102)&gt;0,"Bruna",""),IF(COUNTIF('Stella'!$B$6:$B$300,$A102)&gt;0,"Stella",""),IF(COUNTIF('Igor'!$B$6:$B$300,$A102)&gt;0,"Igor","")))</f>
        <v/>
      </c>
      <c r="H102" s="13" t="n"/>
      <c r="I102" s="13" t="inlineStr">
        <is>
          <t>Concluído</t>
        </is>
      </c>
      <c r="J102" s="17">
        <f>IF(OR($A102="",(COUNTIF('Clarice'!$B$6:$B$300,$A102)+COUNTIF('Luisa'!$B$6:$B$300,$A102)+COUNTIF('Lui'!$B$6:$B$300,$A102)+COUNTIF('Thaís'!$B$6:$B$300,$A102)+COUNTIF('Daniel'!$B$6:$B$300,$A102)+COUNTIF('Fernando'!$B$6:$B$300,$A102)+COUNTIF('Stephanie'!$B$6:$B$300,$A102)+COUNTIF('Fox'!$B$6:$B$300,$A102)+COUNTIF('Bruna'!$B$6:$B$300,$A102)+COUNTIF('Stella'!$B$6:$B$300,$A102)+COUNTIF('Igor'!$B$6:$B$300,$A102))=0),"",(COUNTIFS('Clarice'!$B$6:$B$300,$A102,'Clarice'!$F$6:$F$300,"Concluído")+COUNTIFS('Luisa'!$B$6:$B$300,$A102,'Luisa'!$F$6:$F$300,"Concluído")+COUNTIFS('Lui'!$B$6:$B$300,$A102,'Lui'!$F$6:$F$300,"Concluído")+COUNTIFS('Thaís'!$B$6:$B$300,$A102,'Thaís'!$F$6:$F$300,"Concluído")+COUNTIFS('Daniel'!$B$6:$B$300,$A102,'Daniel'!$F$6:$F$300,"Concluído")+COUNTIFS('Fernando'!$B$6:$B$300,$A102,'Fernando'!$F$6:$F$300,"Concluído")+COUNTIFS('Stephanie'!$B$6:$B$300,$A102,'Stephanie'!$F$6:$F$300,"Concluído")+COUNTIFS('Fox'!$B$6:$B$300,$A102,'Fox'!$F$6:$F$300,"Concluído")+COUNTIFS('Bruna'!$B$6:$B$300,$A102,'Bruna'!$F$6:$F$300,"Concluído")+COUNTIFS('Stella'!$B$6:$B$300,$A102,'Stella'!$F$6:$F$300,"Concluído")+COUNTIFS('Igor'!$B$6:$B$300,$A102,'Igor'!$F$6:$F$300,"Concluído"))&amp;" / "&amp;(COUNTIF('Clarice'!$B$6:$B$300,$A102)+COUNTIF('Luisa'!$B$6:$B$300,$A102)+COUNTIF('Lui'!$B$6:$B$300,$A102)+COUNTIF('Thaís'!$B$6:$B$300,$A102)+COUNTIF('Daniel'!$B$6:$B$300,$A102)+COUNTIF('Fernando'!$B$6:$B$300,$A102)+COUNTIF('Stephanie'!$B$6:$B$300,$A102)+COUNTIF('Fox'!$B$6:$B$300,$A102)+COUNTIF('Bruna'!$B$6:$B$300,$A102)+COUNTIF('Stella'!$B$6:$B$300,$A102)+COUNTIF('Igor'!$B$6:$B$300,$A102)))</f>
        <v/>
      </c>
      <c r="K102" s="18" t="n">
        <v>46104</v>
      </c>
      <c r="L102" s="18" t="n">
        <v>46112</v>
      </c>
      <c r="M102" s="18" t="n">
        <v>46104</v>
      </c>
      <c r="N102" s="18" t="n">
        <v>46213</v>
      </c>
      <c r="O102" s="19" t="n"/>
      <c r="P102" s="20">
        <f>IF($A102="","",IF(M102&lt;&gt;"",M102,IF(K102&lt;&gt;"",K102,"")))</f>
        <v/>
      </c>
      <c r="Q102" s="20">
        <f>IF($A102="","",IF(N102&lt;&gt;"",N102,IF(L102&lt;&gt;"",L102,"")))</f>
        <v/>
      </c>
      <c r="R102" s="15" t="n"/>
      <c r="S102" s="16">
        <f t="array" ref="S102">IF($A102="","",_xlfn.TEXTJOIN(CHAR(10),TRUE,IF('Clarice'!$B$6:$B$300=$A102,"Clarice"&amp;IF('Clarice'!$E$6:$E$300="",""," : "&amp;'Clarice'!$E$6:$E$300)&amp;" ["&amp;'Clarice'!$F$6:$F$300&amp;"]",""),IF('Luisa'!$B$6:$B$300=$A102,"Luisa"&amp;IF('Luisa'!$E$6:$E$300="",""," : "&amp;'Luisa'!$E$6:$E$300)&amp;" ["&amp;'Luisa'!$F$6:$F$300&amp;"]",""),IF('Lui'!$B$6:$B$300=$A102,"Lui"&amp;IF('Lui'!$E$6:$E$300="",""," : "&amp;'Lui'!$E$6:$E$300)&amp;" ["&amp;'Lui'!$F$6:$F$300&amp;"]",""),IF('Thaís'!$B$6:$B$300=$A102,"Thaís"&amp;IF('Thaís'!$E$6:$E$300="",""," : "&amp;'Thaís'!$E$6:$E$300)&amp;" ["&amp;'Thaís'!$F$6:$F$300&amp;"]",""),IF('Daniel'!$B$6:$B$300=$A102,"Daniel"&amp;IF('Daniel'!$E$6:$E$300="",""," : "&amp;'Daniel'!$E$6:$E$300)&amp;" ["&amp;'Daniel'!$F$6:$F$300&amp;"]",""),IF('Fernando'!$B$6:$B$300=$A102,"Fernando"&amp;IF('Fernando'!$E$6:$E$300="",""," : "&amp;'Fernando'!$E$6:$E$300)&amp;" ["&amp;'Fernando'!$F$6:$F$300&amp;"]",""),IF('Stephanie'!$B$6:$B$300=$A102,"Stephanie"&amp;IF('Stephanie'!$E$6:$E$300="",""," : "&amp;'Stephanie'!$E$6:$E$300)&amp;" ["&amp;'Stephanie'!$F$6:$F$300&amp;"]",""),IF('Fox'!$B$6:$B$300=$A102,"Fox"&amp;IF('Fox'!$E$6:$E$300="",""," : "&amp;'Fox'!$E$6:$E$300)&amp;" ["&amp;'Fox'!$F$6:$F$300&amp;"]",""),IF('Bruna'!$B$6:$B$300=$A102,"Bruna"&amp;IF('Bruna'!$E$6:$E$300="",""," : "&amp;'Bruna'!$E$6:$E$300)&amp;" ["&amp;'Bruna'!$F$6:$F$300&amp;"]",""),IF('Stella'!$B$6:$B$300=$A102,"Stella"&amp;IF('Stella'!$E$6:$E$300="",""," : "&amp;'Stella'!$E$6:$E$300)&amp;" ["&amp;'Stella'!$F$6:$F$300&amp;"]",""),IF('Igor'!$B$6:$B$300=$A102,"Igor"&amp;IF('Igor'!$E$6:$E$300="",""," : "&amp;'Igor'!$E$6:$E$300)&amp;" ["&amp;'Igor'!$F$6:$F$300&amp;"]","")))</f>
        <v/>
      </c>
    </row>
    <row r="103" ht="28" customHeight="1">
      <c r="A103" s="13" t="inlineStr">
        <is>
          <t>DM-039</t>
        </is>
      </c>
      <c r="B103" s="14" t="inlineStr">
        <is>
          <t>Etapa 2: Construção das métricas | Atividade 7: Operacionalização das métricas | Atividade 8: Aplicação das métricas</t>
        </is>
      </c>
      <c r="C103" s="14" t="inlineStr">
        <is>
          <t>3. Aplicação da DM</t>
        </is>
      </c>
      <c r="D103" s="14" t="inlineStr">
        <is>
          <t>Boaventura</t>
        </is>
      </c>
      <c r="E103" s="15" t="inlineStr">
        <is>
          <t>Avaliar disponibilidade de informação temporal e espacial para aplicação da métrica - flora (Boaventura)</t>
        </is>
      </c>
      <c r="F103" s="13" t="inlineStr">
        <is>
          <t>Stephanie</t>
        </is>
      </c>
      <c r="G103" s="16">
        <f>IF($A103="","",_xlfn.TEXTJOIN("; ",TRUE,IF(COUNTIF('Clarice'!$B$6:$B$300,$A103)&gt;0,"Clarice",""),IF(COUNTIF('Luisa'!$B$6:$B$300,$A103)&gt;0,"Luisa",""),IF(COUNTIF('Lui'!$B$6:$B$300,$A103)&gt;0,"Lui",""),IF(COUNTIF('Thaís'!$B$6:$B$300,$A103)&gt;0,"Thaís",""),IF(COUNTIF('Daniel'!$B$6:$B$300,$A103)&gt;0,"Daniel",""),IF(COUNTIF('Fernando'!$B$6:$B$300,$A103)&gt;0,"Fernando",""),IF(COUNTIF('Stephanie'!$B$6:$B$300,$A103)&gt;0,"Stephanie",""),IF(COUNTIF('Fox'!$B$6:$B$300,$A103)&gt;0,"Fox",""),IF(COUNTIF('Bruna'!$B$6:$B$300,$A103)&gt;0,"Bruna",""),IF(COUNTIF('Stella'!$B$6:$B$300,$A103)&gt;0,"Stella",""),IF(COUNTIF('Igor'!$B$6:$B$300,$A103)&gt;0,"Igor","")))</f>
        <v/>
      </c>
      <c r="H103" s="13" t="n"/>
      <c r="I103" s="13" t="inlineStr">
        <is>
          <t>Concluído</t>
        </is>
      </c>
      <c r="J103" s="17">
        <f>IF(OR($A103="",(COUNTIF('Clarice'!$B$6:$B$300,$A103)+COUNTIF('Luisa'!$B$6:$B$300,$A103)+COUNTIF('Lui'!$B$6:$B$300,$A103)+COUNTIF('Thaís'!$B$6:$B$300,$A103)+COUNTIF('Daniel'!$B$6:$B$300,$A103)+COUNTIF('Fernando'!$B$6:$B$300,$A103)+COUNTIF('Stephanie'!$B$6:$B$300,$A103)+COUNTIF('Fox'!$B$6:$B$300,$A103)+COUNTIF('Bruna'!$B$6:$B$300,$A103)+COUNTIF('Stella'!$B$6:$B$300,$A103)+COUNTIF('Igor'!$B$6:$B$300,$A103))=0),"",(COUNTIFS('Clarice'!$B$6:$B$300,$A103,'Clarice'!$F$6:$F$300,"Concluído")+COUNTIFS('Luisa'!$B$6:$B$300,$A103,'Luisa'!$F$6:$F$300,"Concluído")+COUNTIFS('Lui'!$B$6:$B$300,$A103,'Lui'!$F$6:$F$300,"Concluído")+COUNTIFS('Thaís'!$B$6:$B$300,$A103,'Thaís'!$F$6:$F$300,"Concluído")+COUNTIFS('Daniel'!$B$6:$B$300,$A103,'Daniel'!$F$6:$F$300,"Concluído")+COUNTIFS('Fernando'!$B$6:$B$300,$A103,'Fernando'!$F$6:$F$300,"Concluído")+COUNTIFS('Stephanie'!$B$6:$B$300,$A103,'Stephanie'!$F$6:$F$300,"Concluído")+COUNTIFS('Fox'!$B$6:$B$300,$A103,'Fox'!$F$6:$F$300,"Concluído")+COUNTIFS('Bruna'!$B$6:$B$300,$A103,'Bruna'!$F$6:$F$300,"Concluído")+COUNTIFS('Stella'!$B$6:$B$300,$A103,'Stella'!$F$6:$F$300,"Concluído")+COUNTIFS('Igor'!$B$6:$B$300,$A103,'Igor'!$F$6:$F$300,"Concluído"))&amp;" / "&amp;(COUNTIF('Clarice'!$B$6:$B$300,$A103)+COUNTIF('Luisa'!$B$6:$B$300,$A103)+COUNTIF('Lui'!$B$6:$B$300,$A103)+COUNTIF('Thaís'!$B$6:$B$300,$A103)+COUNTIF('Daniel'!$B$6:$B$300,$A103)+COUNTIF('Fernando'!$B$6:$B$300,$A103)+COUNTIF('Stephanie'!$B$6:$B$300,$A103)+COUNTIF('Fox'!$B$6:$B$300,$A103)+COUNTIF('Bruna'!$B$6:$B$300,$A103)+COUNTIF('Stella'!$B$6:$B$300,$A103)+COUNTIF('Igor'!$B$6:$B$300,$A103)))</f>
        <v/>
      </c>
      <c r="K103" s="18" t="n">
        <v>46111</v>
      </c>
      <c r="L103" s="18" t="n">
        <v>46112</v>
      </c>
      <c r="M103" s="18" t="n">
        <v>46111</v>
      </c>
      <c r="N103" s="18" t="n">
        <v>46220</v>
      </c>
      <c r="O103" s="19" t="n"/>
      <c r="P103" s="20">
        <f>IF($A103="","",IF(M103&lt;&gt;"",M103,IF(K103&lt;&gt;"",K103,"")))</f>
        <v/>
      </c>
      <c r="Q103" s="20">
        <f>IF($A103="","",IF(N103&lt;&gt;"",N103,IF(L103&lt;&gt;"",L103,"")))</f>
        <v/>
      </c>
      <c r="R103" s="15" t="n"/>
      <c r="S103" s="16">
        <f t="array" ref="S103">IF($A103="","",_xlfn.TEXTJOIN(CHAR(10),TRUE,IF('Clarice'!$B$6:$B$300=$A103,"Clarice"&amp;IF('Clarice'!$E$6:$E$300="",""," : "&amp;'Clarice'!$E$6:$E$300)&amp;" ["&amp;'Clarice'!$F$6:$F$300&amp;"]",""),IF('Luisa'!$B$6:$B$300=$A103,"Luisa"&amp;IF('Luisa'!$E$6:$E$300="",""," : "&amp;'Luisa'!$E$6:$E$300)&amp;" ["&amp;'Luisa'!$F$6:$F$300&amp;"]",""),IF('Lui'!$B$6:$B$300=$A103,"Lui"&amp;IF('Lui'!$E$6:$E$300="",""," : "&amp;'Lui'!$E$6:$E$300)&amp;" ["&amp;'Lui'!$F$6:$F$300&amp;"]",""),IF('Thaís'!$B$6:$B$300=$A103,"Thaís"&amp;IF('Thaís'!$E$6:$E$300="",""," : "&amp;'Thaís'!$E$6:$E$300)&amp;" ["&amp;'Thaís'!$F$6:$F$300&amp;"]",""),IF('Daniel'!$B$6:$B$300=$A103,"Daniel"&amp;IF('Daniel'!$E$6:$E$300="",""," : "&amp;'Daniel'!$E$6:$E$300)&amp;" ["&amp;'Daniel'!$F$6:$F$300&amp;"]",""),IF('Fernando'!$B$6:$B$300=$A103,"Fernando"&amp;IF('Fernando'!$E$6:$E$300="",""," : "&amp;'Fernando'!$E$6:$E$300)&amp;" ["&amp;'Fernando'!$F$6:$F$300&amp;"]",""),IF('Stephanie'!$B$6:$B$300=$A103,"Stephanie"&amp;IF('Stephanie'!$E$6:$E$300="",""," : "&amp;'Stephanie'!$E$6:$E$300)&amp;" ["&amp;'Stephanie'!$F$6:$F$300&amp;"]",""),IF('Fox'!$B$6:$B$300=$A103,"Fox"&amp;IF('Fox'!$E$6:$E$300="",""," : "&amp;'Fox'!$E$6:$E$300)&amp;" ["&amp;'Fox'!$F$6:$F$300&amp;"]",""),IF('Bruna'!$B$6:$B$300=$A103,"Bruna"&amp;IF('Bruna'!$E$6:$E$300="",""," : "&amp;'Bruna'!$E$6:$E$300)&amp;" ["&amp;'Bruna'!$F$6:$F$300&amp;"]",""),IF('Stella'!$B$6:$B$300=$A103,"Stella"&amp;IF('Stella'!$E$6:$E$300="",""," : "&amp;'Stella'!$E$6:$E$300)&amp;" ["&amp;'Stella'!$F$6:$F$300&amp;"]",""),IF('Igor'!$B$6:$B$300=$A103,"Igor"&amp;IF('Igor'!$E$6:$E$300="",""," : "&amp;'Igor'!$E$6:$E$300)&amp;" ["&amp;'Igor'!$F$6:$F$300&amp;"]","")))</f>
        <v/>
      </c>
    </row>
    <row r="104" ht="28" customHeight="1">
      <c r="A104" s="13" t="inlineStr">
        <is>
          <t>DM-040</t>
        </is>
      </c>
      <c r="B104" s="14" t="inlineStr">
        <is>
          <t>Etapa 2: Construção das métricas | Atividade 7: Operacionalização das métricas | Atividade 8: Aplicação das métricas</t>
        </is>
      </c>
      <c r="C104" s="14" t="inlineStr">
        <is>
          <t>3. Aplicação da DM</t>
        </is>
      </c>
      <c r="D104" s="14" t="inlineStr">
        <is>
          <t>Boaventura</t>
        </is>
      </c>
      <c r="E104" s="15" t="inlineStr">
        <is>
          <t>Definir tipo, componente e atributos - flora (Boaventura)</t>
        </is>
      </c>
      <c r="F104" s="13" t="inlineStr">
        <is>
          <t>Stephanie</t>
        </is>
      </c>
      <c r="G104" s="16">
        <f>IF($A104="","",_xlfn.TEXTJOIN("; ",TRUE,IF(COUNTIF('Clarice'!$B$6:$B$300,$A104)&gt;0,"Clarice",""),IF(COUNTIF('Luisa'!$B$6:$B$300,$A104)&gt;0,"Luisa",""),IF(COUNTIF('Lui'!$B$6:$B$300,$A104)&gt;0,"Lui",""),IF(COUNTIF('Thaís'!$B$6:$B$300,$A104)&gt;0,"Thaís",""),IF(COUNTIF('Daniel'!$B$6:$B$300,$A104)&gt;0,"Daniel",""),IF(COUNTIF('Fernando'!$B$6:$B$300,$A104)&gt;0,"Fernando",""),IF(COUNTIF('Stephanie'!$B$6:$B$300,$A104)&gt;0,"Stephanie",""),IF(COUNTIF('Fox'!$B$6:$B$300,$A104)&gt;0,"Fox",""),IF(COUNTIF('Bruna'!$B$6:$B$300,$A104)&gt;0,"Bruna",""),IF(COUNTIF('Stella'!$B$6:$B$300,$A104)&gt;0,"Stella",""),IF(COUNTIF('Igor'!$B$6:$B$300,$A104)&gt;0,"Igor","")))</f>
        <v/>
      </c>
      <c r="H104" s="13" t="n"/>
      <c r="I104" s="13" t="inlineStr">
        <is>
          <t>Em andamento</t>
        </is>
      </c>
      <c r="J104" s="17">
        <f>IF(OR($A104="",(COUNTIF('Clarice'!$B$6:$B$300,$A104)+COUNTIF('Luisa'!$B$6:$B$300,$A104)+COUNTIF('Lui'!$B$6:$B$300,$A104)+COUNTIF('Thaís'!$B$6:$B$300,$A104)+COUNTIF('Daniel'!$B$6:$B$300,$A104)+COUNTIF('Fernando'!$B$6:$B$300,$A104)+COUNTIF('Stephanie'!$B$6:$B$300,$A104)+COUNTIF('Fox'!$B$6:$B$300,$A104)+COUNTIF('Bruna'!$B$6:$B$300,$A104)+COUNTIF('Stella'!$B$6:$B$300,$A104)+COUNTIF('Igor'!$B$6:$B$300,$A104))=0),"",(COUNTIFS('Clarice'!$B$6:$B$300,$A104,'Clarice'!$F$6:$F$300,"Concluído")+COUNTIFS('Luisa'!$B$6:$B$300,$A104,'Luisa'!$F$6:$F$300,"Concluído")+COUNTIFS('Lui'!$B$6:$B$300,$A104,'Lui'!$F$6:$F$300,"Concluído")+COUNTIFS('Thaís'!$B$6:$B$300,$A104,'Thaís'!$F$6:$F$300,"Concluído")+COUNTIFS('Daniel'!$B$6:$B$300,$A104,'Daniel'!$F$6:$F$300,"Concluído")+COUNTIFS('Fernando'!$B$6:$B$300,$A104,'Fernando'!$F$6:$F$300,"Concluído")+COUNTIFS('Stephanie'!$B$6:$B$300,$A104,'Stephanie'!$F$6:$F$300,"Concluído")+COUNTIFS('Fox'!$B$6:$B$300,$A104,'Fox'!$F$6:$F$300,"Concluído")+COUNTIFS('Bruna'!$B$6:$B$300,$A104,'Bruna'!$F$6:$F$300,"Concluído")+COUNTIFS('Stella'!$B$6:$B$300,$A104,'Stella'!$F$6:$F$300,"Concluído")+COUNTIFS('Igor'!$B$6:$B$300,$A104,'Igor'!$F$6:$F$300,"Concluído"))&amp;" / "&amp;(COUNTIF('Clarice'!$B$6:$B$300,$A104)+COUNTIF('Luisa'!$B$6:$B$300,$A104)+COUNTIF('Lui'!$B$6:$B$300,$A104)+COUNTIF('Thaís'!$B$6:$B$300,$A104)+COUNTIF('Daniel'!$B$6:$B$300,$A104)+COUNTIF('Fernando'!$B$6:$B$300,$A104)+COUNTIF('Stephanie'!$B$6:$B$300,$A104)+COUNTIF('Fox'!$B$6:$B$300,$A104)+COUNTIF('Bruna'!$B$6:$B$300,$A104)+COUNTIF('Stella'!$B$6:$B$300,$A104)+COUNTIF('Igor'!$B$6:$B$300,$A104)))</f>
        <v/>
      </c>
      <c r="K104" s="18" t="n">
        <v>46111</v>
      </c>
      <c r="L104" s="18" t="n">
        <v>46112</v>
      </c>
      <c r="M104" s="18" t="n">
        <v>46111</v>
      </c>
      <c r="N104" s="18" t="n">
        <v>46248</v>
      </c>
      <c r="O104" s="19" t="n"/>
      <c r="P104" s="20">
        <f>IF($A104="","",IF(M104&lt;&gt;"",M104,IF(K104&lt;&gt;"",K104,"")))</f>
        <v/>
      </c>
      <c r="Q104" s="20">
        <f>IF($A104="","",IF(N104&lt;&gt;"",N104,IF(L104&lt;&gt;"",L104,"")))</f>
        <v/>
      </c>
      <c r="R104" s="15" t="n"/>
      <c r="S104" s="16">
        <f t="array" ref="S104">IF($A104="","",_xlfn.TEXTJOIN(CHAR(10),TRUE,IF('Clarice'!$B$6:$B$300=$A104,"Clarice"&amp;IF('Clarice'!$E$6:$E$300="",""," : "&amp;'Clarice'!$E$6:$E$300)&amp;" ["&amp;'Clarice'!$F$6:$F$300&amp;"]",""),IF('Luisa'!$B$6:$B$300=$A104,"Luisa"&amp;IF('Luisa'!$E$6:$E$300="",""," : "&amp;'Luisa'!$E$6:$E$300)&amp;" ["&amp;'Luisa'!$F$6:$F$300&amp;"]",""),IF('Lui'!$B$6:$B$300=$A104,"Lui"&amp;IF('Lui'!$E$6:$E$300="",""," : "&amp;'Lui'!$E$6:$E$300)&amp;" ["&amp;'Lui'!$F$6:$F$300&amp;"]",""),IF('Thaís'!$B$6:$B$300=$A104,"Thaís"&amp;IF('Thaís'!$E$6:$E$300="",""," : "&amp;'Thaís'!$E$6:$E$300)&amp;" ["&amp;'Thaís'!$F$6:$F$300&amp;"]",""),IF('Daniel'!$B$6:$B$300=$A104,"Daniel"&amp;IF('Daniel'!$E$6:$E$300="",""," : "&amp;'Daniel'!$E$6:$E$300)&amp;" ["&amp;'Daniel'!$F$6:$F$300&amp;"]",""),IF('Fernando'!$B$6:$B$300=$A104,"Fernando"&amp;IF('Fernando'!$E$6:$E$300="",""," : "&amp;'Fernando'!$E$6:$E$300)&amp;" ["&amp;'Fernando'!$F$6:$F$300&amp;"]",""),IF('Stephanie'!$B$6:$B$300=$A104,"Stephanie"&amp;IF('Stephanie'!$E$6:$E$300="",""," : "&amp;'Stephanie'!$E$6:$E$300)&amp;" ["&amp;'Stephanie'!$F$6:$F$300&amp;"]",""),IF('Fox'!$B$6:$B$300=$A104,"Fox"&amp;IF('Fox'!$E$6:$E$300="",""," : "&amp;'Fox'!$E$6:$E$300)&amp;" ["&amp;'Fox'!$F$6:$F$300&amp;"]",""),IF('Bruna'!$B$6:$B$300=$A104,"Bruna"&amp;IF('Bruna'!$E$6:$E$300="",""," : "&amp;'Bruna'!$E$6:$E$300)&amp;" ["&amp;'Bruna'!$F$6:$F$300&amp;"]",""),IF('Stella'!$B$6:$B$300=$A104,"Stella"&amp;IF('Stella'!$E$6:$E$300="",""," : "&amp;'Stella'!$E$6:$E$300)&amp;" ["&amp;'Stella'!$F$6:$F$300&amp;"]",""),IF('Igor'!$B$6:$B$300=$A104,"Igor"&amp;IF('Igor'!$E$6:$E$300="",""," : "&amp;'Igor'!$E$6:$E$300)&amp;" ["&amp;'Igor'!$F$6:$F$300&amp;"]","")))</f>
        <v/>
      </c>
    </row>
    <row r="105" ht="28" customHeight="1">
      <c r="A105" s="13" t="inlineStr">
        <is>
          <t>DM-041</t>
        </is>
      </c>
      <c r="B105" s="14" t="inlineStr">
        <is>
          <t>Etapa 2: Construção das métricas | Atividade 7: Operacionalização das métricas | Atividade 8: Aplicação das métricas</t>
        </is>
      </c>
      <c r="C105" s="14" t="inlineStr">
        <is>
          <t>3. Aplicação da DM</t>
        </is>
      </c>
      <c r="D105" s="14" t="inlineStr">
        <is>
          <t>Boaventura</t>
        </is>
      </c>
      <c r="E105" s="15" t="inlineStr">
        <is>
          <t>Definir os dados usados para cálculo de perdas e ganhos - flora (Boaventura)</t>
        </is>
      </c>
      <c r="F105" s="13" t="inlineStr">
        <is>
          <t>Stephanie</t>
        </is>
      </c>
      <c r="G105" s="16">
        <f>IF($A105="","",_xlfn.TEXTJOIN("; ",TRUE,IF(COUNTIF('Clarice'!$B$6:$B$300,$A105)&gt;0,"Clarice",""),IF(COUNTIF('Luisa'!$B$6:$B$300,$A105)&gt;0,"Luisa",""),IF(COUNTIF('Lui'!$B$6:$B$300,$A105)&gt;0,"Lui",""),IF(COUNTIF('Thaís'!$B$6:$B$300,$A105)&gt;0,"Thaís",""),IF(COUNTIF('Daniel'!$B$6:$B$300,$A105)&gt;0,"Daniel",""),IF(COUNTIF('Fernando'!$B$6:$B$300,$A105)&gt;0,"Fernando",""),IF(COUNTIF('Stephanie'!$B$6:$B$300,$A105)&gt;0,"Stephanie",""),IF(COUNTIF('Fox'!$B$6:$B$300,$A105)&gt;0,"Fox",""),IF(COUNTIF('Bruna'!$B$6:$B$300,$A105)&gt;0,"Bruna",""),IF(COUNTIF('Stella'!$B$6:$B$300,$A105)&gt;0,"Stella",""),IF(COUNTIF('Igor'!$B$6:$B$300,$A105)&gt;0,"Igor","")))</f>
        <v/>
      </c>
      <c r="H105" s="13" t="n"/>
      <c r="I105" s="13" t="inlineStr">
        <is>
          <t>Em andamento</t>
        </is>
      </c>
      <c r="J105" s="17">
        <f>IF(OR($A105="",(COUNTIF('Clarice'!$B$6:$B$300,$A105)+COUNTIF('Luisa'!$B$6:$B$300,$A105)+COUNTIF('Lui'!$B$6:$B$300,$A105)+COUNTIF('Thaís'!$B$6:$B$300,$A105)+COUNTIF('Daniel'!$B$6:$B$300,$A105)+COUNTIF('Fernando'!$B$6:$B$300,$A105)+COUNTIF('Stephanie'!$B$6:$B$300,$A105)+COUNTIF('Fox'!$B$6:$B$300,$A105)+COUNTIF('Bruna'!$B$6:$B$300,$A105)+COUNTIF('Stella'!$B$6:$B$300,$A105)+COUNTIF('Igor'!$B$6:$B$300,$A105))=0),"",(COUNTIFS('Clarice'!$B$6:$B$300,$A105,'Clarice'!$F$6:$F$300,"Concluído")+COUNTIFS('Luisa'!$B$6:$B$300,$A105,'Luisa'!$F$6:$F$300,"Concluído")+COUNTIFS('Lui'!$B$6:$B$300,$A105,'Lui'!$F$6:$F$300,"Concluído")+COUNTIFS('Thaís'!$B$6:$B$300,$A105,'Thaís'!$F$6:$F$300,"Concluído")+COUNTIFS('Daniel'!$B$6:$B$300,$A105,'Daniel'!$F$6:$F$300,"Concluído")+COUNTIFS('Fernando'!$B$6:$B$300,$A105,'Fernando'!$F$6:$F$300,"Concluído")+COUNTIFS('Stephanie'!$B$6:$B$300,$A105,'Stephanie'!$F$6:$F$300,"Concluído")+COUNTIFS('Fox'!$B$6:$B$300,$A105,'Fox'!$F$6:$F$300,"Concluído")+COUNTIFS('Bruna'!$B$6:$B$300,$A105,'Bruna'!$F$6:$F$300,"Concluído")+COUNTIFS('Stella'!$B$6:$B$300,$A105,'Stella'!$F$6:$F$300,"Concluído")+COUNTIFS('Igor'!$B$6:$B$300,$A105,'Igor'!$F$6:$F$300,"Concluído"))&amp;" / "&amp;(COUNTIF('Clarice'!$B$6:$B$300,$A105)+COUNTIF('Luisa'!$B$6:$B$300,$A105)+COUNTIF('Lui'!$B$6:$B$300,$A105)+COUNTIF('Thaís'!$B$6:$B$300,$A105)+COUNTIF('Daniel'!$B$6:$B$300,$A105)+COUNTIF('Fernando'!$B$6:$B$300,$A105)+COUNTIF('Stephanie'!$B$6:$B$300,$A105)+COUNTIF('Fox'!$B$6:$B$300,$A105)+COUNTIF('Bruna'!$B$6:$B$300,$A105)+COUNTIF('Stella'!$B$6:$B$300,$A105)+COUNTIF('Igor'!$B$6:$B$300,$A105)))</f>
        <v/>
      </c>
      <c r="K105" s="18" t="n">
        <v>46118</v>
      </c>
      <c r="L105" s="18" t="n">
        <v>46129</v>
      </c>
      <c r="M105" s="18" t="n">
        <v>46118</v>
      </c>
      <c r="N105" s="18" t="n">
        <v>46248</v>
      </c>
      <c r="O105" s="19" t="n"/>
      <c r="P105" s="20">
        <f>IF($A105="","",IF(M105&lt;&gt;"",M105,IF(K105&lt;&gt;"",K105,"")))</f>
        <v/>
      </c>
      <c r="Q105" s="20">
        <f>IF($A105="","",IF(N105&lt;&gt;"",N105,IF(L105&lt;&gt;"",L105,"")))</f>
        <v/>
      </c>
      <c r="R105" s="15" t="n"/>
      <c r="S105" s="16">
        <f t="array" ref="S105">IF($A105="","",_xlfn.TEXTJOIN(CHAR(10),TRUE,IF('Clarice'!$B$6:$B$300=$A105,"Clarice"&amp;IF('Clarice'!$E$6:$E$300="",""," : "&amp;'Clarice'!$E$6:$E$300)&amp;" ["&amp;'Clarice'!$F$6:$F$300&amp;"]",""),IF('Luisa'!$B$6:$B$300=$A105,"Luisa"&amp;IF('Luisa'!$E$6:$E$300="",""," : "&amp;'Luisa'!$E$6:$E$300)&amp;" ["&amp;'Luisa'!$F$6:$F$300&amp;"]",""),IF('Lui'!$B$6:$B$300=$A105,"Lui"&amp;IF('Lui'!$E$6:$E$300="",""," : "&amp;'Lui'!$E$6:$E$300)&amp;" ["&amp;'Lui'!$F$6:$F$300&amp;"]",""),IF('Thaís'!$B$6:$B$300=$A105,"Thaís"&amp;IF('Thaís'!$E$6:$E$300="",""," : "&amp;'Thaís'!$E$6:$E$300)&amp;" ["&amp;'Thaís'!$F$6:$F$300&amp;"]",""),IF('Daniel'!$B$6:$B$300=$A105,"Daniel"&amp;IF('Daniel'!$E$6:$E$300="",""," : "&amp;'Daniel'!$E$6:$E$300)&amp;" ["&amp;'Daniel'!$F$6:$F$300&amp;"]",""),IF('Fernando'!$B$6:$B$300=$A105,"Fernando"&amp;IF('Fernando'!$E$6:$E$300="",""," : "&amp;'Fernando'!$E$6:$E$300)&amp;" ["&amp;'Fernando'!$F$6:$F$300&amp;"]",""),IF('Stephanie'!$B$6:$B$300=$A105,"Stephanie"&amp;IF('Stephanie'!$E$6:$E$300="",""," : "&amp;'Stephanie'!$E$6:$E$300)&amp;" ["&amp;'Stephanie'!$F$6:$F$300&amp;"]",""),IF('Fox'!$B$6:$B$300=$A105,"Fox"&amp;IF('Fox'!$E$6:$E$300="",""," : "&amp;'Fox'!$E$6:$E$300)&amp;" ["&amp;'Fox'!$F$6:$F$300&amp;"]",""),IF('Bruna'!$B$6:$B$300=$A105,"Bruna"&amp;IF('Bruna'!$E$6:$E$300="",""," : "&amp;'Bruna'!$E$6:$E$300)&amp;" ["&amp;'Bruna'!$F$6:$F$300&amp;"]",""),IF('Stella'!$B$6:$B$300=$A105,"Stella"&amp;IF('Stella'!$E$6:$E$300="",""," : "&amp;'Stella'!$E$6:$E$300)&amp;" ["&amp;'Stella'!$F$6:$F$300&amp;"]",""),IF('Igor'!$B$6:$B$300=$A105,"Igor"&amp;IF('Igor'!$E$6:$E$300="",""," : "&amp;'Igor'!$E$6:$E$300)&amp;" ["&amp;'Igor'!$F$6:$F$300&amp;"]","")))</f>
        <v/>
      </c>
    </row>
    <row r="106" ht="28" customHeight="1">
      <c r="A106" s="13" t="inlineStr">
        <is>
          <t>DM-042</t>
        </is>
      </c>
      <c r="B106" s="14" t="inlineStr">
        <is>
          <t>Etapa 2: Construção das métricas | Atividade 7: Operacionalização das métricas | Atividade 8: Aplicação das métricas</t>
        </is>
      </c>
      <c r="C106" s="14" t="inlineStr">
        <is>
          <t>3. Aplicação da DM</t>
        </is>
      </c>
      <c r="D106" s="14" t="inlineStr">
        <is>
          <t>Boaventura</t>
        </is>
      </c>
      <c r="E106" s="15" t="inlineStr">
        <is>
          <t>Definir parâmetros e fatores de ajuste - flora (Boaventura)</t>
        </is>
      </c>
      <c r="F106" s="13" t="inlineStr">
        <is>
          <t>Stephanie</t>
        </is>
      </c>
      <c r="G106" s="16">
        <f>IF($A106="","",_xlfn.TEXTJOIN("; ",TRUE,IF(COUNTIF('Clarice'!$B$6:$B$300,$A106)&gt;0,"Clarice",""),IF(COUNTIF('Luisa'!$B$6:$B$300,$A106)&gt;0,"Luisa",""),IF(COUNTIF('Lui'!$B$6:$B$300,$A106)&gt;0,"Lui",""),IF(COUNTIF('Thaís'!$B$6:$B$300,$A106)&gt;0,"Thaís",""),IF(COUNTIF('Daniel'!$B$6:$B$300,$A106)&gt;0,"Daniel",""),IF(COUNTIF('Fernando'!$B$6:$B$300,$A106)&gt;0,"Fernando",""),IF(COUNTIF('Stephanie'!$B$6:$B$300,$A106)&gt;0,"Stephanie",""),IF(COUNTIF('Fox'!$B$6:$B$300,$A106)&gt;0,"Fox",""),IF(COUNTIF('Bruna'!$B$6:$B$300,$A106)&gt;0,"Bruna",""),IF(COUNTIF('Stella'!$B$6:$B$300,$A106)&gt;0,"Stella",""),IF(COUNTIF('Igor'!$B$6:$B$300,$A106)&gt;0,"Igor","")))</f>
        <v/>
      </c>
      <c r="H106" s="13" t="n"/>
      <c r="I106" s="13" t="inlineStr">
        <is>
          <t>Em andamento</t>
        </is>
      </c>
      <c r="J106" s="17">
        <f>IF(OR($A106="",(COUNTIF('Clarice'!$B$6:$B$300,$A106)+COUNTIF('Luisa'!$B$6:$B$300,$A106)+COUNTIF('Lui'!$B$6:$B$300,$A106)+COUNTIF('Thaís'!$B$6:$B$300,$A106)+COUNTIF('Daniel'!$B$6:$B$300,$A106)+COUNTIF('Fernando'!$B$6:$B$300,$A106)+COUNTIF('Stephanie'!$B$6:$B$300,$A106)+COUNTIF('Fox'!$B$6:$B$300,$A106)+COUNTIF('Bruna'!$B$6:$B$300,$A106)+COUNTIF('Stella'!$B$6:$B$300,$A106)+COUNTIF('Igor'!$B$6:$B$300,$A106))=0),"",(COUNTIFS('Clarice'!$B$6:$B$300,$A106,'Clarice'!$F$6:$F$300,"Concluído")+COUNTIFS('Luisa'!$B$6:$B$300,$A106,'Luisa'!$F$6:$F$300,"Concluído")+COUNTIFS('Lui'!$B$6:$B$300,$A106,'Lui'!$F$6:$F$300,"Concluído")+COUNTIFS('Thaís'!$B$6:$B$300,$A106,'Thaís'!$F$6:$F$300,"Concluído")+COUNTIFS('Daniel'!$B$6:$B$300,$A106,'Daniel'!$F$6:$F$300,"Concluído")+COUNTIFS('Fernando'!$B$6:$B$300,$A106,'Fernando'!$F$6:$F$300,"Concluído")+COUNTIFS('Stephanie'!$B$6:$B$300,$A106,'Stephanie'!$F$6:$F$300,"Concluído")+COUNTIFS('Fox'!$B$6:$B$300,$A106,'Fox'!$F$6:$F$300,"Concluído")+COUNTIFS('Bruna'!$B$6:$B$300,$A106,'Bruna'!$F$6:$F$300,"Concluído")+COUNTIFS('Stella'!$B$6:$B$300,$A106,'Stella'!$F$6:$F$300,"Concluído")+COUNTIFS('Igor'!$B$6:$B$300,$A106,'Igor'!$F$6:$F$300,"Concluído"))&amp;" / "&amp;(COUNTIF('Clarice'!$B$6:$B$300,$A106)+COUNTIF('Luisa'!$B$6:$B$300,$A106)+COUNTIF('Lui'!$B$6:$B$300,$A106)+COUNTIF('Thaís'!$B$6:$B$300,$A106)+COUNTIF('Daniel'!$B$6:$B$300,$A106)+COUNTIF('Fernando'!$B$6:$B$300,$A106)+COUNTIF('Stephanie'!$B$6:$B$300,$A106)+COUNTIF('Fox'!$B$6:$B$300,$A106)+COUNTIF('Bruna'!$B$6:$B$300,$A106)+COUNTIF('Stella'!$B$6:$B$300,$A106)+COUNTIF('Igor'!$B$6:$B$300,$A106)))</f>
        <v/>
      </c>
      <c r="K106" s="18" t="n">
        <v>46125</v>
      </c>
      <c r="L106" s="18" t="n">
        <v>46129</v>
      </c>
      <c r="M106" s="18" t="n">
        <v>46125</v>
      </c>
      <c r="N106" s="18" t="n">
        <v>46248</v>
      </c>
      <c r="O106" s="19" t="n"/>
      <c r="P106" s="20">
        <f>IF($A106="","",IF(M106&lt;&gt;"",M106,IF(K106&lt;&gt;"",K106,"")))</f>
        <v/>
      </c>
      <c r="Q106" s="20">
        <f>IF($A106="","",IF(N106&lt;&gt;"",N106,IF(L106&lt;&gt;"",L106,"")))</f>
        <v/>
      </c>
      <c r="R106" s="15" t="n"/>
      <c r="S106" s="16">
        <f t="array" ref="S106">IF($A106="","",_xlfn.TEXTJOIN(CHAR(10),TRUE,IF('Clarice'!$B$6:$B$300=$A106,"Clarice"&amp;IF('Clarice'!$E$6:$E$300="",""," : "&amp;'Clarice'!$E$6:$E$300)&amp;" ["&amp;'Clarice'!$F$6:$F$300&amp;"]",""),IF('Luisa'!$B$6:$B$300=$A106,"Luisa"&amp;IF('Luisa'!$E$6:$E$300="",""," : "&amp;'Luisa'!$E$6:$E$300)&amp;" ["&amp;'Luisa'!$F$6:$F$300&amp;"]",""),IF('Lui'!$B$6:$B$300=$A106,"Lui"&amp;IF('Lui'!$E$6:$E$300="",""," : "&amp;'Lui'!$E$6:$E$300)&amp;" ["&amp;'Lui'!$F$6:$F$300&amp;"]",""),IF('Thaís'!$B$6:$B$300=$A106,"Thaís"&amp;IF('Thaís'!$E$6:$E$300="",""," : "&amp;'Thaís'!$E$6:$E$300)&amp;" ["&amp;'Thaís'!$F$6:$F$300&amp;"]",""),IF('Daniel'!$B$6:$B$300=$A106,"Daniel"&amp;IF('Daniel'!$E$6:$E$300="",""," : "&amp;'Daniel'!$E$6:$E$300)&amp;" ["&amp;'Daniel'!$F$6:$F$300&amp;"]",""),IF('Fernando'!$B$6:$B$300=$A106,"Fernando"&amp;IF('Fernando'!$E$6:$E$300="",""," : "&amp;'Fernando'!$E$6:$E$300)&amp;" ["&amp;'Fernando'!$F$6:$F$300&amp;"]",""),IF('Stephanie'!$B$6:$B$300=$A106,"Stephanie"&amp;IF('Stephanie'!$E$6:$E$300="",""," : "&amp;'Stephanie'!$E$6:$E$300)&amp;" ["&amp;'Stephanie'!$F$6:$F$300&amp;"]",""),IF('Fox'!$B$6:$B$300=$A106,"Fox"&amp;IF('Fox'!$E$6:$E$300="",""," : "&amp;'Fox'!$E$6:$E$300)&amp;" ["&amp;'Fox'!$F$6:$F$300&amp;"]",""),IF('Bruna'!$B$6:$B$300=$A106,"Bruna"&amp;IF('Bruna'!$E$6:$E$300="",""," : "&amp;'Bruna'!$E$6:$E$300)&amp;" ["&amp;'Bruna'!$F$6:$F$300&amp;"]",""),IF('Stella'!$B$6:$B$300=$A106,"Stella"&amp;IF('Stella'!$E$6:$E$300="",""," : "&amp;'Stella'!$E$6:$E$300)&amp;" ["&amp;'Stella'!$F$6:$F$300&amp;"]",""),IF('Igor'!$B$6:$B$300=$A106,"Igor"&amp;IF('Igor'!$E$6:$E$300="",""," : "&amp;'Igor'!$E$6:$E$300)&amp;" ["&amp;'Igor'!$F$6:$F$300&amp;"]","")))</f>
        <v/>
      </c>
    </row>
    <row r="107" ht="28" customHeight="1">
      <c r="A107" s="13" t="inlineStr">
        <is>
          <t>DM-043</t>
        </is>
      </c>
      <c r="B107" s="14" t="inlineStr">
        <is>
          <t>Etapa 2: Construção das métricas | Atividade 7: Operacionalização das métricas | Atividade 8: Aplicação das métricas</t>
        </is>
      </c>
      <c r="C107" s="14" t="inlineStr">
        <is>
          <t>3. Aplicação da DM</t>
        </is>
      </c>
      <c r="D107" s="14" t="inlineStr">
        <is>
          <t>Boaventura</t>
        </is>
      </c>
      <c r="E107" s="15" t="inlineStr">
        <is>
          <t>Estruturação dos cálculos no excel - flora (Boaventura)</t>
        </is>
      </c>
      <c r="F107" s="13" t="inlineStr">
        <is>
          <t>Stephanie</t>
        </is>
      </c>
      <c r="G107" s="16">
        <f>IF($A107="","",_xlfn.TEXTJOIN("; ",TRUE,IF(COUNTIF('Clarice'!$B$6:$B$300,$A107)&gt;0,"Clarice",""),IF(COUNTIF('Luisa'!$B$6:$B$300,$A107)&gt;0,"Luisa",""),IF(COUNTIF('Lui'!$B$6:$B$300,$A107)&gt;0,"Lui",""),IF(COUNTIF('Thaís'!$B$6:$B$300,$A107)&gt;0,"Thaís",""),IF(COUNTIF('Daniel'!$B$6:$B$300,$A107)&gt;0,"Daniel",""),IF(COUNTIF('Fernando'!$B$6:$B$300,$A107)&gt;0,"Fernando",""),IF(COUNTIF('Stephanie'!$B$6:$B$300,$A107)&gt;0,"Stephanie",""),IF(COUNTIF('Fox'!$B$6:$B$300,$A107)&gt;0,"Fox",""),IF(COUNTIF('Bruna'!$B$6:$B$300,$A107)&gt;0,"Bruna",""),IF(COUNTIF('Stella'!$B$6:$B$300,$A107)&gt;0,"Stella",""),IF(COUNTIF('Igor'!$B$6:$B$300,$A107)&gt;0,"Igor","")))</f>
        <v/>
      </c>
      <c r="H107" s="13" t="n"/>
      <c r="I107" s="13" t="inlineStr">
        <is>
          <t>Não iniciado</t>
        </is>
      </c>
      <c r="J107" s="17">
        <f>IF(OR($A107="",(COUNTIF('Clarice'!$B$6:$B$300,$A107)+COUNTIF('Luisa'!$B$6:$B$300,$A107)+COUNTIF('Lui'!$B$6:$B$300,$A107)+COUNTIF('Thaís'!$B$6:$B$300,$A107)+COUNTIF('Daniel'!$B$6:$B$300,$A107)+COUNTIF('Fernando'!$B$6:$B$300,$A107)+COUNTIF('Stephanie'!$B$6:$B$300,$A107)+COUNTIF('Fox'!$B$6:$B$300,$A107)+COUNTIF('Bruna'!$B$6:$B$300,$A107)+COUNTIF('Stella'!$B$6:$B$300,$A107)+COUNTIF('Igor'!$B$6:$B$300,$A107))=0),"",(COUNTIFS('Clarice'!$B$6:$B$300,$A107,'Clarice'!$F$6:$F$300,"Concluído")+COUNTIFS('Luisa'!$B$6:$B$300,$A107,'Luisa'!$F$6:$F$300,"Concluído")+COUNTIFS('Lui'!$B$6:$B$300,$A107,'Lui'!$F$6:$F$300,"Concluído")+COUNTIFS('Thaís'!$B$6:$B$300,$A107,'Thaís'!$F$6:$F$300,"Concluído")+COUNTIFS('Daniel'!$B$6:$B$300,$A107,'Daniel'!$F$6:$F$300,"Concluído")+COUNTIFS('Fernando'!$B$6:$B$300,$A107,'Fernando'!$F$6:$F$300,"Concluído")+COUNTIFS('Stephanie'!$B$6:$B$300,$A107,'Stephanie'!$F$6:$F$300,"Concluído")+COUNTIFS('Fox'!$B$6:$B$300,$A107,'Fox'!$F$6:$F$300,"Concluído")+COUNTIFS('Bruna'!$B$6:$B$300,$A107,'Bruna'!$F$6:$F$300,"Concluído")+COUNTIFS('Stella'!$B$6:$B$300,$A107,'Stella'!$F$6:$F$300,"Concluído")+COUNTIFS('Igor'!$B$6:$B$300,$A107,'Igor'!$F$6:$F$300,"Concluído"))&amp;" / "&amp;(COUNTIF('Clarice'!$B$6:$B$300,$A107)+COUNTIF('Luisa'!$B$6:$B$300,$A107)+COUNTIF('Lui'!$B$6:$B$300,$A107)+COUNTIF('Thaís'!$B$6:$B$300,$A107)+COUNTIF('Daniel'!$B$6:$B$300,$A107)+COUNTIF('Fernando'!$B$6:$B$300,$A107)+COUNTIF('Stephanie'!$B$6:$B$300,$A107)+COUNTIF('Fox'!$B$6:$B$300,$A107)+COUNTIF('Bruna'!$B$6:$B$300,$A107)+COUNTIF('Stella'!$B$6:$B$300,$A107)+COUNTIF('Igor'!$B$6:$B$300,$A107)))</f>
        <v/>
      </c>
      <c r="K107" s="19" t="n"/>
      <c r="L107" s="19" t="n"/>
      <c r="M107" s="18" t="n">
        <v>46188</v>
      </c>
      <c r="N107" s="18" t="n">
        <v>46248</v>
      </c>
      <c r="O107" s="19" t="n"/>
      <c r="P107" s="20">
        <f>IF($A107="","",IF(M107&lt;&gt;"",M107,IF(K107&lt;&gt;"",K107,"")))</f>
        <v/>
      </c>
      <c r="Q107" s="20">
        <f>IF($A107="","",IF(N107&lt;&gt;"",N107,IF(L107&lt;&gt;"",L107,"")))</f>
        <v/>
      </c>
      <c r="R107" s="15" t="n"/>
      <c r="S107" s="16">
        <f t="array" ref="S107">IF($A107="","",_xlfn.TEXTJOIN(CHAR(10),TRUE,IF('Clarice'!$B$6:$B$300=$A107,"Clarice"&amp;IF('Clarice'!$E$6:$E$300="",""," : "&amp;'Clarice'!$E$6:$E$300)&amp;" ["&amp;'Clarice'!$F$6:$F$300&amp;"]",""),IF('Luisa'!$B$6:$B$300=$A107,"Luisa"&amp;IF('Luisa'!$E$6:$E$300="",""," : "&amp;'Luisa'!$E$6:$E$300)&amp;" ["&amp;'Luisa'!$F$6:$F$300&amp;"]",""),IF('Lui'!$B$6:$B$300=$A107,"Lui"&amp;IF('Lui'!$E$6:$E$300="",""," : "&amp;'Lui'!$E$6:$E$300)&amp;" ["&amp;'Lui'!$F$6:$F$300&amp;"]",""),IF('Thaís'!$B$6:$B$300=$A107,"Thaís"&amp;IF('Thaís'!$E$6:$E$300="",""," : "&amp;'Thaís'!$E$6:$E$300)&amp;" ["&amp;'Thaís'!$F$6:$F$300&amp;"]",""),IF('Daniel'!$B$6:$B$300=$A107,"Daniel"&amp;IF('Daniel'!$E$6:$E$300="",""," : "&amp;'Daniel'!$E$6:$E$300)&amp;" ["&amp;'Daniel'!$F$6:$F$300&amp;"]",""),IF('Fernando'!$B$6:$B$300=$A107,"Fernando"&amp;IF('Fernando'!$E$6:$E$300="",""," : "&amp;'Fernando'!$E$6:$E$300)&amp;" ["&amp;'Fernando'!$F$6:$F$300&amp;"]",""),IF('Stephanie'!$B$6:$B$300=$A107,"Stephanie"&amp;IF('Stephanie'!$E$6:$E$300="",""," : "&amp;'Stephanie'!$E$6:$E$300)&amp;" ["&amp;'Stephanie'!$F$6:$F$300&amp;"]",""),IF('Fox'!$B$6:$B$300=$A107,"Fox"&amp;IF('Fox'!$E$6:$E$300="",""," : "&amp;'Fox'!$E$6:$E$300)&amp;" ["&amp;'Fox'!$F$6:$F$300&amp;"]",""),IF('Bruna'!$B$6:$B$300=$A107,"Bruna"&amp;IF('Bruna'!$E$6:$E$300="",""," : "&amp;'Bruna'!$E$6:$E$300)&amp;" ["&amp;'Bruna'!$F$6:$F$300&amp;"]",""),IF('Stella'!$B$6:$B$300=$A107,"Stella"&amp;IF('Stella'!$E$6:$E$300="",""," : "&amp;'Stella'!$E$6:$E$300)&amp;" ["&amp;'Stella'!$F$6:$F$300&amp;"]",""),IF('Igor'!$B$6:$B$300=$A107,"Igor"&amp;IF('Igor'!$E$6:$E$300="",""," : "&amp;'Igor'!$E$6:$E$300)&amp;" ["&amp;'Igor'!$F$6:$F$300&amp;"]","")))</f>
        <v/>
      </c>
    </row>
    <row r="108" ht="28" customHeight="1">
      <c r="A108" s="13" t="inlineStr">
        <is>
          <t>DM-044</t>
        </is>
      </c>
      <c r="B108" s="14" t="inlineStr">
        <is>
          <t>Etapa 2: Construção das métricas | Atividade 7: Operacionalização das métricas | Atividade 8: Aplicação das métricas</t>
        </is>
      </c>
      <c r="C108" s="14" t="inlineStr">
        <is>
          <t>3. Aplicação da DM</t>
        </is>
      </c>
      <c r="D108" s="14" t="inlineStr">
        <is>
          <t>Boaventura</t>
        </is>
      </c>
      <c r="E108" s="15" t="inlineStr">
        <is>
          <t>Rodar a métrica - flora (Boaventura)</t>
        </is>
      </c>
      <c r="F108" s="13" t="inlineStr">
        <is>
          <t>Stephanie</t>
        </is>
      </c>
      <c r="G108" s="16">
        <f>IF($A108="","",_xlfn.TEXTJOIN("; ",TRUE,IF(COUNTIF('Clarice'!$B$6:$B$300,$A108)&gt;0,"Clarice",""),IF(COUNTIF('Luisa'!$B$6:$B$300,$A108)&gt;0,"Luisa",""),IF(COUNTIF('Lui'!$B$6:$B$300,$A108)&gt;0,"Lui",""),IF(COUNTIF('Thaís'!$B$6:$B$300,$A108)&gt;0,"Thaís",""),IF(COUNTIF('Daniel'!$B$6:$B$300,$A108)&gt;0,"Daniel",""),IF(COUNTIF('Fernando'!$B$6:$B$300,$A108)&gt;0,"Fernando",""),IF(COUNTIF('Stephanie'!$B$6:$B$300,$A108)&gt;0,"Stephanie",""),IF(COUNTIF('Fox'!$B$6:$B$300,$A108)&gt;0,"Fox",""),IF(COUNTIF('Bruna'!$B$6:$B$300,$A108)&gt;0,"Bruna",""),IF(COUNTIF('Stella'!$B$6:$B$300,$A108)&gt;0,"Stella",""),IF(COUNTIF('Igor'!$B$6:$B$300,$A108)&gt;0,"Igor","")))</f>
        <v/>
      </c>
      <c r="H108" s="13" t="n"/>
      <c r="I108" s="13" t="inlineStr">
        <is>
          <t>Não iniciado</t>
        </is>
      </c>
      <c r="J108" s="17">
        <f>IF(OR($A108="",(COUNTIF('Clarice'!$B$6:$B$300,$A108)+COUNTIF('Luisa'!$B$6:$B$300,$A108)+COUNTIF('Lui'!$B$6:$B$300,$A108)+COUNTIF('Thaís'!$B$6:$B$300,$A108)+COUNTIF('Daniel'!$B$6:$B$300,$A108)+COUNTIF('Fernando'!$B$6:$B$300,$A108)+COUNTIF('Stephanie'!$B$6:$B$300,$A108)+COUNTIF('Fox'!$B$6:$B$300,$A108)+COUNTIF('Bruna'!$B$6:$B$300,$A108)+COUNTIF('Stella'!$B$6:$B$300,$A108)+COUNTIF('Igor'!$B$6:$B$300,$A108))=0),"",(COUNTIFS('Clarice'!$B$6:$B$300,$A108,'Clarice'!$F$6:$F$300,"Concluído")+COUNTIFS('Luisa'!$B$6:$B$300,$A108,'Luisa'!$F$6:$F$300,"Concluído")+COUNTIFS('Lui'!$B$6:$B$300,$A108,'Lui'!$F$6:$F$300,"Concluído")+COUNTIFS('Thaís'!$B$6:$B$300,$A108,'Thaís'!$F$6:$F$300,"Concluído")+COUNTIFS('Daniel'!$B$6:$B$300,$A108,'Daniel'!$F$6:$F$300,"Concluído")+COUNTIFS('Fernando'!$B$6:$B$300,$A108,'Fernando'!$F$6:$F$300,"Concluído")+COUNTIFS('Stephanie'!$B$6:$B$300,$A108,'Stephanie'!$F$6:$F$300,"Concluído")+COUNTIFS('Fox'!$B$6:$B$300,$A108,'Fox'!$F$6:$F$300,"Concluído")+COUNTIFS('Bruna'!$B$6:$B$300,$A108,'Bruna'!$F$6:$F$300,"Concluído")+COUNTIFS('Stella'!$B$6:$B$300,$A108,'Stella'!$F$6:$F$300,"Concluído")+COUNTIFS('Igor'!$B$6:$B$300,$A108,'Igor'!$F$6:$F$300,"Concluído"))&amp;" / "&amp;(COUNTIF('Clarice'!$B$6:$B$300,$A108)+COUNTIF('Luisa'!$B$6:$B$300,$A108)+COUNTIF('Lui'!$B$6:$B$300,$A108)+COUNTIF('Thaís'!$B$6:$B$300,$A108)+COUNTIF('Daniel'!$B$6:$B$300,$A108)+COUNTIF('Fernando'!$B$6:$B$300,$A108)+COUNTIF('Stephanie'!$B$6:$B$300,$A108)+COUNTIF('Fox'!$B$6:$B$300,$A108)+COUNTIF('Bruna'!$B$6:$B$300,$A108)+COUNTIF('Stella'!$B$6:$B$300,$A108)+COUNTIF('Igor'!$B$6:$B$300,$A108)))</f>
        <v/>
      </c>
      <c r="K108" s="18" t="n">
        <v>46125</v>
      </c>
      <c r="L108" s="18" t="n">
        <v>46129</v>
      </c>
      <c r="M108" s="18" t="n">
        <v>46125</v>
      </c>
      <c r="N108" s="18" t="n">
        <v>46248</v>
      </c>
      <c r="O108" s="19" t="n"/>
      <c r="P108" s="20">
        <f>IF($A108="","",IF(M108&lt;&gt;"",M108,IF(K108&lt;&gt;"",K108,"")))</f>
        <v/>
      </c>
      <c r="Q108" s="20">
        <f>IF($A108="","",IF(N108&lt;&gt;"",N108,IF(L108&lt;&gt;"",L108,"")))</f>
        <v/>
      </c>
      <c r="R108" s="15" t="n"/>
      <c r="S108" s="16">
        <f t="array" ref="S108">IF($A108="","",_xlfn.TEXTJOIN(CHAR(10),TRUE,IF('Clarice'!$B$6:$B$300=$A108,"Clarice"&amp;IF('Clarice'!$E$6:$E$300="",""," : "&amp;'Clarice'!$E$6:$E$300)&amp;" ["&amp;'Clarice'!$F$6:$F$300&amp;"]",""),IF('Luisa'!$B$6:$B$300=$A108,"Luisa"&amp;IF('Luisa'!$E$6:$E$300="",""," : "&amp;'Luisa'!$E$6:$E$300)&amp;" ["&amp;'Luisa'!$F$6:$F$300&amp;"]",""),IF('Lui'!$B$6:$B$300=$A108,"Lui"&amp;IF('Lui'!$E$6:$E$300="",""," : "&amp;'Lui'!$E$6:$E$300)&amp;" ["&amp;'Lui'!$F$6:$F$300&amp;"]",""),IF('Thaís'!$B$6:$B$300=$A108,"Thaís"&amp;IF('Thaís'!$E$6:$E$300="",""," : "&amp;'Thaís'!$E$6:$E$300)&amp;" ["&amp;'Thaís'!$F$6:$F$300&amp;"]",""),IF('Daniel'!$B$6:$B$300=$A108,"Daniel"&amp;IF('Daniel'!$E$6:$E$300="",""," : "&amp;'Daniel'!$E$6:$E$300)&amp;" ["&amp;'Daniel'!$F$6:$F$300&amp;"]",""),IF('Fernando'!$B$6:$B$300=$A108,"Fernando"&amp;IF('Fernando'!$E$6:$E$300="",""," : "&amp;'Fernando'!$E$6:$E$300)&amp;" ["&amp;'Fernando'!$F$6:$F$300&amp;"]",""),IF('Stephanie'!$B$6:$B$300=$A108,"Stephanie"&amp;IF('Stephanie'!$E$6:$E$300="",""," : "&amp;'Stephanie'!$E$6:$E$300)&amp;" ["&amp;'Stephanie'!$F$6:$F$300&amp;"]",""),IF('Fox'!$B$6:$B$300=$A108,"Fox"&amp;IF('Fox'!$E$6:$E$300="",""," : "&amp;'Fox'!$E$6:$E$300)&amp;" ["&amp;'Fox'!$F$6:$F$300&amp;"]",""),IF('Bruna'!$B$6:$B$300=$A108,"Bruna"&amp;IF('Bruna'!$E$6:$E$300="",""," : "&amp;'Bruna'!$E$6:$E$300)&amp;" ["&amp;'Bruna'!$F$6:$F$300&amp;"]",""),IF('Stella'!$B$6:$B$300=$A108,"Stella"&amp;IF('Stella'!$E$6:$E$300="",""," : "&amp;'Stella'!$E$6:$E$300)&amp;" ["&amp;'Stella'!$F$6:$F$300&amp;"]",""),IF('Igor'!$B$6:$B$300=$A108,"Igor"&amp;IF('Igor'!$E$6:$E$300="",""," : "&amp;'Igor'!$E$6:$E$300)&amp;" ["&amp;'Igor'!$F$6:$F$300&amp;"]","")))</f>
        <v/>
      </c>
    </row>
    <row r="109" ht="28" customHeight="1">
      <c r="A109" s="13" t="inlineStr">
        <is>
          <t>DM-045</t>
        </is>
      </c>
      <c r="B109" s="14" t="inlineStr">
        <is>
          <t>Etapa 2: Construção das métricas | Atividade 7: Operacionalização das métricas | Atividade 8: Aplicação das métricas</t>
        </is>
      </c>
      <c r="C109" s="14" t="inlineStr">
        <is>
          <t>3. Aplicação da DM</t>
        </is>
      </c>
      <c r="D109" s="14" t="inlineStr">
        <is>
          <t>Boaventura</t>
        </is>
      </c>
      <c r="E109" s="15" t="inlineStr">
        <is>
          <t>Apresentar e consolidar os resultados internamente - flora (Boaventura)</t>
        </is>
      </c>
      <c r="F109" s="13" t="inlineStr">
        <is>
          <t>Stephanie</t>
        </is>
      </c>
      <c r="G109" s="16">
        <f>IF($A109="","",_xlfn.TEXTJOIN("; ",TRUE,IF(COUNTIF('Clarice'!$B$6:$B$300,$A109)&gt;0,"Clarice",""),IF(COUNTIF('Luisa'!$B$6:$B$300,$A109)&gt;0,"Luisa",""),IF(COUNTIF('Lui'!$B$6:$B$300,$A109)&gt;0,"Lui",""),IF(COUNTIF('Thaís'!$B$6:$B$300,$A109)&gt;0,"Thaís",""),IF(COUNTIF('Daniel'!$B$6:$B$300,$A109)&gt;0,"Daniel",""),IF(COUNTIF('Fernando'!$B$6:$B$300,$A109)&gt;0,"Fernando",""),IF(COUNTIF('Stephanie'!$B$6:$B$300,$A109)&gt;0,"Stephanie",""),IF(COUNTIF('Fox'!$B$6:$B$300,$A109)&gt;0,"Fox",""),IF(COUNTIF('Bruna'!$B$6:$B$300,$A109)&gt;0,"Bruna",""),IF(COUNTIF('Stella'!$B$6:$B$300,$A109)&gt;0,"Stella",""),IF(COUNTIF('Igor'!$B$6:$B$300,$A109)&gt;0,"Igor","")))</f>
        <v/>
      </c>
      <c r="H109" s="13" t="n"/>
      <c r="I109" s="13" t="inlineStr">
        <is>
          <t>Não iniciado</t>
        </is>
      </c>
      <c r="J109" s="17">
        <f>IF(OR($A109="",(COUNTIF('Clarice'!$B$6:$B$300,$A109)+COUNTIF('Luisa'!$B$6:$B$300,$A109)+COUNTIF('Lui'!$B$6:$B$300,$A109)+COUNTIF('Thaís'!$B$6:$B$300,$A109)+COUNTIF('Daniel'!$B$6:$B$300,$A109)+COUNTIF('Fernando'!$B$6:$B$300,$A109)+COUNTIF('Stephanie'!$B$6:$B$300,$A109)+COUNTIF('Fox'!$B$6:$B$300,$A109)+COUNTIF('Bruna'!$B$6:$B$300,$A109)+COUNTIF('Stella'!$B$6:$B$300,$A109)+COUNTIF('Igor'!$B$6:$B$300,$A109))=0),"",(COUNTIFS('Clarice'!$B$6:$B$300,$A109,'Clarice'!$F$6:$F$300,"Concluído")+COUNTIFS('Luisa'!$B$6:$B$300,$A109,'Luisa'!$F$6:$F$300,"Concluído")+COUNTIFS('Lui'!$B$6:$B$300,$A109,'Lui'!$F$6:$F$300,"Concluído")+COUNTIFS('Thaís'!$B$6:$B$300,$A109,'Thaís'!$F$6:$F$300,"Concluído")+COUNTIFS('Daniel'!$B$6:$B$300,$A109,'Daniel'!$F$6:$F$300,"Concluído")+COUNTIFS('Fernando'!$B$6:$B$300,$A109,'Fernando'!$F$6:$F$300,"Concluído")+COUNTIFS('Stephanie'!$B$6:$B$300,$A109,'Stephanie'!$F$6:$F$300,"Concluído")+COUNTIFS('Fox'!$B$6:$B$300,$A109,'Fox'!$F$6:$F$300,"Concluído")+COUNTIFS('Bruna'!$B$6:$B$300,$A109,'Bruna'!$F$6:$F$300,"Concluído")+COUNTIFS('Stella'!$B$6:$B$300,$A109,'Stella'!$F$6:$F$300,"Concluído")+COUNTIFS('Igor'!$B$6:$B$300,$A109,'Igor'!$F$6:$F$300,"Concluído"))&amp;" / "&amp;(COUNTIF('Clarice'!$B$6:$B$300,$A109)+COUNTIF('Luisa'!$B$6:$B$300,$A109)+COUNTIF('Lui'!$B$6:$B$300,$A109)+COUNTIF('Thaís'!$B$6:$B$300,$A109)+COUNTIF('Daniel'!$B$6:$B$300,$A109)+COUNTIF('Fernando'!$B$6:$B$300,$A109)+COUNTIF('Stephanie'!$B$6:$B$300,$A109)+COUNTIF('Fox'!$B$6:$B$300,$A109)+COUNTIF('Bruna'!$B$6:$B$300,$A109)+COUNTIF('Stella'!$B$6:$B$300,$A109)+COUNTIF('Igor'!$B$6:$B$300,$A109)))</f>
        <v/>
      </c>
      <c r="K109" s="18" t="n">
        <v>46132</v>
      </c>
      <c r="L109" s="18" t="n">
        <v>46136</v>
      </c>
      <c r="M109" s="18" t="n">
        <v>46132</v>
      </c>
      <c r="N109" s="18" t="n">
        <v>46255</v>
      </c>
      <c r="O109" s="19" t="n"/>
      <c r="P109" s="20">
        <f>IF($A109="","",IF(M109&lt;&gt;"",M109,IF(K109&lt;&gt;"",K109,"")))</f>
        <v/>
      </c>
      <c r="Q109" s="20">
        <f>IF($A109="","",IF(N109&lt;&gt;"",N109,IF(L109&lt;&gt;"",L109,"")))</f>
        <v/>
      </c>
      <c r="R109" s="15" t="n"/>
      <c r="S109" s="16">
        <f t="array" ref="S109">IF($A109="","",_xlfn.TEXTJOIN(CHAR(10),TRUE,IF('Clarice'!$B$6:$B$300=$A109,"Clarice"&amp;IF('Clarice'!$E$6:$E$300="",""," : "&amp;'Clarice'!$E$6:$E$300)&amp;" ["&amp;'Clarice'!$F$6:$F$300&amp;"]",""),IF('Luisa'!$B$6:$B$300=$A109,"Luisa"&amp;IF('Luisa'!$E$6:$E$300="",""," : "&amp;'Luisa'!$E$6:$E$300)&amp;" ["&amp;'Luisa'!$F$6:$F$300&amp;"]",""),IF('Lui'!$B$6:$B$300=$A109,"Lui"&amp;IF('Lui'!$E$6:$E$300="",""," : "&amp;'Lui'!$E$6:$E$300)&amp;" ["&amp;'Lui'!$F$6:$F$300&amp;"]",""),IF('Thaís'!$B$6:$B$300=$A109,"Thaís"&amp;IF('Thaís'!$E$6:$E$300="",""," : "&amp;'Thaís'!$E$6:$E$300)&amp;" ["&amp;'Thaís'!$F$6:$F$300&amp;"]",""),IF('Daniel'!$B$6:$B$300=$A109,"Daniel"&amp;IF('Daniel'!$E$6:$E$300="",""," : "&amp;'Daniel'!$E$6:$E$300)&amp;" ["&amp;'Daniel'!$F$6:$F$300&amp;"]",""),IF('Fernando'!$B$6:$B$300=$A109,"Fernando"&amp;IF('Fernando'!$E$6:$E$300="",""," : "&amp;'Fernando'!$E$6:$E$300)&amp;" ["&amp;'Fernando'!$F$6:$F$300&amp;"]",""),IF('Stephanie'!$B$6:$B$300=$A109,"Stephanie"&amp;IF('Stephanie'!$E$6:$E$300="",""," : "&amp;'Stephanie'!$E$6:$E$300)&amp;" ["&amp;'Stephanie'!$F$6:$F$300&amp;"]",""),IF('Fox'!$B$6:$B$300=$A109,"Fox"&amp;IF('Fox'!$E$6:$E$300="",""," : "&amp;'Fox'!$E$6:$E$300)&amp;" ["&amp;'Fox'!$F$6:$F$300&amp;"]",""),IF('Bruna'!$B$6:$B$300=$A109,"Bruna"&amp;IF('Bruna'!$E$6:$E$300="",""," : "&amp;'Bruna'!$E$6:$E$300)&amp;" ["&amp;'Bruna'!$F$6:$F$300&amp;"]",""),IF('Stella'!$B$6:$B$300=$A109,"Stella"&amp;IF('Stella'!$E$6:$E$300="",""," : "&amp;'Stella'!$E$6:$E$300)&amp;" ["&amp;'Stella'!$F$6:$F$300&amp;"]",""),IF('Igor'!$B$6:$B$300=$A109,"Igor"&amp;IF('Igor'!$E$6:$E$300="",""," : "&amp;'Igor'!$E$6:$E$300)&amp;" ["&amp;'Igor'!$F$6:$F$300&amp;"]","")))</f>
        <v/>
      </c>
    </row>
    <row r="110" ht="28" customHeight="1">
      <c r="A110" s="13" t="inlineStr">
        <is>
          <t>DM-046</t>
        </is>
      </c>
      <c r="B110" s="14" t="inlineStr">
        <is>
          <t>Etapa 2: Construção das métricas | Atividade 7: Operacionalização das métricas | Atividade 8: Aplicação das métricas</t>
        </is>
      </c>
      <c r="C110" s="14" t="inlineStr">
        <is>
          <t>3. Aplicação da DM</t>
        </is>
      </c>
      <c r="D110" s="14" t="inlineStr">
        <is>
          <t>Boaventura</t>
        </is>
      </c>
      <c r="E110" s="15" t="inlineStr">
        <is>
          <t>Identificar lacunas de dados para recomendar para a Petrobras - flora (Boaventura)</t>
        </is>
      </c>
      <c r="F110" s="13" t="inlineStr">
        <is>
          <t>Stephanie</t>
        </is>
      </c>
      <c r="G110" s="16">
        <f>IF($A110="","",_xlfn.TEXTJOIN("; ",TRUE,IF(COUNTIF('Clarice'!$B$6:$B$300,$A110)&gt;0,"Clarice",""),IF(COUNTIF('Luisa'!$B$6:$B$300,$A110)&gt;0,"Luisa",""),IF(COUNTIF('Lui'!$B$6:$B$300,$A110)&gt;0,"Lui",""),IF(COUNTIF('Thaís'!$B$6:$B$300,$A110)&gt;0,"Thaís",""),IF(COUNTIF('Daniel'!$B$6:$B$300,$A110)&gt;0,"Daniel",""),IF(COUNTIF('Fernando'!$B$6:$B$300,$A110)&gt;0,"Fernando",""),IF(COUNTIF('Stephanie'!$B$6:$B$300,$A110)&gt;0,"Stephanie",""),IF(COUNTIF('Fox'!$B$6:$B$300,$A110)&gt;0,"Fox",""),IF(COUNTIF('Bruna'!$B$6:$B$300,$A110)&gt;0,"Bruna",""),IF(COUNTIF('Stella'!$B$6:$B$300,$A110)&gt;0,"Stella",""),IF(COUNTIF('Igor'!$B$6:$B$300,$A110)&gt;0,"Igor","")))</f>
        <v/>
      </c>
      <c r="H110" s="13" t="n"/>
      <c r="I110" s="13" t="inlineStr">
        <is>
          <t>Não iniciado</t>
        </is>
      </c>
      <c r="J110" s="17">
        <f>IF(OR($A110="",(COUNTIF('Clarice'!$B$6:$B$300,$A110)+COUNTIF('Luisa'!$B$6:$B$300,$A110)+COUNTIF('Lui'!$B$6:$B$300,$A110)+COUNTIF('Thaís'!$B$6:$B$300,$A110)+COUNTIF('Daniel'!$B$6:$B$300,$A110)+COUNTIF('Fernando'!$B$6:$B$300,$A110)+COUNTIF('Stephanie'!$B$6:$B$300,$A110)+COUNTIF('Fox'!$B$6:$B$300,$A110)+COUNTIF('Bruna'!$B$6:$B$300,$A110)+COUNTIF('Stella'!$B$6:$B$300,$A110)+COUNTIF('Igor'!$B$6:$B$300,$A110))=0),"",(COUNTIFS('Clarice'!$B$6:$B$300,$A110,'Clarice'!$F$6:$F$300,"Concluído")+COUNTIFS('Luisa'!$B$6:$B$300,$A110,'Luisa'!$F$6:$F$300,"Concluído")+COUNTIFS('Lui'!$B$6:$B$300,$A110,'Lui'!$F$6:$F$300,"Concluído")+COUNTIFS('Thaís'!$B$6:$B$300,$A110,'Thaís'!$F$6:$F$300,"Concluído")+COUNTIFS('Daniel'!$B$6:$B$300,$A110,'Daniel'!$F$6:$F$300,"Concluído")+COUNTIFS('Fernando'!$B$6:$B$300,$A110,'Fernando'!$F$6:$F$300,"Concluído")+COUNTIFS('Stephanie'!$B$6:$B$300,$A110,'Stephanie'!$F$6:$F$300,"Concluído")+COUNTIFS('Fox'!$B$6:$B$300,$A110,'Fox'!$F$6:$F$300,"Concluído")+COUNTIFS('Bruna'!$B$6:$B$300,$A110,'Bruna'!$F$6:$F$300,"Concluído")+COUNTIFS('Stella'!$B$6:$B$300,$A110,'Stella'!$F$6:$F$300,"Concluído")+COUNTIFS('Igor'!$B$6:$B$300,$A110,'Igor'!$F$6:$F$300,"Concluído"))&amp;" / "&amp;(COUNTIF('Clarice'!$B$6:$B$300,$A110)+COUNTIF('Luisa'!$B$6:$B$300,$A110)+COUNTIF('Lui'!$B$6:$B$300,$A110)+COUNTIF('Thaís'!$B$6:$B$300,$A110)+COUNTIF('Daniel'!$B$6:$B$300,$A110)+COUNTIF('Fernando'!$B$6:$B$300,$A110)+COUNTIF('Stephanie'!$B$6:$B$300,$A110)+COUNTIF('Fox'!$B$6:$B$300,$A110)+COUNTIF('Bruna'!$B$6:$B$300,$A110)+COUNTIF('Stella'!$B$6:$B$300,$A110)+COUNTIF('Igor'!$B$6:$B$300,$A110)))</f>
        <v/>
      </c>
      <c r="K110" s="18" t="n">
        <v>46132</v>
      </c>
      <c r="L110" s="18" t="n">
        <v>46136</v>
      </c>
      <c r="M110" s="18" t="n">
        <v>46132</v>
      </c>
      <c r="N110" s="18" t="n">
        <v>46283</v>
      </c>
      <c r="O110" s="19" t="n"/>
      <c r="P110" s="20">
        <f>IF($A110="","",IF(M110&lt;&gt;"",M110,IF(K110&lt;&gt;"",K110,"")))</f>
        <v/>
      </c>
      <c r="Q110" s="20">
        <f>IF($A110="","",IF(N110&lt;&gt;"",N110,IF(L110&lt;&gt;"",L110,"")))</f>
        <v/>
      </c>
      <c r="R110" s="15" t="n"/>
      <c r="S110" s="16">
        <f t="array" ref="S110">IF($A110="","",_xlfn.TEXTJOIN(CHAR(10),TRUE,IF('Clarice'!$B$6:$B$300=$A110,"Clarice"&amp;IF('Clarice'!$E$6:$E$300="",""," : "&amp;'Clarice'!$E$6:$E$300)&amp;" ["&amp;'Clarice'!$F$6:$F$300&amp;"]",""),IF('Luisa'!$B$6:$B$300=$A110,"Luisa"&amp;IF('Luisa'!$E$6:$E$300="",""," : "&amp;'Luisa'!$E$6:$E$300)&amp;" ["&amp;'Luisa'!$F$6:$F$300&amp;"]",""),IF('Lui'!$B$6:$B$300=$A110,"Lui"&amp;IF('Lui'!$E$6:$E$300="",""," : "&amp;'Lui'!$E$6:$E$300)&amp;" ["&amp;'Lui'!$F$6:$F$300&amp;"]",""),IF('Thaís'!$B$6:$B$300=$A110,"Thaís"&amp;IF('Thaís'!$E$6:$E$300="",""," : "&amp;'Thaís'!$E$6:$E$300)&amp;" ["&amp;'Thaís'!$F$6:$F$300&amp;"]",""),IF('Daniel'!$B$6:$B$300=$A110,"Daniel"&amp;IF('Daniel'!$E$6:$E$300="",""," : "&amp;'Daniel'!$E$6:$E$300)&amp;" ["&amp;'Daniel'!$F$6:$F$300&amp;"]",""),IF('Fernando'!$B$6:$B$300=$A110,"Fernando"&amp;IF('Fernando'!$E$6:$E$300="",""," : "&amp;'Fernando'!$E$6:$E$300)&amp;" ["&amp;'Fernando'!$F$6:$F$300&amp;"]",""),IF('Stephanie'!$B$6:$B$300=$A110,"Stephanie"&amp;IF('Stephanie'!$E$6:$E$300="",""," : "&amp;'Stephanie'!$E$6:$E$300)&amp;" ["&amp;'Stephanie'!$F$6:$F$300&amp;"]",""),IF('Fox'!$B$6:$B$300=$A110,"Fox"&amp;IF('Fox'!$E$6:$E$300="",""," : "&amp;'Fox'!$E$6:$E$300)&amp;" ["&amp;'Fox'!$F$6:$F$300&amp;"]",""),IF('Bruna'!$B$6:$B$300=$A110,"Bruna"&amp;IF('Bruna'!$E$6:$E$300="",""," : "&amp;'Bruna'!$E$6:$E$300)&amp;" ["&amp;'Bruna'!$F$6:$F$300&amp;"]",""),IF('Stella'!$B$6:$B$300=$A110,"Stella"&amp;IF('Stella'!$E$6:$E$300="",""," : "&amp;'Stella'!$E$6:$E$300)&amp;" ["&amp;'Stella'!$F$6:$F$300&amp;"]",""),IF('Igor'!$B$6:$B$300=$A110,"Igor"&amp;IF('Igor'!$E$6:$E$300="",""," : "&amp;'Igor'!$E$6:$E$300)&amp;" ["&amp;'Igor'!$F$6:$F$300&amp;"]","")))</f>
        <v/>
      </c>
    </row>
    <row r="111" ht="40.5" customHeight="1">
      <c r="A111" s="13" t="inlineStr">
        <is>
          <t>DM-047</t>
        </is>
      </c>
      <c r="B111" s="14" t="inlineStr">
        <is>
          <t>Etapa 2: Construção das métricas | Atividade 7: Operacionalização das métricas | Atividade 8: Aplicação das métricas</t>
        </is>
      </c>
      <c r="C111" s="14" t="inlineStr">
        <is>
          <t>3. Aplicação da DM</t>
        </is>
      </c>
      <c r="D111" s="14" t="inlineStr">
        <is>
          <t>Boaventura</t>
        </is>
      </c>
      <c r="E111" s="15" t="inlineStr">
        <is>
          <t>Definir a estratégia de aplicação - fauna terrestre (Boaventura)</t>
        </is>
      </c>
      <c r="F111" s="13" t="inlineStr">
        <is>
          <t>Stephanie</t>
        </is>
      </c>
      <c r="G111" s="16">
        <f>IF($A111="","",_xlfn.TEXTJOIN("; ",TRUE,IF(COUNTIF('Clarice'!$B$6:$B$300,$A111)&gt;0,"Clarice",""),IF(COUNTIF('Luisa'!$B$6:$B$300,$A111)&gt;0,"Luisa",""),IF(COUNTIF('Lui'!$B$6:$B$300,$A111)&gt;0,"Lui",""),IF(COUNTIF('Thaís'!$B$6:$B$300,$A111)&gt;0,"Thaís",""),IF(COUNTIF('Daniel'!$B$6:$B$300,$A111)&gt;0,"Daniel",""),IF(COUNTIF('Fernando'!$B$6:$B$300,$A111)&gt;0,"Fernando",""),IF(COUNTIF('Stephanie'!$B$6:$B$300,$A111)&gt;0,"Stephanie",""),IF(COUNTIF('Fox'!$B$6:$B$300,$A111)&gt;0,"Fox",""),IF(COUNTIF('Bruna'!$B$6:$B$300,$A111)&gt;0,"Bruna",""),IF(COUNTIF('Stella'!$B$6:$B$300,$A111)&gt;0,"Stella",""),IF(COUNTIF('Igor'!$B$6:$B$300,$A111)&gt;0,"Igor","")))</f>
        <v/>
      </c>
      <c r="H111" s="13" t="n"/>
      <c r="I111" s="13" t="inlineStr">
        <is>
          <t>Não iniciado</t>
        </is>
      </c>
      <c r="J111" s="17">
        <f>IF(OR($A111="",(COUNTIF('Clarice'!$B$6:$B$300,$A111)+COUNTIF('Luisa'!$B$6:$B$300,$A111)+COUNTIF('Lui'!$B$6:$B$300,$A111)+COUNTIF('Thaís'!$B$6:$B$300,$A111)+COUNTIF('Daniel'!$B$6:$B$300,$A111)+COUNTIF('Fernando'!$B$6:$B$300,$A111)+COUNTIF('Stephanie'!$B$6:$B$300,$A111)+COUNTIF('Fox'!$B$6:$B$300,$A111)+COUNTIF('Bruna'!$B$6:$B$300,$A111)+COUNTIF('Stella'!$B$6:$B$300,$A111)+COUNTIF('Igor'!$B$6:$B$300,$A111))=0),"",(COUNTIFS('Clarice'!$B$6:$B$300,$A111,'Clarice'!$F$6:$F$300,"Concluído")+COUNTIFS('Luisa'!$B$6:$B$300,$A111,'Luisa'!$F$6:$F$300,"Concluído")+COUNTIFS('Lui'!$B$6:$B$300,$A111,'Lui'!$F$6:$F$300,"Concluído")+COUNTIFS('Thaís'!$B$6:$B$300,$A111,'Thaís'!$F$6:$F$300,"Concluído")+COUNTIFS('Daniel'!$B$6:$B$300,$A111,'Daniel'!$F$6:$F$300,"Concluído")+COUNTIFS('Fernando'!$B$6:$B$300,$A111,'Fernando'!$F$6:$F$300,"Concluído")+COUNTIFS('Stephanie'!$B$6:$B$300,$A111,'Stephanie'!$F$6:$F$300,"Concluído")+COUNTIFS('Fox'!$B$6:$B$300,$A111,'Fox'!$F$6:$F$300,"Concluído")+COUNTIFS('Bruna'!$B$6:$B$300,$A111,'Bruna'!$F$6:$F$300,"Concluído")+COUNTIFS('Stella'!$B$6:$B$300,$A111,'Stella'!$F$6:$F$300,"Concluído")+COUNTIFS('Igor'!$B$6:$B$300,$A111,'Igor'!$F$6:$F$300,"Concluído"))&amp;" / "&amp;(COUNTIF('Clarice'!$B$6:$B$300,$A111)+COUNTIF('Luisa'!$B$6:$B$300,$A111)+COUNTIF('Lui'!$B$6:$B$300,$A111)+COUNTIF('Thaís'!$B$6:$B$300,$A111)+COUNTIF('Daniel'!$B$6:$B$300,$A111)+COUNTIF('Fernando'!$B$6:$B$300,$A111)+COUNTIF('Stephanie'!$B$6:$B$300,$A111)+COUNTIF('Fox'!$B$6:$B$300,$A111)+COUNTIF('Bruna'!$B$6:$B$300,$A111)+COUNTIF('Stella'!$B$6:$B$300,$A111)+COUNTIF('Igor'!$B$6:$B$300,$A111)))</f>
        <v/>
      </c>
      <c r="K111" s="18" t="n">
        <v>46132</v>
      </c>
      <c r="L111" s="18" t="n">
        <v>46142</v>
      </c>
      <c r="M111" s="18" t="n">
        <v>46132</v>
      </c>
      <c r="N111" s="18" t="n">
        <v>46248</v>
      </c>
      <c r="O111" s="19" t="n"/>
      <c r="P111" s="20">
        <f>IF($A111="","",IF(M111&lt;&gt;"",M111,IF(K111&lt;&gt;"",K111,"")))</f>
        <v/>
      </c>
      <c r="Q111" s="20">
        <f>IF($A111="","",IF(N111&lt;&gt;"",N111,IF(L111&lt;&gt;"",L111,"")))</f>
        <v/>
      </c>
      <c r="R111" s="15" t="inlineStr">
        <is>
          <t>Verificar se essa parte da fauna vai ficar com o Lui</t>
        </is>
      </c>
      <c r="S111" s="16">
        <f t="array" ref="S111">IF($A111="","",_xlfn.TEXTJOIN(CHAR(10),TRUE,IF('Clarice'!$B$6:$B$300=$A111,"Clarice"&amp;IF('Clarice'!$E$6:$E$300="",""," : "&amp;'Clarice'!$E$6:$E$300)&amp;" ["&amp;'Clarice'!$F$6:$F$300&amp;"]",""),IF('Luisa'!$B$6:$B$300=$A111,"Luisa"&amp;IF('Luisa'!$E$6:$E$300="",""," : "&amp;'Luisa'!$E$6:$E$300)&amp;" ["&amp;'Luisa'!$F$6:$F$300&amp;"]",""),IF('Lui'!$B$6:$B$300=$A111,"Lui"&amp;IF('Lui'!$E$6:$E$300="",""," : "&amp;'Lui'!$E$6:$E$300)&amp;" ["&amp;'Lui'!$F$6:$F$300&amp;"]",""),IF('Thaís'!$B$6:$B$300=$A111,"Thaís"&amp;IF('Thaís'!$E$6:$E$300="",""," : "&amp;'Thaís'!$E$6:$E$300)&amp;" ["&amp;'Thaís'!$F$6:$F$300&amp;"]",""),IF('Daniel'!$B$6:$B$300=$A111,"Daniel"&amp;IF('Daniel'!$E$6:$E$300="",""," : "&amp;'Daniel'!$E$6:$E$300)&amp;" ["&amp;'Daniel'!$F$6:$F$300&amp;"]",""),IF('Fernando'!$B$6:$B$300=$A111,"Fernando"&amp;IF('Fernando'!$E$6:$E$300="",""," : "&amp;'Fernando'!$E$6:$E$300)&amp;" ["&amp;'Fernando'!$F$6:$F$300&amp;"]",""),IF('Stephanie'!$B$6:$B$300=$A111,"Stephanie"&amp;IF('Stephanie'!$E$6:$E$300="",""," : "&amp;'Stephanie'!$E$6:$E$300)&amp;" ["&amp;'Stephanie'!$F$6:$F$300&amp;"]",""),IF('Fox'!$B$6:$B$300=$A111,"Fox"&amp;IF('Fox'!$E$6:$E$300="",""," : "&amp;'Fox'!$E$6:$E$300)&amp;" ["&amp;'Fox'!$F$6:$F$300&amp;"]",""),IF('Bruna'!$B$6:$B$300=$A111,"Bruna"&amp;IF('Bruna'!$E$6:$E$300="",""," : "&amp;'Bruna'!$E$6:$E$300)&amp;" ["&amp;'Bruna'!$F$6:$F$300&amp;"]",""),IF('Stella'!$B$6:$B$300=$A111,"Stella"&amp;IF('Stella'!$E$6:$E$300="",""," : "&amp;'Stella'!$E$6:$E$300)&amp;" ["&amp;'Stella'!$F$6:$F$300&amp;"]",""),IF('Igor'!$B$6:$B$300=$A111,"Igor"&amp;IF('Igor'!$E$6:$E$300="",""," : "&amp;'Igor'!$E$6:$E$300)&amp;" ["&amp;'Igor'!$F$6:$F$300&amp;"]","")))</f>
        <v/>
      </c>
    </row>
    <row r="112" ht="40.5" customHeight="1">
      <c r="A112" s="13" t="inlineStr">
        <is>
          <t>DM-048</t>
        </is>
      </c>
      <c r="B112" s="14" t="inlineStr">
        <is>
          <t>Etapa 2: Construção das métricas | Atividade 7: Operacionalização das métricas | Atividade 8: Aplicação das métricas</t>
        </is>
      </c>
      <c r="C112" s="14" t="inlineStr">
        <is>
          <t>3. Aplicação da DM</t>
        </is>
      </c>
      <c r="D112" s="14" t="inlineStr">
        <is>
          <t>Boaventura</t>
        </is>
      </c>
      <c r="E112" s="15" t="inlineStr">
        <is>
          <t>Avaliar disponibilidade de informação temporal e espacial para aplicação da métrica - fauna terrestre (Boaventura)</t>
        </is>
      </c>
      <c r="F112" s="13" t="inlineStr">
        <is>
          <t>Stephanie</t>
        </is>
      </c>
      <c r="G112" s="16">
        <f>IF($A112="","",_xlfn.TEXTJOIN("; ",TRUE,IF(COUNTIF('Clarice'!$B$6:$B$300,$A112)&gt;0,"Clarice",""),IF(COUNTIF('Luisa'!$B$6:$B$300,$A112)&gt;0,"Luisa",""),IF(COUNTIF('Lui'!$B$6:$B$300,$A112)&gt;0,"Lui",""),IF(COUNTIF('Thaís'!$B$6:$B$300,$A112)&gt;0,"Thaís",""),IF(COUNTIF('Daniel'!$B$6:$B$300,$A112)&gt;0,"Daniel",""),IF(COUNTIF('Fernando'!$B$6:$B$300,$A112)&gt;0,"Fernando",""),IF(COUNTIF('Stephanie'!$B$6:$B$300,$A112)&gt;0,"Stephanie",""),IF(COUNTIF('Fox'!$B$6:$B$300,$A112)&gt;0,"Fox",""),IF(COUNTIF('Bruna'!$B$6:$B$300,$A112)&gt;0,"Bruna",""),IF(COUNTIF('Stella'!$B$6:$B$300,$A112)&gt;0,"Stella",""),IF(COUNTIF('Igor'!$B$6:$B$300,$A112)&gt;0,"Igor","")))</f>
        <v/>
      </c>
      <c r="H112" s="13" t="n"/>
      <c r="I112" s="13" t="inlineStr">
        <is>
          <t>Não iniciado</t>
        </is>
      </c>
      <c r="J112" s="17">
        <f>IF(OR($A112="",(COUNTIF('Clarice'!$B$6:$B$300,$A112)+COUNTIF('Luisa'!$B$6:$B$300,$A112)+COUNTIF('Lui'!$B$6:$B$300,$A112)+COUNTIF('Thaís'!$B$6:$B$300,$A112)+COUNTIF('Daniel'!$B$6:$B$300,$A112)+COUNTIF('Fernando'!$B$6:$B$300,$A112)+COUNTIF('Stephanie'!$B$6:$B$300,$A112)+COUNTIF('Fox'!$B$6:$B$300,$A112)+COUNTIF('Bruna'!$B$6:$B$300,$A112)+COUNTIF('Stella'!$B$6:$B$300,$A112)+COUNTIF('Igor'!$B$6:$B$300,$A112))=0),"",(COUNTIFS('Clarice'!$B$6:$B$300,$A112,'Clarice'!$F$6:$F$300,"Concluído")+COUNTIFS('Luisa'!$B$6:$B$300,$A112,'Luisa'!$F$6:$F$300,"Concluído")+COUNTIFS('Lui'!$B$6:$B$300,$A112,'Lui'!$F$6:$F$300,"Concluído")+COUNTIFS('Thaís'!$B$6:$B$300,$A112,'Thaís'!$F$6:$F$300,"Concluído")+COUNTIFS('Daniel'!$B$6:$B$300,$A112,'Daniel'!$F$6:$F$300,"Concluído")+COUNTIFS('Fernando'!$B$6:$B$300,$A112,'Fernando'!$F$6:$F$300,"Concluído")+COUNTIFS('Stephanie'!$B$6:$B$300,$A112,'Stephanie'!$F$6:$F$300,"Concluído")+COUNTIFS('Fox'!$B$6:$B$300,$A112,'Fox'!$F$6:$F$300,"Concluído")+COUNTIFS('Bruna'!$B$6:$B$300,$A112,'Bruna'!$F$6:$F$300,"Concluído")+COUNTIFS('Stella'!$B$6:$B$300,$A112,'Stella'!$F$6:$F$300,"Concluído")+COUNTIFS('Igor'!$B$6:$B$300,$A112,'Igor'!$F$6:$F$300,"Concluído"))&amp;" / "&amp;(COUNTIF('Clarice'!$B$6:$B$300,$A112)+COUNTIF('Luisa'!$B$6:$B$300,$A112)+COUNTIF('Lui'!$B$6:$B$300,$A112)+COUNTIF('Thaís'!$B$6:$B$300,$A112)+COUNTIF('Daniel'!$B$6:$B$300,$A112)+COUNTIF('Fernando'!$B$6:$B$300,$A112)+COUNTIF('Stephanie'!$B$6:$B$300,$A112)+COUNTIF('Fox'!$B$6:$B$300,$A112)+COUNTIF('Bruna'!$B$6:$B$300,$A112)+COUNTIF('Stella'!$B$6:$B$300,$A112)+COUNTIF('Igor'!$B$6:$B$300,$A112)))</f>
        <v/>
      </c>
      <c r="K112" s="19" t="n"/>
      <c r="L112" s="19" t="n"/>
      <c r="M112" s="18" t="n">
        <v>46223</v>
      </c>
      <c r="N112" s="18" t="n">
        <v>46248</v>
      </c>
      <c r="O112" s="19" t="n"/>
      <c r="P112" s="20">
        <f>IF($A112="","",IF(M112&lt;&gt;"",M112,IF(K112&lt;&gt;"",K112,"")))</f>
        <v/>
      </c>
      <c r="Q112" s="20">
        <f>IF($A112="","",IF(N112&lt;&gt;"",N112,IF(L112&lt;&gt;"",L112,"")))</f>
        <v/>
      </c>
      <c r="R112" s="15" t="n"/>
      <c r="S112" s="16">
        <f t="array" ref="S112">IF($A112="","",_xlfn.TEXTJOIN(CHAR(10),TRUE,IF('Clarice'!$B$6:$B$300=$A112,"Clarice"&amp;IF('Clarice'!$E$6:$E$300="",""," : "&amp;'Clarice'!$E$6:$E$300)&amp;" ["&amp;'Clarice'!$F$6:$F$300&amp;"]",""),IF('Luisa'!$B$6:$B$300=$A112,"Luisa"&amp;IF('Luisa'!$E$6:$E$300="",""," : "&amp;'Luisa'!$E$6:$E$300)&amp;" ["&amp;'Luisa'!$F$6:$F$300&amp;"]",""),IF('Lui'!$B$6:$B$300=$A112,"Lui"&amp;IF('Lui'!$E$6:$E$300="",""," : "&amp;'Lui'!$E$6:$E$300)&amp;" ["&amp;'Lui'!$F$6:$F$300&amp;"]",""),IF('Thaís'!$B$6:$B$300=$A112,"Thaís"&amp;IF('Thaís'!$E$6:$E$300="",""," : "&amp;'Thaís'!$E$6:$E$300)&amp;" ["&amp;'Thaís'!$F$6:$F$300&amp;"]",""),IF('Daniel'!$B$6:$B$300=$A112,"Daniel"&amp;IF('Daniel'!$E$6:$E$300="",""," : "&amp;'Daniel'!$E$6:$E$300)&amp;" ["&amp;'Daniel'!$F$6:$F$300&amp;"]",""),IF('Fernando'!$B$6:$B$300=$A112,"Fernando"&amp;IF('Fernando'!$E$6:$E$300="",""," : "&amp;'Fernando'!$E$6:$E$300)&amp;" ["&amp;'Fernando'!$F$6:$F$300&amp;"]",""),IF('Stephanie'!$B$6:$B$300=$A112,"Stephanie"&amp;IF('Stephanie'!$E$6:$E$300="",""," : "&amp;'Stephanie'!$E$6:$E$300)&amp;" ["&amp;'Stephanie'!$F$6:$F$300&amp;"]",""),IF('Fox'!$B$6:$B$300=$A112,"Fox"&amp;IF('Fox'!$E$6:$E$300="",""," : "&amp;'Fox'!$E$6:$E$300)&amp;" ["&amp;'Fox'!$F$6:$F$300&amp;"]",""),IF('Bruna'!$B$6:$B$300=$A112,"Bruna"&amp;IF('Bruna'!$E$6:$E$300="",""," : "&amp;'Bruna'!$E$6:$E$300)&amp;" ["&amp;'Bruna'!$F$6:$F$300&amp;"]",""),IF('Stella'!$B$6:$B$300=$A112,"Stella"&amp;IF('Stella'!$E$6:$E$300="",""," : "&amp;'Stella'!$E$6:$E$300)&amp;" ["&amp;'Stella'!$F$6:$F$300&amp;"]",""),IF('Igor'!$B$6:$B$300=$A112,"Igor"&amp;IF('Igor'!$E$6:$E$300="",""," : "&amp;'Igor'!$E$6:$E$300)&amp;" ["&amp;'Igor'!$F$6:$F$300&amp;"]","")))</f>
        <v/>
      </c>
    </row>
    <row r="113" ht="40.5" customHeight="1">
      <c r="A113" s="13" t="inlineStr">
        <is>
          <t>DM-049</t>
        </is>
      </c>
      <c r="B113" s="14" t="inlineStr">
        <is>
          <t>Etapa 2: Construção das métricas | Atividade 7: Operacionalização das métricas | Atividade 8: Aplicação das métricas</t>
        </is>
      </c>
      <c r="C113" s="14" t="inlineStr">
        <is>
          <t>3. Aplicação da DM</t>
        </is>
      </c>
      <c r="D113" s="14" t="inlineStr">
        <is>
          <t>Boaventura</t>
        </is>
      </c>
      <c r="E113" s="15" t="inlineStr">
        <is>
          <t>Definir tipo, componente e atributos - fauna terrestre (Boaventura)</t>
        </is>
      </c>
      <c r="F113" s="13" t="inlineStr">
        <is>
          <t>Stephanie</t>
        </is>
      </c>
      <c r="G113" s="16">
        <f>IF($A113="","",_xlfn.TEXTJOIN("; ",TRUE,IF(COUNTIF('Clarice'!$B$6:$B$300,$A113)&gt;0,"Clarice",""),IF(COUNTIF('Luisa'!$B$6:$B$300,$A113)&gt;0,"Luisa",""),IF(COUNTIF('Lui'!$B$6:$B$300,$A113)&gt;0,"Lui",""),IF(COUNTIF('Thaís'!$B$6:$B$300,$A113)&gt;0,"Thaís",""),IF(COUNTIF('Daniel'!$B$6:$B$300,$A113)&gt;0,"Daniel",""),IF(COUNTIF('Fernando'!$B$6:$B$300,$A113)&gt;0,"Fernando",""),IF(COUNTIF('Stephanie'!$B$6:$B$300,$A113)&gt;0,"Stephanie",""),IF(COUNTIF('Fox'!$B$6:$B$300,$A113)&gt;0,"Fox",""),IF(COUNTIF('Bruna'!$B$6:$B$300,$A113)&gt;0,"Bruna",""),IF(COUNTIF('Stella'!$B$6:$B$300,$A113)&gt;0,"Stella",""),IF(COUNTIF('Igor'!$B$6:$B$300,$A113)&gt;0,"Igor","")))</f>
        <v/>
      </c>
      <c r="H113" s="13" t="n"/>
      <c r="I113" s="13" t="inlineStr">
        <is>
          <t>Não iniciado</t>
        </is>
      </c>
      <c r="J113" s="17">
        <f>IF(OR($A113="",(COUNTIF('Clarice'!$B$6:$B$300,$A113)+COUNTIF('Luisa'!$B$6:$B$300,$A113)+COUNTIF('Lui'!$B$6:$B$300,$A113)+COUNTIF('Thaís'!$B$6:$B$300,$A113)+COUNTIF('Daniel'!$B$6:$B$300,$A113)+COUNTIF('Fernando'!$B$6:$B$300,$A113)+COUNTIF('Stephanie'!$B$6:$B$300,$A113)+COUNTIF('Fox'!$B$6:$B$300,$A113)+COUNTIF('Bruna'!$B$6:$B$300,$A113)+COUNTIF('Stella'!$B$6:$B$300,$A113)+COUNTIF('Igor'!$B$6:$B$300,$A113))=0),"",(COUNTIFS('Clarice'!$B$6:$B$300,$A113,'Clarice'!$F$6:$F$300,"Concluído")+COUNTIFS('Luisa'!$B$6:$B$300,$A113,'Luisa'!$F$6:$F$300,"Concluído")+COUNTIFS('Lui'!$B$6:$B$300,$A113,'Lui'!$F$6:$F$300,"Concluído")+COUNTIFS('Thaís'!$B$6:$B$300,$A113,'Thaís'!$F$6:$F$300,"Concluído")+COUNTIFS('Daniel'!$B$6:$B$300,$A113,'Daniel'!$F$6:$F$300,"Concluído")+COUNTIFS('Fernando'!$B$6:$B$300,$A113,'Fernando'!$F$6:$F$300,"Concluído")+COUNTIFS('Stephanie'!$B$6:$B$300,$A113,'Stephanie'!$F$6:$F$300,"Concluído")+COUNTIFS('Fox'!$B$6:$B$300,$A113,'Fox'!$F$6:$F$300,"Concluído")+COUNTIFS('Bruna'!$B$6:$B$300,$A113,'Bruna'!$F$6:$F$300,"Concluído")+COUNTIFS('Stella'!$B$6:$B$300,$A113,'Stella'!$F$6:$F$300,"Concluído")+COUNTIFS('Igor'!$B$6:$B$300,$A113,'Igor'!$F$6:$F$300,"Concluído"))&amp;" / "&amp;(COUNTIF('Clarice'!$B$6:$B$300,$A113)+COUNTIF('Luisa'!$B$6:$B$300,$A113)+COUNTIF('Lui'!$B$6:$B$300,$A113)+COUNTIF('Thaís'!$B$6:$B$300,$A113)+COUNTIF('Daniel'!$B$6:$B$300,$A113)+COUNTIF('Fernando'!$B$6:$B$300,$A113)+COUNTIF('Stephanie'!$B$6:$B$300,$A113)+COUNTIF('Fox'!$B$6:$B$300,$A113)+COUNTIF('Bruna'!$B$6:$B$300,$A113)+COUNTIF('Stella'!$B$6:$B$300,$A113)+COUNTIF('Igor'!$B$6:$B$300,$A113)))</f>
        <v/>
      </c>
      <c r="K113" s="18" t="n">
        <v>46132</v>
      </c>
      <c r="L113" s="18" t="n">
        <v>46142</v>
      </c>
      <c r="M113" s="18" t="n">
        <v>46132</v>
      </c>
      <c r="N113" s="18" t="n">
        <v>46248</v>
      </c>
      <c r="O113" s="19" t="n"/>
      <c r="P113" s="20">
        <f>IF($A113="","",IF(M113&lt;&gt;"",M113,IF(K113&lt;&gt;"",K113,"")))</f>
        <v/>
      </c>
      <c r="Q113" s="20">
        <f>IF($A113="","",IF(N113&lt;&gt;"",N113,IF(L113&lt;&gt;"",L113,"")))</f>
        <v/>
      </c>
      <c r="R113" s="15" t="n"/>
      <c r="S113" s="16">
        <f t="array" ref="S113">IF($A113="","",_xlfn.TEXTJOIN(CHAR(10),TRUE,IF('Clarice'!$B$6:$B$300=$A113,"Clarice"&amp;IF('Clarice'!$E$6:$E$300="",""," : "&amp;'Clarice'!$E$6:$E$300)&amp;" ["&amp;'Clarice'!$F$6:$F$300&amp;"]",""),IF('Luisa'!$B$6:$B$300=$A113,"Luisa"&amp;IF('Luisa'!$E$6:$E$300="",""," : "&amp;'Luisa'!$E$6:$E$300)&amp;" ["&amp;'Luisa'!$F$6:$F$300&amp;"]",""),IF('Lui'!$B$6:$B$300=$A113,"Lui"&amp;IF('Lui'!$E$6:$E$300="",""," : "&amp;'Lui'!$E$6:$E$300)&amp;" ["&amp;'Lui'!$F$6:$F$300&amp;"]",""),IF('Thaís'!$B$6:$B$300=$A113,"Thaís"&amp;IF('Thaís'!$E$6:$E$300="",""," : "&amp;'Thaís'!$E$6:$E$300)&amp;" ["&amp;'Thaís'!$F$6:$F$300&amp;"]",""),IF('Daniel'!$B$6:$B$300=$A113,"Daniel"&amp;IF('Daniel'!$E$6:$E$300="",""," : "&amp;'Daniel'!$E$6:$E$300)&amp;" ["&amp;'Daniel'!$F$6:$F$300&amp;"]",""),IF('Fernando'!$B$6:$B$300=$A113,"Fernando"&amp;IF('Fernando'!$E$6:$E$300="",""," : "&amp;'Fernando'!$E$6:$E$300)&amp;" ["&amp;'Fernando'!$F$6:$F$300&amp;"]",""),IF('Stephanie'!$B$6:$B$300=$A113,"Stephanie"&amp;IF('Stephanie'!$E$6:$E$300="",""," : "&amp;'Stephanie'!$E$6:$E$300)&amp;" ["&amp;'Stephanie'!$F$6:$F$300&amp;"]",""),IF('Fox'!$B$6:$B$300=$A113,"Fox"&amp;IF('Fox'!$E$6:$E$300="",""," : "&amp;'Fox'!$E$6:$E$300)&amp;" ["&amp;'Fox'!$F$6:$F$300&amp;"]",""),IF('Bruna'!$B$6:$B$300=$A113,"Bruna"&amp;IF('Bruna'!$E$6:$E$300="",""," : "&amp;'Bruna'!$E$6:$E$300)&amp;" ["&amp;'Bruna'!$F$6:$F$300&amp;"]",""),IF('Stella'!$B$6:$B$300=$A113,"Stella"&amp;IF('Stella'!$E$6:$E$300="",""," : "&amp;'Stella'!$E$6:$E$300)&amp;" ["&amp;'Stella'!$F$6:$F$300&amp;"]",""),IF('Igor'!$B$6:$B$300=$A113,"Igor"&amp;IF('Igor'!$E$6:$E$300="",""," : "&amp;'Igor'!$E$6:$E$300)&amp;" ["&amp;'Igor'!$F$6:$F$300&amp;"]","")))</f>
        <v/>
      </c>
    </row>
    <row r="114" ht="40.5" customHeight="1">
      <c r="A114" s="13" t="inlineStr">
        <is>
          <t>DM-050</t>
        </is>
      </c>
      <c r="B114" s="14" t="inlineStr">
        <is>
          <t>Etapa 2: Construção das métricas | Atividade 7: Operacionalização das métricas | Atividade 8: Aplicação das métricas</t>
        </is>
      </c>
      <c r="C114" s="14" t="inlineStr">
        <is>
          <t>3. Aplicação da DM</t>
        </is>
      </c>
      <c r="D114" s="14" t="inlineStr">
        <is>
          <t>Boaventura</t>
        </is>
      </c>
      <c r="E114" s="15" t="inlineStr">
        <is>
          <t>Definir os dados usados para cálculo de perdas e ganhos - fauna terrestre (Boaventura)</t>
        </is>
      </c>
      <c r="F114" s="13" t="inlineStr">
        <is>
          <t>Stephanie</t>
        </is>
      </c>
      <c r="G114" s="16">
        <f>IF($A114="","",_xlfn.TEXTJOIN("; ",TRUE,IF(COUNTIF('Clarice'!$B$6:$B$300,$A114)&gt;0,"Clarice",""),IF(COUNTIF('Luisa'!$B$6:$B$300,$A114)&gt;0,"Luisa",""),IF(COUNTIF('Lui'!$B$6:$B$300,$A114)&gt;0,"Lui",""),IF(COUNTIF('Thaís'!$B$6:$B$300,$A114)&gt;0,"Thaís",""),IF(COUNTIF('Daniel'!$B$6:$B$300,$A114)&gt;0,"Daniel",""),IF(COUNTIF('Fernando'!$B$6:$B$300,$A114)&gt;0,"Fernando",""),IF(COUNTIF('Stephanie'!$B$6:$B$300,$A114)&gt;0,"Stephanie",""),IF(COUNTIF('Fox'!$B$6:$B$300,$A114)&gt;0,"Fox",""),IF(COUNTIF('Bruna'!$B$6:$B$300,$A114)&gt;0,"Bruna",""),IF(COUNTIF('Stella'!$B$6:$B$300,$A114)&gt;0,"Stella",""),IF(COUNTIF('Igor'!$B$6:$B$300,$A114)&gt;0,"Igor","")))</f>
        <v/>
      </c>
      <c r="H114" s="13" t="n"/>
      <c r="I114" s="13" t="inlineStr">
        <is>
          <t>Não iniciado</t>
        </is>
      </c>
      <c r="J114" s="17">
        <f>IF(OR($A114="",(COUNTIF('Clarice'!$B$6:$B$300,$A114)+COUNTIF('Luisa'!$B$6:$B$300,$A114)+COUNTIF('Lui'!$B$6:$B$300,$A114)+COUNTIF('Thaís'!$B$6:$B$300,$A114)+COUNTIF('Daniel'!$B$6:$B$300,$A114)+COUNTIF('Fernando'!$B$6:$B$300,$A114)+COUNTIF('Stephanie'!$B$6:$B$300,$A114)+COUNTIF('Fox'!$B$6:$B$300,$A114)+COUNTIF('Bruna'!$B$6:$B$300,$A114)+COUNTIF('Stella'!$B$6:$B$300,$A114)+COUNTIF('Igor'!$B$6:$B$300,$A114))=0),"",(COUNTIFS('Clarice'!$B$6:$B$300,$A114,'Clarice'!$F$6:$F$300,"Concluído")+COUNTIFS('Luisa'!$B$6:$B$300,$A114,'Luisa'!$F$6:$F$300,"Concluído")+COUNTIFS('Lui'!$B$6:$B$300,$A114,'Lui'!$F$6:$F$300,"Concluído")+COUNTIFS('Thaís'!$B$6:$B$300,$A114,'Thaís'!$F$6:$F$300,"Concluído")+COUNTIFS('Daniel'!$B$6:$B$300,$A114,'Daniel'!$F$6:$F$300,"Concluído")+COUNTIFS('Fernando'!$B$6:$B$300,$A114,'Fernando'!$F$6:$F$300,"Concluído")+COUNTIFS('Stephanie'!$B$6:$B$300,$A114,'Stephanie'!$F$6:$F$300,"Concluído")+COUNTIFS('Fox'!$B$6:$B$300,$A114,'Fox'!$F$6:$F$300,"Concluído")+COUNTIFS('Bruna'!$B$6:$B$300,$A114,'Bruna'!$F$6:$F$300,"Concluído")+COUNTIFS('Stella'!$B$6:$B$300,$A114,'Stella'!$F$6:$F$300,"Concluído")+COUNTIFS('Igor'!$B$6:$B$300,$A114,'Igor'!$F$6:$F$300,"Concluído"))&amp;" / "&amp;(COUNTIF('Clarice'!$B$6:$B$300,$A114)+COUNTIF('Luisa'!$B$6:$B$300,$A114)+COUNTIF('Lui'!$B$6:$B$300,$A114)+COUNTIF('Thaís'!$B$6:$B$300,$A114)+COUNTIF('Daniel'!$B$6:$B$300,$A114)+COUNTIF('Fernando'!$B$6:$B$300,$A114)+COUNTIF('Stephanie'!$B$6:$B$300,$A114)+COUNTIF('Fox'!$B$6:$B$300,$A114)+COUNTIF('Bruna'!$B$6:$B$300,$A114)+COUNTIF('Stella'!$B$6:$B$300,$A114)+COUNTIF('Igor'!$B$6:$B$300,$A114)))</f>
        <v/>
      </c>
      <c r="K114" s="19" t="n"/>
      <c r="L114" s="19" t="n"/>
      <c r="M114" s="18" t="n">
        <v>46223</v>
      </c>
      <c r="N114" s="18" t="n">
        <v>46248</v>
      </c>
      <c r="O114" s="19" t="n"/>
      <c r="P114" s="20">
        <f>IF($A114="","",IF(M114&lt;&gt;"",M114,IF(K114&lt;&gt;"",K114,"")))</f>
        <v/>
      </c>
      <c r="Q114" s="20">
        <f>IF($A114="","",IF(N114&lt;&gt;"",N114,IF(L114&lt;&gt;"",L114,"")))</f>
        <v/>
      </c>
      <c r="R114" s="15" t="n"/>
      <c r="S114" s="16">
        <f t="array" ref="S114">IF($A114="","",_xlfn.TEXTJOIN(CHAR(10),TRUE,IF('Clarice'!$B$6:$B$300=$A114,"Clarice"&amp;IF('Clarice'!$E$6:$E$300="",""," : "&amp;'Clarice'!$E$6:$E$300)&amp;" ["&amp;'Clarice'!$F$6:$F$300&amp;"]",""),IF('Luisa'!$B$6:$B$300=$A114,"Luisa"&amp;IF('Luisa'!$E$6:$E$300="",""," : "&amp;'Luisa'!$E$6:$E$300)&amp;" ["&amp;'Luisa'!$F$6:$F$300&amp;"]",""),IF('Lui'!$B$6:$B$300=$A114,"Lui"&amp;IF('Lui'!$E$6:$E$300="",""," : "&amp;'Lui'!$E$6:$E$300)&amp;" ["&amp;'Lui'!$F$6:$F$300&amp;"]",""),IF('Thaís'!$B$6:$B$300=$A114,"Thaís"&amp;IF('Thaís'!$E$6:$E$300="",""," : "&amp;'Thaís'!$E$6:$E$300)&amp;" ["&amp;'Thaís'!$F$6:$F$300&amp;"]",""),IF('Daniel'!$B$6:$B$300=$A114,"Daniel"&amp;IF('Daniel'!$E$6:$E$300="",""," : "&amp;'Daniel'!$E$6:$E$300)&amp;" ["&amp;'Daniel'!$F$6:$F$300&amp;"]",""),IF('Fernando'!$B$6:$B$300=$A114,"Fernando"&amp;IF('Fernando'!$E$6:$E$300="",""," : "&amp;'Fernando'!$E$6:$E$300)&amp;" ["&amp;'Fernando'!$F$6:$F$300&amp;"]",""),IF('Stephanie'!$B$6:$B$300=$A114,"Stephanie"&amp;IF('Stephanie'!$E$6:$E$300="",""," : "&amp;'Stephanie'!$E$6:$E$300)&amp;" ["&amp;'Stephanie'!$F$6:$F$300&amp;"]",""),IF('Fox'!$B$6:$B$300=$A114,"Fox"&amp;IF('Fox'!$E$6:$E$300="",""," : "&amp;'Fox'!$E$6:$E$300)&amp;" ["&amp;'Fox'!$F$6:$F$300&amp;"]",""),IF('Bruna'!$B$6:$B$300=$A114,"Bruna"&amp;IF('Bruna'!$E$6:$E$300="",""," : "&amp;'Bruna'!$E$6:$E$300)&amp;" ["&amp;'Bruna'!$F$6:$F$300&amp;"]",""),IF('Stella'!$B$6:$B$300=$A114,"Stella"&amp;IF('Stella'!$E$6:$E$300="",""," : "&amp;'Stella'!$E$6:$E$300)&amp;" ["&amp;'Stella'!$F$6:$F$300&amp;"]",""),IF('Igor'!$B$6:$B$300=$A114,"Igor"&amp;IF('Igor'!$E$6:$E$300="",""," : "&amp;'Igor'!$E$6:$E$300)&amp;" ["&amp;'Igor'!$F$6:$F$300&amp;"]","")))</f>
        <v/>
      </c>
    </row>
    <row r="115" ht="40.5" customHeight="1">
      <c r="A115" s="13" t="inlineStr">
        <is>
          <t>DM-051</t>
        </is>
      </c>
      <c r="B115" s="14" t="inlineStr">
        <is>
          <t>Etapa 2: Construção das métricas | Atividade 7: Operacionalização das métricas | Atividade 8: Aplicação das métricas</t>
        </is>
      </c>
      <c r="C115" s="14" t="inlineStr">
        <is>
          <t>3. Aplicação da DM</t>
        </is>
      </c>
      <c r="D115" s="14" t="inlineStr">
        <is>
          <t>Boaventura</t>
        </is>
      </c>
      <c r="E115" s="15" t="inlineStr">
        <is>
          <t>Definir parâmetros e fatores de ajuste - fauna terrestre (Boaventura)</t>
        </is>
      </c>
      <c r="F115" s="13" t="inlineStr">
        <is>
          <t>Stephanie</t>
        </is>
      </c>
      <c r="G115" s="16">
        <f>IF($A115="","",_xlfn.TEXTJOIN("; ",TRUE,IF(COUNTIF('Clarice'!$B$6:$B$300,$A115)&gt;0,"Clarice",""),IF(COUNTIF('Luisa'!$B$6:$B$300,$A115)&gt;0,"Luisa",""),IF(COUNTIF('Lui'!$B$6:$B$300,$A115)&gt;0,"Lui",""),IF(COUNTIF('Thaís'!$B$6:$B$300,$A115)&gt;0,"Thaís",""),IF(COUNTIF('Daniel'!$B$6:$B$300,$A115)&gt;0,"Daniel",""),IF(COUNTIF('Fernando'!$B$6:$B$300,$A115)&gt;0,"Fernando",""),IF(COUNTIF('Stephanie'!$B$6:$B$300,$A115)&gt;0,"Stephanie",""),IF(COUNTIF('Fox'!$B$6:$B$300,$A115)&gt;0,"Fox",""),IF(COUNTIF('Bruna'!$B$6:$B$300,$A115)&gt;0,"Bruna",""),IF(COUNTIF('Stella'!$B$6:$B$300,$A115)&gt;0,"Stella",""),IF(COUNTIF('Igor'!$B$6:$B$300,$A115)&gt;0,"Igor","")))</f>
        <v/>
      </c>
      <c r="H115" s="13" t="n"/>
      <c r="I115" s="13" t="inlineStr">
        <is>
          <t>Não iniciado</t>
        </is>
      </c>
      <c r="J115" s="17">
        <f>IF(OR($A115="",(COUNTIF('Clarice'!$B$6:$B$300,$A115)+COUNTIF('Luisa'!$B$6:$B$300,$A115)+COUNTIF('Lui'!$B$6:$B$300,$A115)+COUNTIF('Thaís'!$B$6:$B$300,$A115)+COUNTIF('Daniel'!$B$6:$B$300,$A115)+COUNTIF('Fernando'!$B$6:$B$300,$A115)+COUNTIF('Stephanie'!$B$6:$B$300,$A115)+COUNTIF('Fox'!$B$6:$B$300,$A115)+COUNTIF('Bruna'!$B$6:$B$300,$A115)+COUNTIF('Stella'!$B$6:$B$300,$A115)+COUNTIF('Igor'!$B$6:$B$300,$A115))=0),"",(COUNTIFS('Clarice'!$B$6:$B$300,$A115,'Clarice'!$F$6:$F$300,"Concluído")+COUNTIFS('Luisa'!$B$6:$B$300,$A115,'Luisa'!$F$6:$F$300,"Concluído")+COUNTIFS('Lui'!$B$6:$B$300,$A115,'Lui'!$F$6:$F$300,"Concluído")+COUNTIFS('Thaís'!$B$6:$B$300,$A115,'Thaís'!$F$6:$F$300,"Concluído")+COUNTIFS('Daniel'!$B$6:$B$300,$A115,'Daniel'!$F$6:$F$300,"Concluído")+COUNTIFS('Fernando'!$B$6:$B$300,$A115,'Fernando'!$F$6:$F$300,"Concluído")+COUNTIFS('Stephanie'!$B$6:$B$300,$A115,'Stephanie'!$F$6:$F$300,"Concluído")+COUNTIFS('Fox'!$B$6:$B$300,$A115,'Fox'!$F$6:$F$300,"Concluído")+COUNTIFS('Bruna'!$B$6:$B$300,$A115,'Bruna'!$F$6:$F$300,"Concluído")+COUNTIFS('Stella'!$B$6:$B$300,$A115,'Stella'!$F$6:$F$300,"Concluído")+COUNTIFS('Igor'!$B$6:$B$300,$A115,'Igor'!$F$6:$F$300,"Concluído"))&amp;" / "&amp;(COUNTIF('Clarice'!$B$6:$B$300,$A115)+COUNTIF('Luisa'!$B$6:$B$300,$A115)+COUNTIF('Lui'!$B$6:$B$300,$A115)+COUNTIF('Thaís'!$B$6:$B$300,$A115)+COUNTIF('Daniel'!$B$6:$B$300,$A115)+COUNTIF('Fernando'!$B$6:$B$300,$A115)+COUNTIF('Stephanie'!$B$6:$B$300,$A115)+COUNTIF('Fox'!$B$6:$B$300,$A115)+COUNTIF('Bruna'!$B$6:$B$300,$A115)+COUNTIF('Stella'!$B$6:$B$300,$A115)+COUNTIF('Igor'!$B$6:$B$300,$A115)))</f>
        <v/>
      </c>
      <c r="K115" s="19" t="n"/>
      <c r="L115" s="19" t="n"/>
      <c r="M115" s="18" t="n">
        <v>46223</v>
      </c>
      <c r="N115" s="18" t="n">
        <v>46248</v>
      </c>
      <c r="O115" s="19" t="n"/>
      <c r="P115" s="20">
        <f>IF($A115="","",IF(M115&lt;&gt;"",M115,IF(K115&lt;&gt;"",K115,"")))</f>
        <v/>
      </c>
      <c r="Q115" s="20">
        <f>IF($A115="","",IF(N115&lt;&gt;"",N115,IF(L115&lt;&gt;"",L115,"")))</f>
        <v/>
      </c>
      <c r="R115" s="15" t="n"/>
      <c r="S115" s="16">
        <f t="array" ref="S115">IF($A115="","",_xlfn.TEXTJOIN(CHAR(10),TRUE,IF('Clarice'!$B$6:$B$300=$A115,"Clarice"&amp;IF('Clarice'!$E$6:$E$300="",""," : "&amp;'Clarice'!$E$6:$E$300)&amp;" ["&amp;'Clarice'!$F$6:$F$300&amp;"]",""),IF('Luisa'!$B$6:$B$300=$A115,"Luisa"&amp;IF('Luisa'!$E$6:$E$300="",""," : "&amp;'Luisa'!$E$6:$E$300)&amp;" ["&amp;'Luisa'!$F$6:$F$300&amp;"]",""),IF('Lui'!$B$6:$B$300=$A115,"Lui"&amp;IF('Lui'!$E$6:$E$300="",""," : "&amp;'Lui'!$E$6:$E$300)&amp;" ["&amp;'Lui'!$F$6:$F$300&amp;"]",""),IF('Thaís'!$B$6:$B$300=$A115,"Thaís"&amp;IF('Thaís'!$E$6:$E$300="",""," : "&amp;'Thaís'!$E$6:$E$300)&amp;" ["&amp;'Thaís'!$F$6:$F$300&amp;"]",""),IF('Daniel'!$B$6:$B$300=$A115,"Daniel"&amp;IF('Daniel'!$E$6:$E$300="",""," : "&amp;'Daniel'!$E$6:$E$300)&amp;" ["&amp;'Daniel'!$F$6:$F$300&amp;"]",""),IF('Fernando'!$B$6:$B$300=$A115,"Fernando"&amp;IF('Fernando'!$E$6:$E$300="",""," : "&amp;'Fernando'!$E$6:$E$300)&amp;" ["&amp;'Fernando'!$F$6:$F$300&amp;"]",""),IF('Stephanie'!$B$6:$B$300=$A115,"Stephanie"&amp;IF('Stephanie'!$E$6:$E$300="",""," : "&amp;'Stephanie'!$E$6:$E$300)&amp;" ["&amp;'Stephanie'!$F$6:$F$300&amp;"]",""),IF('Fox'!$B$6:$B$300=$A115,"Fox"&amp;IF('Fox'!$E$6:$E$300="",""," : "&amp;'Fox'!$E$6:$E$300)&amp;" ["&amp;'Fox'!$F$6:$F$300&amp;"]",""),IF('Bruna'!$B$6:$B$300=$A115,"Bruna"&amp;IF('Bruna'!$E$6:$E$300="",""," : "&amp;'Bruna'!$E$6:$E$300)&amp;" ["&amp;'Bruna'!$F$6:$F$300&amp;"]",""),IF('Stella'!$B$6:$B$300=$A115,"Stella"&amp;IF('Stella'!$E$6:$E$300="",""," : "&amp;'Stella'!$E$6:$E$300)&amp;" ["&amp;'Stella'!$F$6:$F$300&amp;"]",""),IF('Igor'!$B$6:$B$300=$A115,"Igor"&amp;IF('Igor'!$E$6:$E$300="",""," : "&amp;'Igor'!$E$6:$E$300)&amp;" ["&amp;'Igor'!$F$6:$F$300&amp;"]","")))</f>
        <v/>
      </c>
    </row>
    <row r="116" ht="40.5" customHeight="1">
      <c r="A116" s="13" t="inlineStr">
        <is>
          <t>DM-052</t>
        </is>
      </c>
      <c r="B116" s="14" t="inlineStr">
        <is>
          <t>Etapa 2: Construção das métricas | Atividade 7: Operacionalização das métricas | Atividade 8: Aplicação das métricas</t>
        </is>
      </c>
      <c r="C116" s="14" t="inlineStr">
        <is>
          <t>3. Aplicação da DM</t>
        </is>
      </c>
      <c r="D116" s="14" t="inlineStr">
        <is>
          <t>Boaventura</t>
        </is>
      </c>
      <c r="E116" s="15" t="inlineStr">
        <is>
          <t>Estruturação dos cálculos no excel - fauna terrestre (Boaventura)</t>
        </is>
      </c>
      <c r="F116" s="13" t="inlineStr">
        <is>
          <t>Stephanie</t>
        </is>
      </c>
      <c r="G116" s="16">
        <f>IF($A116="","",_xlfn.TEXTJOIN("; ",TRUE,IF(COUNTIF('Clarice'!$B$6:$B$300,$A116)&gt;0,"Clarice",""),IF(COUNTIF('Luisa'!$B$6:$B$300,$A116)&gt;0,"Luisa",""),IF(COUNTIF('Lui'!$B$6:$B$300,$A116)&gt;0,"Lui",""),IF(COUNTIF('Thaís'!$B$6:$B$300,$A116)&gt;0,"Thaís",""),IF(COUNTIF('Daniel'!$B$6:$B$300,$A116)&gt;0,"Daniel",""),IF(COUNTIF('Fernando'!$B$6:$B$300,$A116)&gt;0,"Fernando",""),IF(COUNTIF('Stephanie'!$B$6:$B$300,$A116)&gt;0,"Stephanie",""),IF(COUNTIF('Fox'!$B$6:$B$300,$A116)&gt;0,"Fox",""),IF(COUNTIF('Bruna'!$B$6:$B$300,$A116)&gt;0,"Bruna",""),IF(COUNTIF('Stella'!$B$6:$B$300,$A116)&gt;0,"Stella",""),IF(COUNTIF('Igor'!$B$6:$B$300,$A116)&gt;0,"Igor","")))</f>
        <v/>
      </c>
      <c r="H116" s="13" t="n"/>
      <c r="I116" s="13" t="inlineStr">
        <is>
          <t>Não iniciado</t>
        </is>
      </c>
      <c r="J116" s="17">
        <f>IF(OR($A116="",(COUNTIF('Clarice'!$B$6:$B$300,$A116)+COUNTIF('Luisa'!$B$6:$B$300,$A116)+COUNTIF('Lui'!$B$6:$B$300,$A116)+COUNTIF('Thaís'!$B$6:$B$300,$A116)+COUNTIF('Daniel'!$B$6:$B$300,$A116)+COUNTIF('Fernando'!$B$6:$B$300,$A116)+COUNTIF('Stephanie'!$B$6:$B$300,$A116)+COUNTIF('Fox'!$B$6:$B$300,$A116)+COUNTIF('Bruna'!$B$6:$B$300,$A116)+COUNTIF('Stella'!$B$6:$B$300,$A116)+COUNTIF('Igor'!$B$6:$B$300,$A116))=0),"",(COUNTIFS('Clarice'!$B$6:$B$300,$A116,'Clarice'!$F$6:$F$300,"Concluído")+COUNTIFS('Luisa'!$B$6:$B$300,$A116,'Luisa'!$F$6:$F$300,"Concluído")+COUNTIFS('Lui'!$B$6:$B$300,$A116,'Lui'!$F$6:$F$300,"Concluído")+COUNTIFS('Thaís'!$B$6:$B$300,$A116,'Thaís'!$F$6:$F$300,"Concluído")+COUNTIFS('Daniel'!$B$6:$B$300,$A116,'Daniel'!$F$6:$F$300,"Concluído")+COUNTIFS('Fernando'!$B$6:$B$300,$A116,'Fernando'!$F$6:$F$300,"Concluído")+COUNTIFS('Stephanie'!$B$6:$B$300,$A116,'Stephanie'!$F$6:$F$300,"Concluído")+COUNTIFS('Fox'!$B$6:$B$300,$A116,'Fox'!$F$6:$F$300,"Concluído")+COUNTIFS('Bruna'!$B$6:$B$300,$A116,'Bruna'!$F$6:$F$300,"Concluído")+COUNTIFS('Stella'!$B$6:$B$300,$A116,'Stella'!$F$6:$F$300,"Concluído")+COUNTIFS('Igor'!$B$6:$B$300,$A116,'Igor'!$F$6:$F$300,"Concluído"))&amp;" / "&amp;(COUNTIF('Clarice'!$B$6:$B$300,$A116)+COUNTIF('Luisa'!$B$6:$B$300,$A116)+COUNTIF('Lui'!$B$6:$B$300,$A116)+COUNTIF('Thaís'!$B$6:$B$300,$A116)+COUNTIF('Daniel'!$B$6:$B$300,$A116)+COUNTIF('Fernando'!$B$6:$B$300,$A116)+COUNTIF('Stephanie'!$B$6:$B$300,$A116)+COUNTIF('Fox'!$B$6:$B$300,$A116)+COUNTIF('Bruna'!$B$6:$B$300,$A116)+COUNTIF('Stella'!$B$6:$B$300,$A116)+COUNTIF('Igor'!$B$6:$B$300,$A116)))</f>
        <v/>
      </c>
      <c r="K116" s="19" t="n"/>
      <c r="L116" s="19" t="n"/>
      <c r="M116" s="18" t="n">
        <v>46223</v>
      </c>
      <c r="N116" s="18" t="n">
        <v>46248</v>
      </c>
      <c r="O116" s="19" t="n"/>
      <c r="P116" s="20">
        <f>IF($A116="","",IF(M116&lt;&gt;"",M116,IF(K116&lt;&gt;"",K116,"")))</f>
        <v/>
      </c>
      <c r="Q116" s="20">
        <f>IF($A116="","",IF(N116&lt;&gt;"",N116,IF(L116&lt;&gt;"",L116,"")))</f>
        <v/>
      </c>
      <c r="R116" s="15" t="n"/>
      <c r="S116" s="16">
        <f t="array" ref="S116">IF($A116="","",_xlfn.TEXTJOIN(CHAR(10),TRUE,IF('Clarice'!$B$6:$B$300=$A116,"Clarice"&amp;IF('Clarice'!$E$6:$E$300="",""," : "&amp;'Clarice'!$E$6:$E$300)&amp;" ["&amp;'Clarice'!$F$6:$F$300&amp;"]",""),IF('Luisa'!$B$6:$B$300=$A116,"Luisa"&amp;IF('Luisa'!$E$6:$E$300="",""," : "&amp;'Luisa'!$E$6:$E$300)&amp;" ["&amp;'Luisa'!$F$6:$F$300&amp;"]",""),IF('Lui'!$B$6:$B$300=$A116,"Lui"&amp;IF('Lui'!$E$6:$E$300="",""," : "&amp;'Lui'!$E$6:$E$300)&amp;" ["&amp;'Lui'!$F$6:$F$300&amp;"]",""),IF('Thaís'!$B$6:$B$300=$A116,"Thaís"&amp;IF('Thaís'!$E$6:$E$300="",""," : "&amp;'Thaís'!$E$6:$E$300)&amp;" ["&amp;'Thaís'!$F$6:$F$300&amp;"]",""),IF('Daniel'!$B$6:$B$300=$A116,"Daniel"&amp;IF('Daniel'!$E$6:$E$300="",""," : "&amp;'Daniel'!$E$6:$E$300)&amp;" ["&amp;'Daniel'!$F$6:$F$300&amp;"]",""),IF('Fernando'!$B$6:$B$300=$A116,"Fernando"&amp;IF('Fernando'!$E$6:$E$300="",""," : "&amp;'Fernando'!$E$6:$E$300)&amp;" ["&amp;'Fernando'!$F$6:$F$300&amp;"]",""),IF('Stephanie'!$B$6:$B$300=$A116,"Stephanie"&amp;IF('Stephanie'!$E$6:$E$300="",""," : "&amp;'Stephanie'!$E$6:$E$300)&amp;" ["&amp;'Stephanie'!$F$6:$F$300&amp;"]",""),IF('Fox'!$B$6:$B$300=$A116,"Fox"&amp;IF('Fox'!$E$6:$E$300="",""," : "&amp;'Fox'!$E$6:$E$300)&amp;" ["&amp;'Fox'!$F$6:$F$300&amp;"]",""),IF('Bruna'!$B$6:$B$300=$A116,"Bruna"&amp;IF('Bruna'!$E$6:$E$300="",""," : "&amp;'Bruna'!$E$6:$E$300)&amp;" ["&amp;'Bruna'!$F$6:$F$300&amp;"]",""),IF('Stella'!$B$6:$B$300=$A116,"Stella"&amp;IF('Stella'!$E$6:$E$300="",""," : "&amp;'Stella'!$E$6:$E$300)&amp;" ["&amp;'Stella'!$F$6:$F$300&amp;"]",""),IF('Igor'!$B$6:$B$300=$A116,"Igor"&amp;IF('Igor'!$E$6:$E$300="",""," : "&amp;'Igor'!$E$6:$E$300)&amp;" ["&amp;'Igor'!$F$6:$F$300&amp;"]","")))</f>
        <v/>
      </c>
    </row>
    <row r="117" ht="40.5" customHeight="1">
      <c r="A117" s="13" t="inlineStr">
        <is>
          <t>DM-053</t>
        </is>
      </c>
      <c r="B117" s="14" t="inlineStr">
        <is>
          <t>Etapa 2: Construção das métricas | Atividade 7: Operacionalização das métricas | Atividade 8: Aplicação das métricas</t>
        </is>
      </c>
      <c r="C117" s="14" t="inlineStr">
        <is>
          <t>3. Aplicação da DM</t>
        </is>
      </c>
      <c r="D117" s="14" t="inlineStr">
        <is>
          <t>Boaventura</t>
        </is>
      </c>
      <c r="E117" s="15" t="inlineStr">
        <is>
          <t>Rodar a métrica - fauna terrestre (Boaventura)</t>
        </is>
      </c>
      <c r="F117" s="13" t="inlineStr">
        <is>
          <t>Stephanie</t>
        </is>
      </c>
      <c r="G117" s="16">
        <f>IF($A117="","",_xlfn.TEXTJOIN("; ",TRUE,IF(COUNTIF('Clarice'!$B$6:$B$300,$A117)&gt;0,"Clarice",""),IF(COUNTIF('Luisa'!$B$6:$B$300,$A117)&gt;0,"Luisa",""),IF(COUNTIF('Lui'!$B$6:$B$300,$A117)&gt;0,"Lui",""),IF(COUNTIF('Thaís'!$B$6:$B$300,$A117)&gt;0,"Thaís",""),IF(COUNTIF('Daniel'!$B$6:$B$300,$A117)&gt;0,"Daniel",""),IF(COUNTIF('Fernando'!$B$6:$B$300,$A117)&gt;0,"Fernando",""),IF(COUNTIF('Stephanie'!$B$6:$B$300,$A117)&gt;0,"Stephanie",""),IF(COUNTIF('Fox'!$B$6:$B$300,$A117)&gt;0,"Fox",""),IF(COUNTIF('Bruna'!$B$6:$B$300,$A117)&gt;0,"Bruna",""),IF(COUNTIF('Stella'!$B$6:$B$300,$A117)&gt;0,"Stella",""),IF(COUNTIF('Igor'!$B$6:$B$300,$A117)&gt;0,"Igor","")))</f>
        <v/>
      </c>
      <c r="H117" s="13" t="n"/>
      <c r="I117" s="13" t="inlineStr">
        <is>
          <t>Não iniciado</t>
        </is>
      </c>
      <c r="J117" s="17">
        <f>IF(OR($A117="",(COUNTIF('Clarice'!$B$6:$B$300,$A117)+COUNTIF('Luisa'!$B$6:$B$300,$A117)+COUNTIF('Lui'!$B$6:$B$300,$A117)+COUNTIF('Thaís'!$B$6:$B$300,$A117)+COUNTIF('Daniel'!$B$6:$B$300,$A117)+COUNTIF('Fernando'!$B$6:$B$300,$A117)+COUNTIF('Stephanie'!$B$6:$B$300,$A117)+COUNTIF('Fox'!$B$6:$B$300,$A117)+COUNTIF('Bruna'!$B$6:$B$300,$A117)+COUNTIF('Stella'!$B$6:$B$300,$A117)+COUNTIF('Igor'!$B$6:$B$300,$A117))=0),"",(COUNTIFS('Clarice'!$B$6:$B$300,$A117,'Clarice'!$F$6:$F$300,"Concluído")+COUNTIFS('Luisa'!$B$6:$B$300,$A117,'Luisa'!$F$6:$F$300,"Concluído")+COUNTIFS('Lui'!$B$6:$B$300,$A117,'Lui'!$F$6:$F$300,"Concluído")+COUNTIFS('Thaís'!$B$6:$B$300,$A117,'Thaís'!$F$6:$F$300,"Concluído")+COUNTIFS('Daniel'!$B$6:$B$300,$A117,'Daniel'!$F$6:$F$300,"Concluído")+COUNTIFS('Fernando'!$B$6:$B$300,$A117,'Fernando'!$F$6:$F$300,"Concluído")+COUNTIFS('Stephanie'!$B$6:$B$300,$A117,'Stephanie'!$F$6:$F$300,"Concluído")+COUNTIFS('Fox'!$B$6:$B$300,$A117,'Fox'!$F$6:$F$300,"Concluído")+COUNTIFS('Bruna'!$B$6:$B$300,$A117,'Bruna'!$F$6:$F$300,"Concluído")+COUNTIFS('Stella'!$B$6:$B$300,$A117,'Stella'!$F$6:$F$300,"Concluído")+COUNTIFS('Igor'!$B$6:$B$300,$A117,'Igor'!$F$6:$F$300,"Concluído"))&amp;" / "&amp;(COUNTIF('Clarice'!$B$6:$B$300,$A117)+COUNTIF('Luisa'!$B$6:$B$300,$A117)+COUNTIF('Lui'!$B$6:$B$300,$A117)+COUNTIF('Thaís'!$B$6:$B$300,$A117)+COUNTIF('Daniel'!$B$6:$B$300,$A117)+COUNTIF('Fernando'!$B$6:$B$300,$A117)+COUNTIF('Stephanie'!$B$6:$B$300,$A117)+COUNTIF('Fox'!$B$6:$B$300,$A117)+COUNTIF('Bruna'!$B$6:$B$300,$A117)+COUNTIF('Stella'!$B$6:$B$300,$A117)+COUNTIF('Igor'!$B$6:$B$300,$A117)))</f>
        <v/>
      </c>
      <c r="K117" s="18" t="n">
        <v>46146</v>
      </c>
      <c r="L117" s="18" t="n">
        <v>46164</v>
      </c>
      <c r="M117" s="18" t="n">
        <v>46146</v>
      </c>
      <c r="N117" s="18" t="n">
        <v>46248</v>
      </c>
      <c r="O117" s="19" t="n"/>
      <c r="P117" s="20">
        <f>IF($A117="","",IF(M117&lt;&gt;"",M117,IF(K117&lt;&gt;"",K117,"")))</f>
        <v/>
      </c>
      <c r="Q117" s="20">
        <f>IF($A117="","",IF(N117&lt;&gt;"",N117,IF(L117&lt;&gt;"",L117,"")))</f>
        <v/>
      </c>
      <c r="R117" s="15" t="n"/>
      <c r="S117" s="16">
        <f t="array" ref="S117">IF($A117="","",_xlfn.TEXTJOIN(CHAR(10),TRUE,IF('Clarice'!$B$6:$B$300=$A117,"Clarice"&amp;IF('Clarice'!$E$6:$E$300="",""," : "&amp;'Clarice'!$E$6:$E$300)&amp;" ["&amp;'Clarice'!$F$6:$F$300&amp;"]",""),IF('Luisa'!$B$6:$B$300=$A117,"Luisa"&amp;IF('Luisa'!$E$6:$E$300="",""," : "&amp;'Luisa'!$E$6:$E$300)&amp;" ["&amp;'Luisa'!$F$6:$F$300&amp;"]",""),IF('Lui'!$B$6:$B$300=$A117,"Lui"&amp;IF('Lui'!$E$6:$E$300="",""," : "&amp;'Lui'!$E$6:$E$300)&amp;" ["&amp;'Lui'!$F$6:$F$300&amp;"]",""),IF('Thaís'!$B$6:$B$300=$A117,"Thaís"&amp;IF('Thaís'!$E$6:$E$300="",""," : "&amp;'Thaís'!$E$6:$E$300)&amp;" ["&amp;'Thaís'!$F$6:$F$300&amp;"]",""),IF('Daniel'!$B$6:$B$300=$A117,"Daniel"&amp;IF('Daniel'!$E$6:$E$300="",""," : "&amp;'Daniel'!$E$6:$E$300)&amp;" ["&amp;'Daniel'!$F$6:$F$300&amp;"]",""),IF('Fernando'!$B$6:$B$300=$A117,"Fernando"&amp;IF('Fernando'!$E$6:$E$300="",""," : "&amp;'Fernando'!$E$6:$E$300)&amp;" ["&amp;'Fernando'!$F$6:$F$300&amp;"]",""),IF('Stephanie'!$B$6:$B$300=$A117,"Stephanie"&amp;IF('Stephanie'!$E$6:$E$300="",""," : "&amp;'Stephanie'!$E$6:$E$300)&amp;" ["&amp;'Stephanie'!$F$6:$F$300&amp;"]",""),IF('Fox'!$B$6:$B$300=$A117,"Fox"&amp;IF('Fox'!$E$6:$E$300="",""," : "&amp;'Fox'!$E$6:$E$300)&amp;" ["&amp;'Fox'!$F$6:$F$300&amp;"]",""),IF('Bruna'!$B$6:$B$300=$A117,"Bruna"&amp;IF('Bruna'!$E$6:$E$300="",""," : "&amp;'Bruna'!$E$6:$E$300)&amp;" ["&amp;'Bruna'!$F$6:$F$300&amp;"]",""),IF('Stella'!$B$6:$B$300=$A117,"Stella"&amp;IF('Stella'!$E$6:$E$300="",""," : "&amp;'Stella'!$E$6:$E$300)&amp;" ["&amp;'Stella'!$F$6:$F$300&amp;"]",""),IF('Igor'!$B$6:$B$300=$A117,"Igor"&amp;IF('Igor'!$E$6:$E$300="",""," : "&amp;'Igor'!$E$6:$E$300)&amp;" ["&amp;'Igor'!$F$6:$F$300&amp;"]","")))</f>
        <v/>
      </c>
    </row>
    <row r="118" ht="40.5" customHeight="1">
      <c r="A118" s="13" t="inlineStr">
        <is>
          <t>DM-054</t>
        </is>
      </c>
      <c r="B118" s="14" t="inlineStr">
        <is>
          <t>Etapa 2: Construção das métricas | Atividade 7: Operacionalização das métricas | Atividade 8: Aplicação das métricas</t>
        </is>
      </c>
      <c r="C118" s="14" t="inlineStr">
        <is>
          <t>3. Aplicação da DM</t>
        </is>
      </c>
      <c r="D118" s="14" t="inlineStr">
        <is>
          <t>Boaventura</t>
        </is>
      </c>
      <c r="E118" s="15" t="inlineStr">
        <is>
          <t>Apresentar e consolidar os resultados internamente - fauna terrestre (Boaventura)</t>
        </is>
      </c>
      <c r="F118" s="13" t="inlineStr">
        <is>
          <t>Stephanie</t>
        </is>
      </c>
      <c r="G118" s="16">
        <f>IF($A118="","",_xlfn.TEXTJOIN("; ",TRUE,IF(COUNTIF('Clarice'!$B$6:$B$300,$A118)&gt;0,"Clarice",""),IF(COUNTIF('Luisa'!$B$6:$B$300,$A118)&gt;0,"Luisa",""),IF(COUNTIF('Lui'!$B$6:$B$300,$A118)&gt;0,"Lui",""),IF(COUNTIF('Thaís'!$B$6:$B$300,$A118)&gt;0,"Thaís",""),IF(COUNTIF('Daniel'!$B$6:$B$300,$A118)&gt;0,"Daniel",""),IF(COUNTIF('Fernando'!$B$6:$B$300,$A118)&gt;0,"Fernando",""),IF(COUNTIF('Stephanie'!$B$6:$B$300,$A118)&gt;0,"Stephanie",""),IF(COUNTIF('Fox'!$B$6:$B$300,$A118)&gt;0,"Fox",""),IF(COUNTIF('Bruna'!$B$6:$B$300,$A118)&gt;0,"Bruna",""),IF(COUNTIF('Stella'!$B$6:$B$300,$A118)&gt;0,"Stella",""),IF(COUNTIF('Igor'!$B$6:$B$300,$A118)&gt;0,"Igor","")))</f>
        <v/>
      </c>
      <c r="H118" s="13" t="n"/>
      <c r="I118" s="13" t="inlineStr">
        <is>
          <t>Não iniciado</t>
        </is>
      </c>
      <c r="J118" s="17">
        <f>IF(OR($A118="",(COUNTIF('Clarice'!$B$6:$B$300,$A118)+COUNTIF('Luisa'!$B$6:$B$300,$A118)+COUNTIF('Lui'!$B$6:$B$300,$A118)+COUNTIF('Thaís'!$B$6:$B$300,$A118)+COUNTIF('Daniel'!$B$6:$B$300,$A118)+COUNTIF('Fernando'!$B$6:$B$300,$A118)+COUNTIF('Stephanie'!$B$6:$B$300,$A118)+COUNTIF('Fox'!$B$6:$B$300,$A118)+COUNTIF('Bruna'!$B$6:$B$300,$A118)+COUNTIF('Stella'!$B$6:$B$300,$A118)+COUNTIF('Igor'!$B$6:$B$300,$A118))=0),"",(COUNTIFS('Clarice'!$B$6:$B$300,$A118,'Clarice'!$F$6:$F$300,"Concluído")+COUNTIFS('Luisa'!$B$6:$B$300,$A118,'Luisa'!$F$6:$F$300,"Concluído")+COUNTIFS('Lui'!$B$6:$B$300,$A118,'Lui'!$F$6:$F$300,"Concluído")+COUNTIFS('Thaís'!$B$6:$B$300,$A118,'Thaís'!$F$6:$F$300,"Concluído")+COUNTIFS('Daniel'!$B$6:$B$300,$A118,'Daniel'!$F$6:$F$300,"Concluído")+COUNTIFS('Fernando'!$B$6:$B$300,$A118,'Fernando'!$F$6:$F$300,"Concluído")+COUNTIFS('Stephanie'!$B$6:$B$300,$A118,'Stephanie'!$F$6:$F$300,"Concluído")+COUNTIFS('Fox'!$B$6:$B$300,$A118,'Fox'!$F$6:$F$300,"Concluído")+COUNTIFS('Bruna'!$B$6:$B$300,$A118,'Bruna'!$F$6:$F$300,"Concluído")+COUNTIFS('Stella'!$B$6:$B$300,$A118,'Stella'!$F$6:$F$300,"Concluído")+COUNTIFS('Igor'!$B$6:$B$300,$A118,'Igor'!$F$6:$F$300,"Concluído"))&amp;" / "&amp;(COUNTIF('Clarice'!$B$6:$B$300,$A118)+COUNTIF('Luisa'!$B$6:$B$300,$A118)+COUNTIF('Lui'!$B$6:$B$300,$A118)+COUNTIF('Thaís'!$B$6:$B$300,$A118)+COUNTIF('Daniel'!$B$6:$B$300,$A118)+COUNTIF('Fernando'!$B$6:$B$300,$A118)+COUNTIF('Stephanie'!$B$6:$B$300,$A118)+COUNTIF('Fox'!$B$6:$B$300,$A118)+COUNTIF('Bruna'!$B$6:$B$300,$A118)+COUNTIF('Stella'!$B$6:$B$300,$A118)+COUNTIF('Igor'!$B$6:$B$300,$A118)))</f>
        <v/>
      </c>
      <c r="K118" s="18" t="n">
        <v>46167</v>
      </c>
      <c r="L118" s="18" t="n">
        <v>46171</v>
      </c>
      <c r="M118" s="18" t="n">
        <v>46167</v>
      </c>
      <c r="N118" s="18" t="n">
        <v>46248</v>
      </c>
      <c r="O118" s="19" t="n"/>
      <c r="P118" s="20">
        <f>IF($A118="","",IF(M118&lt;&gt;"",M118,IF(K118&lt;&gt;"",K118,"")))</f>
        <v/>
      </c>
      <c r="Q118" s="20">
        <f>IF($A118="","",IF(N118&lt;&gt;"",N118,IF(L118&lt;&gt;"",L118,"")))</f>
        <v/>
      </c>
      <c r="R118" s="15" t="n"/>
      <c r="S118" s="16">
        <f t="array" ref="S118">IF($A118="","",_xlfn.TEXTJOIN(CHAR(10),TRUE,IF('Clarice'!$B$6:$B$300=$A118,"Clarice"&amp;IF('Clarice'!$E$6:$E$300="",""," : "&amp;'Clarice'!$E$6:$E$300)&amp;" ["&amp;'Clarice'!$F$6:$F$300&amp;"]",""),IF('Luisa'!$B$6:$B$300=$A118,"Luisa"&amp;IF('Luisa'!$E$6:$E$300="",""," : "&amp;'Luisa'!$E$6:$E$300)&amp;" ["&amp;'Luisa'!$F$6:$F$300&amp;"]",""),IF('Lui'!$B$6:$B$300=$A118,"Lui"&amp;IF('Lui'!$E$6:$E$300="",""," : "&amp;'Lui'!$E$6:$E$300)&amp;" ["&amp;'Lui'!$F$6:$F$300&amp;"]",""),IF('Thaís'!$B$6:$B$300=$A118,"Thaís"&amp;IF('Thaís'!$E$6:$E$300="",""," : "&amp;'Thaís'!$E$6:$E$300)&amp;" ["&amp;'Thaís'!$F$6:$F$300&amp;"]",""),IF('Daniel'!$B$6:$B$300=$A118,"Daniel"&amp;IF('Daniel'!$E$6:$E$300="",""," : "&amp;'Daniel'!$E$6:$E$300)&amp;" ["&amp;'Daniel'!$F$6:$F$300&amp;"]",""),IF('Fernando'!$B$6:$B$300=$A118,"Fernando"&amp;IF('Fernando'!$E$6:$E$300="",""," : "&amp;'Fernando'!$E$6:$E$300)&amp;" ["&amp;'Fernando'!$F$6:$F$300&amp;"]",""),IF('Stephanie'!$B$6:$B$300=$A118,"Stephanie"&amp;IF('Stephanie'!$E$6:$E$300="",""," : "&amp;'Stephanie'!$E$6:$E$300)&amp;" ["&amp;'Stephanie'!$F$6:$F$300&amp;"]",""),IF('Fox'!$B$6:$B$300=$A118,"Fox"&amp;IF('Fox'!$E$6:$E$300="",""," : "&amp;'Fox'!$E$6:$E$300)&amp;" ["&amp;'Fox'!$F$6:$F$300&amp;"]",""),IF('Bruna'!$B$6:$B$300=$A118,"Bruna"&amp;IF('Bruna'!$E$6:$E$300="",""," : "&amp;'Bruna'!$E$6:$E$300)&amp;" ["&amp;'Bruna'!$F$6:$F$300&amp;"]",""),IF('Stella'!$B$6:$B$300=$A118,"Stella"&amp;IF('Stella'!$E$6:$E$300="",""," : "&amp;'Stella'!$E$6:$E$300)&amp;" ["&amp;'Stella'!$F$6:$F$300&amp;"]",""),IF('Igor'!$B$6:$B$300=$A118,"Igor"&amp;IF('Igor'!$E$6:$E$300="",""," : "&amp;'Igor'!$E$6:$E$300)&amp;" ["&amp;'Igor'!$F$6:$F$300&amp;"]","")))</f>
        <v/>
      </c>
    </row>
    <row r="119" ht="40.5" customHeight="1">
      <c r="A119" s="13" t="inlineStr">
        <is>
          <t>DM-055</t>
        </is>
      </c>
      <c r="B119" s="14" t="inlineStr">
        <is>
          <t>Etapa 2: Construção das métricas | Atividade 7: Operacionalização das métricas | Atividade 8: Aplicação das métricas</t>
        </is>
      </c>
      <c r="C119" s="14" t="inlineStr">
        <is>
          <t>3. Aplicação da DM</t>
        </is>
      </c>
      <c r="D119" s="14" t="inlineStr">
        <is>
          <t>Boaventura</t>
        </is>
      </c>
      <c r="E119" s="15" t="inlineStr">
        <is>
          <t>Identificar lacunas de dados para recomendar para a Petrobras - fauna terrestre (Boaventura)</t>
        </is>
      </c>
      <c r="F119" s="13" t="inlineStr">
        <is>
          <t>Stephanie</t>
        </is>
      </c>
      <c r="G119" s="16">
        <f>IF($A119="","",_xlfn.TEXTJOIN("; ",TRUE,IF(COUNTIF('Clarice'!$B$6:$B$300,$A119)&gt;0,"Clarice",""),IF(COUNTIF('Luisa'!$B$6:$B$300,$A119)&gt;0,"Luisa",""),IF(COUNTIF('Lui'!$B$6:$B$300,$A119)&gt;0,"Lui",""),IF(COUNTIF('Thaís'!$B$6:$B$300,$A119)&gt;0,"Thaís",""),IF(COUNTIF('Daniel'!$B$6:$B$300,$A119)&gt;0,"Daniel",""),IF(COUNTIF('Fernando'!$B$6:$B$300,$A119)&gt;0,"Fernando",""),IF(COUNTIF('Stephanie'!$B$6:$B$300,$A119)&gt;0,"Stephanie",""),IF(COUNTIF('Fox'!$B$6:$B$300,$A119)&gt;0,"Fox",""),IF(COUNTIF('Bruna'!$B$6:$B$300,$A119)&gt;0,"Bruna",""),IF(COUNTIF('Stella'!$B$6:$B$300,$A119)&gt;0,"Stella",""),IF(COUNTIF('Igor'!$B$6:$B$300,$A119)&gt;0,"Igor","")))</f>
        <v/>
      </c>
      <c r="H119" s="13" t="n"/>
      <c r="I119" s="13" t="inlineStr">
        <is>
          <t>Não iniciado</t>
        </is>
      </c>
      <c r="J119" s="17">
        <f>IF(OR($A119="",(COUNTIF('Clarice'!$B$6:$B$300,$A119)+COUNTIF('Luisa'!$B$6:$B$300,$A119)+COUNTIF('Lui'!$B$6:$B$300,$A119)+COUNTIF('Thaís'!$B$6:$B$300,$A119)+COUNTIF('Daniel'!$B$6:$B$300,$A119)+COUNTIF('Fernando'!$B$6:$B$300,$A119)+COUNTIF('Stephanie'!$B$6:$B$300,$A119)+COUNTIF('Fox'!$B$6:$B$300,$A119)+COUNTIF('Bruna'!$B$6:$B$300,$A119)+COUNTIF('Stella'!$B$6:$B$300,$A119)+COUNTIF('Igor'!$B$6:$B$300,$A119))=0),"",(COUNTIFS('Clarice'!$B$6:$B$300,$A119,'Clarice'!$F$6:$F$300,"Concluído")+COUNTIFS('Luisa'!$B$6:$B$300,$A119,'Luisa'!$F$6:$F$300,"Concluído")+COUNTIFS('Lui'!$B$6:$B$300,$A119,'Lui'!$F$6:$F$300,"Concluído")+COUNTIFS('Thaís'!$B$6:$B$300,$A119,'Thaís'!$F$6:$F$300,"Concluído")+COUNTIFS('Daniel'!$B$6:$B$300,$A119,'Daniel'!$F$6:$F$300,"Concluído")+COUNTIFS('Fernando'!$B$6:$B$300,$A119,'Fernando'!$F$6:$F$300,"Concluído")+COUNTIFS('Stephanie'!$B$6:$B$300,$A119,'Stephanie'!$F$6:$F$300,"Concluído")+COUNTIFS('Fox'!$B$6:$B$300,$A119,'Fox'!$F$6:$F$300,"Concluído")+COUNTIFS('Bruna'!$B$6:$B$300,$A119,'Bruna'!$F$6:$F$300,"Concluído")+COUNTIFS('Stella'!$B$6:$B$300,$A119,'Stella'!$F$6:$F$300,"Concluído")+COUNTIFS('Igor'!$B$6:$B$300,$A119,'Igor'!$F$6:$F$300,"Concluído"))&amp;" / "&amp;(COUNTIF('Clarice'!$B$6:$B$300,$A119)+COUNTIF('Luisa'!$B$6:$B$300,$A119)+COUNTIF('Lui'!$B$6:$B$300,$A119)+COUNTIF('Thaís'!$B$6:$B$300,$A119)+COUNTIF('Daniel'!$B$6:$B$300,$A119)+COUNTIF('Fernando'!$B$6:$B$300,$A119)+COUNTIF('Stephanie'!$B$6:$B$300,$A119)+COUNTIF('Fox'!$B$6:$B$300,$A119)+COUNTIF('Bruna'!$B$6:$B$300,$A119)+COUNTIF('Stella'!$B$6:$B$300,$A119)+COUNTIF('Igor'!$B$6:$B$300,$A119)))</f>
        <v/>
      </c>
      <c r="K119" s="19" t="n"/>
      <c r="L119" s="19" t="n"/>
      <c r="M119" s="18" t="n">
        <v>46223</v>
      </c>
      <c r="N119" s="18" t="n">
        <v>46248</v>
      </c>
      <c r="O119" s="19" t="n"/>
      <c r="P119" s="20">
        <f>IF($A119="","",IF(M119&lt;&gt;"",M119,IF(K119&lt;&gt;"",K119,"")))</f>
        <v/>
      </c>
      <c r="Q119" s="20">
        <f>IF($A119="","",IF(N119&lt;&gt;"",N119,IF(L119&lt;&gt;"",L119,"")))</f>
        <v/>
      </c>
      <c r="R119" s="15" t="n"/>
      <c r="S119" s="16">
        <f t="array" ref="S119">IF($A119="","",_xlfn.TEXTJOIN(CHAR(10),TRUE,IF('Clarice'!$B$6:$B$300=$A119,"Clarice"&amp;IF('Clarice'!$E$6:$E$300="",""," : "&amp;'Clarice'!$E$6:$E$300)&amp;" ["&amp;'Clarice'!$F$6:$F$300&amp;"]",""),IF('Luisa'!$B$6:$B$300=$A119,"Luisa"&amp;IF('Luisa'!$E$6:$E$300="",""," : "&amp;'Luisa'!$E$6:$E$300)&amp;" ["&amp;'Luisa'!$F$6:$F$300&amp;"]",""),IF('Lui'!$B$6:$B$300=$A119,"Lui"&amp;IF('Lui'!$E$6:$E$300="",""," : "&amp;'Lui'!$E$6:$E$300)&amp;" ["&amp;'Lui'!$F$6:$F$300&amp;"]",""),IF('Thaís'!$B$6:$B$300=$A119,"Thaís"&amp;IF('Thaís'!$E$6:$E$300="",""," : "&amp;'Thaís'!$E$6:$E$300)&amp;" ["&amp;'Thaís'!$F$6:$F$300&amp;"]",""),IF('Daniel'!$B$6:$B$300=$A119,"Daniel"&amp;IF('Daniel'!$E$6:$E$300="",""," : "&amp;'Daniel'!$E$6:$E$300)&amp;" ["&amp;'Daniel'!$F$6:$F$300&amp;"]",""),IF('Fernando'!$B$6:$B$300=$A119,"Fernando"&amp;IF('Fernando'!$E$6:$E$300="",""," : "&amp;'Fernando'!$E$6:$E$300)&amp;" ["&amp;'Fernando'!$F$6:$F$300&amp;"]",""),IF('Stephanie'!$B$6:$B$300=$A119,"Stephanie"&amp;IF('Stephanie'!$E$6:$E$300="",""," : "&amp;'Stephanie'!$E$6:$E$300)&amp;" ["&amp;'Stephanie'!$F$6:$F$300&amp;"]",""),IF('Fox'!$B$6:$B$300=$A119,"Fox"&amp;IF('Fox'!$E$6:$E$300="",""," : "&amp;'Fox'!$E$6:$E$300)&amp;" ["&amp;'Fox'!$F$6:$F$300&amp;"]",""),IF('Bruna'!$B$6:$B$300=$A119,"Bruna"&amp;IF('Bruna'!$E$6:$E$300="",""," : "&amp;'Bruna'!$E$6:$E$300)&amp;" ["&amp;'Bruna'!$F$6:$F$300&amp;"]",""),IF('Stella'!$B$6:$B$300=$A119,"Stella"&amp;IF('Stella'!$E$6:$E$300="",""," : "&amp;'Stella'!$E$6:$E$300)&amp;" ["&amp;'Stella'!$F$6:$F$300&amp;"]",""),IF('Igor'!$B$6:$B$300=$A119,"Igor"&amp;IF('Igor'!$E$6:$E$300="",""," : "&amp;'Igor'!$E$6:$E$300)&amp;" ["&amp;'Igor'!$F$6:$F$300&amp;"]","")))</f>
        <v/>
      </c>
    </row>
    <row r="120" ht="90.5" customHeight="1">
      <c r="A120" s="13" t="inlineStr">
        <is>
          <t>DM-056</t>
        </is>
      </c>
      <c r="B120" s="14" t="inlineStr">
        <is>
          <t>Etapa 2: Construção das métricas | Atividade 7: Operacionalização das métricas | Atividade 8: Aplicação das métricas</t>
        </is>
      </c>
      <c r="C120" s="14" t="inlineStr">
        <is>
          <t>3. Aplicação da DM</t>
        </is>
      </c>
      <c r="D120" s="14" t="inlineStr">
        <is>
          <t>Boaventura</t>
        </is>
      </c>
      <c r="E120" s="15" t="inlineStr">
        <is>
          <t>Definir a estratégia de aplicação - fauna aquática (Boaventura)</t>
        </is>
      </c>
      <c r="F120" s="13" t="inlineStr">
        <is>
          <t>Stephanie</t>
        </is>
      </c>
      <c r="G120" s="16">
        <f>IF($A120="","",_xlfn.TEXTJOIN("; ",TRUE,IF(COUNTIF('Clarice'!$B$6:$B$300,$A120)&gt;0,"Clarice",""),IF(COUNTIF('Luisa'!$B$6:$B$300,$A120)&gt;0,"Luisa",""),IF(COUNTIF('Lui'!$B$6:$B$300,$A120)&gt;0,"Lui",""),IF(COUNTIF('Thaís'!$B$6:$B$300,$A120)&gt;0,"Thaís",""),IF(COUNTIF('Daniel'!$B$6:$B$300,$A120)&gt;0,"Daniel",""),IF(COUNTIF('Fernando'!$B$6:$B$300,$A120)&gt;0,"Fernando",""),IF(COUNTIF('Stephanie'!$B$6:$B$300,$A120)&gt;0,"Stephanie",""),IF(COUNTIF('Fox'!$B$6:$B$300,$A120)&gt;0,"Fox",""),IF(COUNTIF('Bruna'!$B$6:$B$300,$A120)&gt;0,"Bruna",""),IF(COUNTIF('Stella'!$B$6:$B$300,$A120)&gt;0,"Stella",""),IF(COUNTIF('Igor'!$B$6:$B$300,$A120)&gt;0,"Igor","")))</f>
        <v/>
      </c>
      <c r="H120" s="13" t="n"/>
      <c r="I120" s="13" t="inlineStr">
        <is>
          <t>Pausado</t>
        </is>
      </c>
      <c r="J120" s="17">
        <f>IF(OR($A120="",(COUNTIF('Clarice'!$B$6:$B$300,$A120)+COUNTIF('Luisa'!$B$6:$B$300,$A120)+COUNTIF('Lui'!$B$6:$B$300,$A120)+COUNTIF('Thaís'!$B$6:$B$300,$A120)+COUNTIF('Daniel'!$B$6:$B$300,$A120)+COUNTIF('Fernando'!$B$6:$B$300,$A120)+COUNTIF('Stephanie'!$B$6:$B$300,$A120)+COUNTIF('Fox'!$B$6:$B$300,$A120)+COUNTIF('Bruna'!$B$6:$B$300,$A120)+COUNTIF('Stella'!$B$6:$B$300,$A120)+COUNTIF('Igor'!$B$6:$B$300,$A120))=0),"",(COUNTIFS('Clarice'!$B$6:$B$300,$A120,'Clarice'!$F$6:$F$300,"Concluído")+COUNTIFS('Luisa'!$B$6:$B$300,$A120,'Luisa'!$F$6:$F$300,"Concluído")+COUNTIFS('Lui'!$B$6:$B$300,$A120,'Lui'!$F$6:$F$300,"Concluído")+COUNTIFS('Thaís'!$B$6:$B$300,$A120,'Thaís'!$F$6:$F$300,"Concluído")+COUNTIFS('Daniel'!$B$6:$B$300,$A120,'Daniel'!$F$6:$F$300,"Concluído")+COUNTIFS('Fernando'!$B$6:$B$300,$A120,'Fernando'!$F$6:$F$300,"Concluído")+COUNTIFS('Stephanie'!$B$6:$B$300,$A120,'Stephanie'!$F$6:$F$300,"Concluído")+COUNTIFS('Fox'!$B$6:$B$300,$A120,'Fox'!$F$6:$F$300,"Concluído")+COUNTIFS('Bruna'!$B$6:$B$300,$A120,'Bruna'!$F$6:$F$300,"Concluído")+COUNTIFS('Stella'!$B$6:$B$300,$A120,'Stella'!$F$6:$F$300,"Concluído")+COUNTIFS('Igor'!$B$6:$B$300,$A120,'Igor'!$F$6:$F$300,"Concluído"))&amp;" / "&amp;(COUNTIF('Clarice'!$B$6:$B$300,$A120)+COUNTIF('Luisa'!$B$6:$B$300,$A120)+COUNTIF('Lui'!$B$6:$B$300,$A120)+COUNTIF('Thaís'!$B$6:$B$300,$A120)+COUNTIF('Daniel'!$B$6:$B$300,$A120)+COUNTIF('Fernando'!$B$6:$B$300,$A120)+COUNTIF('Stephanie'!$B$6:$B$300,$A120)+COUNTIF('Fox'!$B$6:$B$300,$A120)+COUNTIF('Bruna'!$B$6:$B$300,$A120)+COUNTIF('Stella'!$B$6:$B$300,$A120)+COUNTIF('Igor'!$B$6:$B$300,$A120)))</f>
        <v/>
      </c>
      <c r="K120" s="18" t="n">
        <v>46132</v>
      </c>
      <c r="L120" s="18" t="n">
        <v>46142</v>
      </c>
      <c r="M120" s="19" t="n"/>
      <c r="N120" s="19" t="n"/>
      <c r="O120" s="19" t="n"/>
      <c r="P120" s="20">
        <f>IF($A120="","",IF(M120&lt;&gt;"",M120,IF(K120&lt;&gt;"",K120,"")))</f>
        <v/>
      </c>
      <c r="Q120" s="20">
        <f>IF($A120="","",IF(N120&lt;&gt;"",N120,IF(L120&lt;&gt;"",L120,"")))</f>
        <v/>
      </c>
      <c r="R120" s="15" t="inlineStr">
        <is>
          <t>[Status original: "atualizar, deve ficar junto com a fauna terrestre"] Avaliar como tipo ambiente fluvial, como componente plâncton e como atributos zoo e fito. Peixes poderia ser um outro componente de vertebrado aquático</t>
        </is>
      </c>
      <c r="S120" s="16">
        <f t="array" ref="S120">IF($A120="","",_xlfn.TEXTJOIN(CHAR(10),TRUE,IF('Clarice'!$B$6:$B$300=$A120,"Clarice"&amp;IF('Clarice'!$E$6:$E$300="",""," : "&amp;'Clarice'!$E$6:$E$300)&amp;" ["&amp;'Clarice'!$F$6:$F$300&amp;"]",""),IF('Luisa'!$B$6:$B$300=$A120,"Luisa"&amp;IF('Luisa'!$E$6:$E$300="",""," : "&amp;'Luisa'!$E$6:$E$300)&amp;" ["&amp;'Luisa'!$F$6:$F$300&amp;"]",""),IF('Lui'!$B$6:$B$300=$A120,"Lui"&amp;IF('Lui'!$E$6:$E$300="",""," : "&amp;'Lui'!$E$6:$E$300)&amp;" ["&amp;'Lui'!$F$6:$F$300&amp;"]",""),IF('Thaís'!$B$6:$B$300=$A120,"Thaís"&amp;IF('Thaís'!$E$6:$E$300="",""," : "&amp;'Thaís'!$E$6:$E$300)&amp;" ["&amp;'Thaís'!$F$6:$F$300&amp;"]",""),IF('Daniel'!$B$6:$B$300=$A120,"Daniel"&amp;IF('Daniel'!$E$6:$E$300="",""," : "&amp;'Daniel'!$E$6:$E$300)&amp;" ["&amp;'Daniel'!$F$6:$F$300&amp;"]",""),IF('Fernando'!$B$6:$B$300=$A120,"Fernando"&amp;IF('Fernando'!$E$6:$E$300="",""," : "&amp;'Fernando'!$E$6:$E$300)&amp;" ["&amp;'Fernando'!$F$6:$F$300&amp;"]",""),IF('Stephanie'!$B$6:$B$300=$A120,"Stephanie"&amp;IF('Stephanie'!$E$6:$E$300="",""," : "&amp;'Stephanie'!$E$6:$E$300)&amp;" ["&amp;'Stephanie'!$F$6:$F$300&amp;"]",""),IF('Fox'!$B$6:$B$300=$A120,"Fox"&amp;IF('Fox'!$E$6:$E$300="",""," : "&amp;'Fox'!$E$6:$E$300)&amp;" ["&amp;'Fox'!$F$6:$F$300&amp;"]",""),IF('Bruna'!$B$6:$B$300=$A120,"Bruna"&amp;IF('Bruna'!$E$6:$E$300="",""," : "&amp;'Bruna'!$E$6:$E$300)&amp;" ["&amp;'Bruna'!$F$6:$F$300&amp;"]",""),IF('Stella'!$B$6:$B$300=$A120,"Stella"&amp;IF('Stella'!$E$6:$E$300="",""," : "&amp;'Stella'!$E$6:$E$300)&amp;" ["&amp;'Stella'!$F$6:$F$300&amp;"]",""),IF('Igor'!$B$6:$B$300=$A120,"Igor"&amp;IF('Igor'!$E$6:$E$300="",""," : "&amp;'Igor'!$E$6:$E$300)&amp;" ["&amp;'Igor'!$F$6:$F$300&amp;"]","")))</f>
        <v/>
      </c>
    </row>
    <row r="121" ht="40.5" customHeight="1">
      <c r="A121" s="13" t="inlineStr">
        <is>
          <t>DM-057</t>
        </is>
      </c>
      <c r="B121" s="14" t="inlineStr">
        <is>
          <t>Etapa 2: Construção das métricas | Atividade 7: Operacionalização das métricas | Atividade 8: Aplicação das métricas</t>
        </is>
      </c>
      <c r="C121" s="14" t="inlineStr">
        <is>
          <t>3. Aplicação da DM</t>
        </is>
      </c>
      <c r="D121" s="14" t="inlineStr">
        <is>
          <t>Boaventura</t>
        </is>
      </c>
      <c r="E121" s="15" t="inlineStr">
        <is>
          <t>Avaliar disponibilidade de informação temporal e espacial para aplicação da métrica - fauna aquática (Boaventura)</t>
        </is>
      </c>
      <c r="F121" s="13" t="inlineStr">
        <is>
          <t>Stephanie</t>
        </is>
      </c>
      <c r="G121" s="16">
        <f>IF($A121="","",_xlfn.TEXTJOIN("; ",TRUE,IF(COUNTIF('Clarice'!$B$6:$B$300,$A121)&gt;0,"Clarice",""),IF(COUNTIF('Luisa'!$B$6:$B$300,$A121)&gt;0,"Luisa",""),IF(COUNTIF('Lui'!$B$6:$B$300,$A121)&gt;0,"Lui",""),IF(COUNTIF('Thaís'!$B$6:$B$300,$A121)&gt;0,"Thaís",""),IF(COUNTIF('Daniel'!$B$6:$B$300,$A121)&gt;0,"Daniel",""),IF(COUNTIF('Fernando'!$B$6:$B$300,$A121)&gt;0,"Fernando",""),IF(COUNTIF('Stephanie'!$B$6:$B$300,$A121)&gt;0,"Stephanie",""),IF(COUNTIF('Fox'!$B$6:$B$300,$A121)&gt;0,"Fox",""),IF(COUNTIF('Bruna'!$B$6:$B$300,$A121)&gt;0,"Bruna",""),IF(COUNTIF('Stella'!$B$6:$B$300,$A121)&gt;0,"Stella",""),IF(COUNTIF('Igor'!$B$6:$B$300,$A121)&gt;0,"Igor","")))</f>
        <v/>
      </c>
      <c r="H121" s="13" t="n"/>
      <c r="I121" s="13" t="inlineStr">
        <is>
          <t>Pausado</t>
        </is>
      </c>
      <c r="J121" s="17">
        <f>IF(OR($A121="",(COUNTIF('Clarice'!$B$6:$B$300,$A121)+COUNTIF('Luisa'!$B$6:$B$300,$A121)+COUNTIF('Lui'!$B$6:$B$300,$A121)+COUNTIF('Thaís'!$B$6:$B$300,$A121)+COUNTIF('Daniel'!$B$6:$B$300,$A121)+COUNTIF('Fernando'!$B$6:$B$300,$A121)+COUNTIF('Stephanie'!$B$6:$B$300,$A121)+COUNTIF('Fox'!$B$6:$B$300,$A121)+COUNTIF('Bruna'!$B$6:$B$300,$A121)+COUNTIF('Stella'!$B$6:$B$300,$A121)+COUNTIF('Igor'!$B$6:$B$300,$A121))=0),"",(COUNTIFS('Clarice'!$B$6:$B$300,$A121,'Clarice'!$F$6:$F$300,"Concluído")+COUNTIFS('Luisa'!$B$6:$B$300,$A121,'Luisa'!$F$6:$F$300,"Concluído")+COUNTIFS('Lui'!$B$6:$B$300,$A121,'Lui'!$F$6:$F$300,"Concluído")+COUNTIFS('Thaís'!$B$6:$B$300,$A121,'Thaís'!$F$6:$F$300,"Concluído")+COUNTIFS('Daniel'!$B$6:$B$300,$A121,'Daniel'!$F$6:$F$300,"Concluído")+COUNTIFS('Fernando'!$B$6:$B$300,$A121,'Fernando'!$F$6:$F$300,"Concluído")+COUNTIFS('Stephanie'!$B$6:$B$300,$A121,'Stephanie'!$F$6:$F$300,"Concluído")+COUNTIFS('Fox'!$B$6:$B$300,$A121,'Fox'!$F$6:$F$300,"Concluído")+COUNTIFS('Bruna'!$B$6:$B$300,$A121,'Bruna'!$F$6:$F$300,"Concluído")+COUNTIFS('Stella'!$B$6:$B$300,$A121,'Stella'!$F$6:$F$300,"Concluído")+COUNTIFS('Igor'!$B$6:$B$300,$A121,'Igor'!$F$6:$F$300,"Concluído"))&amp;" / "&amp;(COUNTIF('Clarice'!$B$6:$B$300,$A121)+COUNTIF('Luisa'!$B$6:$B$300,$A121)+COUNTIF('Lui'!$B$6:$B$300,$A121)+COUNTIF('Thaís'!$B$6:$B$300,$A121)+COUNTIF('Daniel'!$B$6:$B$300,$A121)+COUNTIF('Fernando'!$B$6:$B$300,$A121)+COUNTIF('Stephanie'!$B$6:$B$300,$A121)+COUNTIF('Fox'!$B$6:$B$300,$A121)+COUNTIF('Bruna'!$B$6:$B$300,$A121)+COUNTIF('Stella'!$B$6:$B$300,$A121)+COUNTIF('Igor'!$B$6:$B$300,$A121)))</f>
        <v/>
      </c>
      <c r="K121" s="19" t="n"/>
      <c r="L121" s="19" t="n"/>
      <c r="M121" s="19" t="n"/>
      <c r="N121" s="19" t="n"/>
      <c r="O121" s="19" t="n"/>
      <c r="P121" s="20">
        <f>IF($A121="","",IF(M121&lt;&gt;"",M121,IF(K121&lt;&gt;"",K121,"")))</f>
        <v/>
      </c>
      <c r="Q121" s="20">
        <f>IF($A121="","",IF(N121&lt;&gt;"",N121,IF(L121&lt;&gt;"",L121,"")))</f>
        <v/>
      </c>
      <c r="R121" s="15" t="n"/>
      <c r="S121" s="16">
        <f t="array" ref="S121">IF($A121="","",_xlfn.TEXTJOIN(CHAR(10),TRUE,IF('Clarice'!$B$6:$B$300=$A121,"Clarice"&amp;IF('Clarice'!$E$6:$E$300="",""," : "&amp;'Clarice'!$E$6:$E$300)&amp;" ["&amp;'Clarice'!$F$6:$F$300&amp;"]",""),IF('Luisa'!$B$6:$B$300=$A121,"Luisa"&amp;IF('Luisa'!$E$6:$E$300="",""," : "&amp;'Luisa'!$E$6:$E$300)&amp;" ["&amp;'Luisa'!$F$6:$F$300&amp;"]",""),IF('Lui'!$B$6:$B$300=$A121,"Lui"&amp;IF('Lui'!$E$6:$E$300="",""," : "&amp;'Lui'!$E$6:$E$300)&amp;" ["&amp;'Lui'!$F$6:$F$300&amp;"]",""),IF('Thaís'!$B$6:$B$300=$A121,"Thaís"&amp;IF('Thaís'!$E$6:$E$300="",""," : "&amp;'Thaís'!$E$6:$E$300)&amp;" ["&amp;'Thaís'!$F$6:$F$300&amp;"]",""),IF('Daniel'!$B$6:$B$300=$A121,"Daniel"&amp;IF('Daniel'!$E$6:$E$300="",""," : "&amp;'Daniel'!$E$6:$E$300)&amp;" ["&amp;'Daniel'!$F$6:$F$300&amp;"]",""),IF('Fernando'!$B$6:$B$300=$A121,"Fernando"&amp;IF('Fernando'!$E$6:$E$300="",""," : "&amp;'Fernando'!$E$6:$E$300)&amp;" ["&amp;'Fernando'!$F$6:$F$300&amp;"]",""),IF('Stephanie'!$B$6:$B$300=$A121,"Stephanie"&amp;IF('Stephanie'!$E$6:$E$300="",""," : "&amp;'Stephanie'!$E$6:$E$300)&amp;" ["&amp;'Stephanie'!$F$6:$F$300&amp;"]",""),IF('Fox'!$B$6:$B$300=$A121,"Fox"&amp;IF('Fox'!$E$6:$E$300="",""," : "&amp;'Fox'!$E$6:$E$300)&amp;" ["&amp;'Fox'!$F$6:$F$300&amp;"]",""),IF('Bruna'!$B$6:$B$300=$A121,"Bruna"&amp;IF('Bruna'!$E$6:$E$300="",""," : "&amp;'Bruna'!$E$6:$E$300)&amp;" ["&amp;'Bruna'!$F$6:$F$300&amp;"]",""),IF('Stella'!$B$6:$B$300=$A121,"Stella"&amp;IF('Stella'!$E$6:$E$300="",""," : "&amp;'Stella'!$E$6:$E$300)&amp;" ["&amp;'Stella'!$F$6:$F$300&amp;"]",""),IF('Igor'!$B$6:$B$300=$A121,"Igor"&amp;IF('Igor'!$E$6:$E$300="",""," : "&amp;'Igor'!$E$6:$E$300)&amp;" ["&amp;'Igor'!$F$6:$F$300&amp;"]","")))</f>
        <v/>
      </c>
    </row>
    <row r="122" ht="40.5" customHeight="1">
      <c r="A122" s="13" t="inlineStr">
        <is>
          <t>DM-058</t>
        </is>
      </c>
      <c r="B122" s="14" t="inlineStr">
        <is>
          <t>Etapa 2: Construção das métricas | Atividade 7: Operacionalização das métricas | Atividade 8: Aplicação das métricas</t>
        </is>
      </c>
      <c r="C122" s="14" t="inlineStr">
        <is>
          <t>3. Aplicação da DM</t>
        </is>
      </c>
      <c r="D122" s="14" t="inlineStr">
        <is>
          <t>Boaventura</t>
        </is>
      </c>
      <c r="E122" s="15" t="inlineStr">
        <is>
          <t>Definir tipo, componente e atributos - fauna aquática  (Boaventura)</t>
        </is>
      </c>
      <c r="F122" s="13" t="inlineStr">
        <is>
          <t>Stephanie</t>
        </is>
      </c>
      <c r="G122" s="16">
        <f>IF($A122="","",_xlfn.TEXTJOIN("; ",TRUE,IF(COUNTIF('Clarice'!$B$6:$B$300,$A122)&gt;0,"Clarice",""),IF(COUNTIF('Luisa'!$B$6:$B$300,$A122)&gt;0,"Luisa",""),IF(COUNTIF('Lui'!$B$6:$B$300,$A122)&gt;0,"Lui",""),IF(COUNTIF('Thaís'!$B$6:$B$300,$A122)&gt;0,"Thaís",""),IF(COUNTIF('Daniel'!$B$6:$B$300,$A122)&gt;0,"Daniel",""),IF(COUNTIF('Fernando'!$B$6:$B$300,$A122)&gt;0,"Fernando",""),IF(COUNTIF('Stephanie'!$B$6:$B$300,$A122)&gt;0,"Stephanie",""),IF(COUNTIF('Fox'!$B$6:$B$300,$A122)&gt;0,"Fox",""),IF(COUNTIF('Bruna'!$B$6:$B$300,$A122)&gt;0,"Bruna",""),IF(COUNTIF('Stella'!$B$6:$B$300,$A122)&gt;0,"Stella",""),IF(COUNTIF('Igor'!$B$6:$B$300,$A122)&gt;0,"Igor","")))</f>
        <v/>
      </c>
      <c r="H122" s="13" t="n"/>
      <c r="I122" s="13" t="inlineStr">
        <is>
          <t>Pausado</t>
        </is>
      </c>
      <c r="J122" s="17">
        <f>IF(OR($A122="",(COUNTIF('Clarice'!$B$6:$B$300,$A122)+COUNTIF('Luisa'!$B$6:$B$300,$A122)+COUNTIF('Lui'!$B$6:$B$300,$A122)+COUNTIF('Thaís'!$B$6:$B$300,$A122)+COUNTIF('Daniel'!$B$6:$B$300,$A122)+COUNTIF('Fernando'!$B$6:$B$300,$A122)+COUNTIF('Stephanie'!$B$6:$B$300,$A122)+COUNTIF('Fox'!$B$6:$B$300,$A122)+COUNTIF('Bruna'!$B$6:$B$300,$A122)+COUNTIF('Stella'!$B$6:$B$300,$A122)+COUNTIF('Igor'!$B$6:$B$300,$A122))=0),"",(COUNTIFS('Clarice'!$B$6:$B$300,$A122,'Clarice'!$F$6:$F$300,"Concluído")+COUNTIFS('Luisa'!$B$6:$B$300,$A122,'Luisa'!$F$6:$F$300,"Concluído")+COUNTIFS('Lui'!$B$6:$B$300,$A122,'Lui'!$F$6:$F$300,"Concluído")+COUNTIFS('Thaís'!$B$6:$B$300,$A122,'Thaís'!$F$6:$F$300,"Concluído")+COUNTIFS('Daniel'!$B$6:$B$300,$A122,'Daniel'!$F$6:$F$300,"Concluído")+COUNTIFS('Fernando'!$B$6:$B$300,$A122,'Fernando'!$F$6:$F$300,"Concluído")+COUNTIFS('Stephanie'!$B$6:$B$300,$A122,'Stephanie'!$F$6:$F$300,"Concluído")+COUNTIFS('Fox'!$B$6:$B$300,$A122,'Fox'!$F$6:$F$300,"Concluído")+COUNTIFS('Bruna'!$B$6:$B$300,$A122,'Bruna'!$F$6:$F$300,"Concluído")+COUNTIFS('Stella'!$B$6:$B$300,$A122,'Stella'!$F$6:$F$300,"Concluído")+COUNTIFS('Igor'!$B$6:$B$300,$A122,'Igor'!$F$6:$F$300,"Concluído"))&amp;" / "&amp;(COUNTIF('Clarice'!$B$6:$B$300,$A122)+COUNTIF('Luisa'!$B$6:$B$300,$A122)+COUNTIF('Lui'!$B$6:$B$300,$A122)+COUNTIF('Thaís'!$B$6:$B$300,$A122)+COUNTIF('Daniel'!$B$6:$B$300,$A122)+COUNTIF('Fernando'!$B$6:$B$300,$A122)+COUNTIF('Stephanie'!$B$6:$B$300,$A122)+COUNTIF('Fox'!$B$6:$B$300,$A122)+COUNTIF('Bruna'!$B$6:$B$300,$A122)+COUNTIF('Stella'!$B$6:$B$300,$A122)+COUNTIF('Igor'!$B$6:$B$300,$A122)))</f>
        <v/>
      </c>
      <c r="K122" s="18" t="n">
        <v>46132</v>
      </c>
      <c r="L122" s="18" t="n">
        <v>46164</v>
      </c>
      <c r="M122" s="19" t="n"/>
      <c r="N122" s="19" t="n"/>
      <c r="O122" s="19" t="n"/>
      <c r="P122" s="20">
        <f>IF($A122="","",IF(M122&lt;&gt;"",M122,IF(K122&lt;&gt;"",K122,"")))</f>
        <v/>
      </c>
      <c r="Q122" s="20">
        <f>IF($A122="","",IF(N122&lt;&gt;"",N122,IF(L122&lt;&gt;"",L122,"")))</f>
        <v/>
      </c>
      <c r="R122" s="15" t="n"/>
      <c r="S122" s="16">
        <f t="array" ref="S122">IF($A122="","",_xlfn.TEXTJOIN(CHAR(10),TRUE,IF('Clarice'!$B$6:$B$300=$A122,"Clarice"&amp;IF('Clarice'!$E$6:$E$300="",""," : "&amp;'Clarice'!$E$6:$E$300)&amp;" ["&amp;'Clarice'!$F$6:$F$300&amp;"]",""),IF('Luisa'!$B$6:$B$300=$A122,"Luisa"&amp;IF('Luisa'!$E$6:$E$300="",""," : "&amp;'Luisa'!$E$6:$E$300)&amp;" ["&amp;'Luisa'!$F$6:$F$300&amp;"]",""),IF('Lui'!$B$6:$B$300=$A122,"Lui"&amp;IF('Lui'!$E$6:$E$300="",""," : "&amp;'Lui'!$E$6:$E$300)&amp;" ["&amp;'Lui'!$F$6:$F$300&amp;"]",""),IF('Thaís'!$B$6:$B$300=$A122,"Thaís"&amp;IF('Thaís'!$E$6:$E$300="",""," : "&amp;'Thaís'!$E$6:$E$300)&amp;" ["&amp;'Thaís'!$F$6:$F$300&amp;"]",""),IF('Daniel'!$B$6:$B$300=$A122,"Daniel"&amp;IF('Daniel'!$E$6:$E$300="",""," : "&amp;'Daniel'!$E$6:$E$300)&amp;" ["&amp;'Daniel'!$F$6:$F$300&amp;"]",""),IF('Fernando'!$B$6:$B$300=$A122,"Fernando"&amp;IF('Fernando'!$E$6:$E$300="",""," : "&amp;'Fernando'!$E$6:$E$300)&amp;" ["&amp;'Fernando'!$F$6:$F$300&amp;"]",""),IF('Stephanie'!$B$6:$B$300=$A122,"Stephanie"&amp;IF('Stephanie'!$E$6:$E$300="",""," : "&amp;'Stephanie'!$E$6:$E$300)&amp;" ["&amp;'Stephanie'!$F$6:$F$300&amp;"]",""),IF('Fox'!$B$6:$B$300=$A122,"Fox"&amp;IF('Fox'!$E$6:$E$300="",""," : "&amp;'Fox'!$E$6:$E$300)&amp;" ["&amp;'Fox'!$F$6:$F$300&amp;"]",""),IF('Bruna'!$B$6:$B$300=$A122,"Bruna"&amp;IF('Bruna'!$E$6:$E$300="",""," : "&amp;'Bruna'!$E$6:$E$300)&amp;" ["&amp;'Bruna'!$F$6:$F$300&amp;"]",""),IF('Stella'!$B$6:$B$300=$A122,"Stella"&amp;IF('Stella'!$E$6:$E$300="",""," : "&amp;'Stella'!$E$6:$E$300)&amp;" ["&amp;'Stella'!$F$6:$F$300&amp;"]",""),IF('Igor'!$B$6:$B$300=$A122,"Igor"&amp;IF('Igor'!$E$6:$E$300="",""," : "&amp;'Igor'!$E$6:$E$300)&amp;" ["&amp;'Igor'!$F$6:$F$300&amp;"]","")))</f>
        <v/>
      </c>
    </row>
    <row r="123" ht="40.5" customHeight="1">
      <c r="A123" s="13" t="inlineStr">
        <is>
          <t>DM-059</t>
        </is>
      </c>
      <c r="B123" s="14" t="inlineStr">
        <is>
          <t>Etapa 2: Construção das métricas | Atividade 7: Operacionalização das métricas | Atividade 8: Aplicação das métricas</t>
        </is>
      </c>
      <c r="C123" s="14" t="inlineStr">
        <is>
          <t>3. Aplicação da DM</t>
        </is>
      </c>
      <c r="D123" s="14" t="inlineStr">
        <is>
          <t>Boaventura</t>
        </is>
      </c>
      <c r="E123" s="15" t="inlineStr">
        <is>
          <t>Definir os dados usados para cálculo de perdas e ganhos - fauna aquática (Boaventura)</t>
        </is>
      </c>
      <c r="F123" s="13" t="inlineStr">
        <is>
          <t>Stephanie</t>
        </is>
      </c>
      <c r="G123" s="16">
        <f>IF($A123="","",_xlfn.TEXTJOIN("; ",TRUE,IF(COUNTIF('Clarice'!$B$6:$B$300,$A123)&gt;0,"Clarice",""),IF(COUNTIF('Luisa'!$B$6:$B$300,$A123)&gt;0,"Luisa",""),IF(COUNTIF('Lui'!$B$6:$B$300,$A123)&gt;0,"Lui",""),IF(COUNTIF('Thaís'!$B$6:$B$300,$A123)&gt;0,"Thaís",""),IF(COUNTIF('Daniel'!$B$6:$B$300,$A123)&gt;0,"Daniel",""),IF(COUNTIF('Fernando'!$B$6:$B$300,$A123)&gt;0,"Fernando",""),IF(COUNTIF('Stephanie'!$B$6:$B$300,$A123)&gt;0,"Stephanie",""),IF(COUNTIF('Fox'!$B$6:$B$300,$A123)&gt;0,"Fox",""),IF(COUNTIF('Bruna'!$B$6:$B$300,$A123)&gt;0,"Bruna",""),IF(COUNTIF('Stella'!$B$6:$B$300,$A123)&gt;0,"Stella",""),IF(COUNTIF('Igor'!$B$6:$B$300,$A123)&gt;0,"Igor","")))</f>
        <v/>
      </c>
      <c r="H123" s="13" t="n"/>
      <c r="I123" s="13" t="inlineStr">
        <is>
          <t>Pausado</t>
        </is>
      </c>
      <c r="J123" s="17">
        <f>IF(OR($A123="",(COUNTIF('Clarice'!$B$6:$B$300,$A123)+COUNTIF('Luisa'!$B$6:$B$300,$A123)+COUNTIF('Lui'!$B$6:$B$300,$A123)+COUNTIF('Thaís'!$B$6:$B$300,$A123)+COUNTIF('Daniel'!$B$6:$B$300,$A123)+COUNTIF('Fernando'!$B$6:$B$300,$A123)+COUNTIF('Stephanie'!$B$6:$B$300,$A123)+COUNTIF('Fox'!$B$6:$B$300,$A123)+COUNTIF('Bruna'!$B$6:$B$300,$A123)+COUNTIF('Stella'!$B$6:$B$300,$A123)+COUNTIF('Igor'!$B$6:$B$300,$A123))=0),"",(COUNTIFS('Clarice'!$B$6:$B$300,$A123,'Clarice'!$F$6:$F$300,"Concluído")+COUNTIFS('Luisa'!$B$6:$B$300,$A123,'Luisa'!$F$6:$F$300,"Concluído")+COUNTIFS('Lui'!$B$6:$B$300,$A123,'Lui'!$F$6:$F$300,"Concluído")+COUNTIFS('Thaís'!$B$6:$B$300,$A123,'Thaís'!$F$6:$F$300,"Concluído")+COUNTIFS('Daniel'!$B$6:$B$300,$A123,'Daniel'!$F$6:$F$300,"Concluído")+COUNTIFS('Fernando'!$B$6:$B$300,$A123,'Fernando'!$F$6:$F$300,"Concluído")+COUNTIFS('Stephanie'!$B$6:$B$300,$A123,'Stephanie'!$F$6:$F$300,"Concluído")+COUNTIFS('Fox'!$B$6:$B$300,$A123,'Fox'!$F$6:$F$300,"Concluído")+COUNTIFS('Bruna'!$B$6:$B$300,$A123,'Bruna'!$F$6:$F$300,"Concluído")+COUNTIFS('Stella'!$B$6:$B$300,$A123,'Stella'!$F$6:$F$300,"Concluído")+COUNTIFS('Igor'!$B$6:$B$300,$A123,'Igor'!$F$6:$F$300,"Concluído"))&amp;" / "&amp;(COUNTIF('Clarice'!$B$6:$B$300,$A123)+COUNTIF('Luisa'!$B$6:$B$300,$A123)+COUNTIF('Lui'!$B$6:$B$300,$A123)+COUNTIF('Thaís'!$B$6:$B$300,$A123)+COUNTIF('Daniel'!$B$6:$B$300,$A123)+COUNTIF('Fernando'!$B$6:$B$300,$A123)+COUNTIF('Stephanie'!$B$6:$B$300,$A123)+COUNTIF('Fox'!$B$6:$B$300,$A123)+COUNTIF('Bruna'!$B$6:$B$300,$A123)+COUNTIF('Stella'!$B$6:$B$300,$A123)+COUNTIF('Igor'!$B$6:$B$300,$A123)))</f>
        <v/>
      </c>
      <c r="K123" s="19" t="n"/>
      <c r="L123" s="19" t="n"/>
      <c r="M123" s="19" t="n"/>
      <c r="N123" s="19" t="n"/>
      <c r="O123" s="19" t="n"/>
      <c r="P123" s="20">
        <f>IF($A123="","",IF(M123&lt;&gt;"",M123,IF(K123&lt;&gt;"",K123,"")))</f>
        <v/>
      </c>
      <c r="Q123" s="20">
        <f>IF($A123="","",IF(N123&lt;&gt;"",N123,IF(L123&lt;&gt;"",L123,"")))</f>
        <v/>
      </c>
      <c r="R123" s="15" t="n"/>
      <c r="S123" s="16">
        <f t="array" ref="S123">IF($A123="","",_xlfn.TEXTJOIN(CHAR(10),TRUE,IF('Clarice'!$B$6:$B$300=$A123,"Clarice"&amp;IF('Clarice'!$E$6:$E$300="",""," : "&amp;'Clarice'!$E$6:$E$300)&amp;" ["&amp;'Clarice'!$F$6:$F$300&amp;"]",""),IF('Luisa'!$B$6:$B$300=$A123,"Luisa"&amp;IF('Luisa'!$E$6:$E$300="",""," : "&amp;'Luisa'!$E$6:$E$300)&amp;" ["&amp;'Luisa'!$F$6:$F$300&amp;"]",""),IF('Lui'!$B$6:$B$300=$A123,"Lui"&amp;IF('Lui'!$E$6:$E$300="",""," : "&amp;'Lui'!$E$6:$E$300)&amp;" ["&amp;'Lui'!$F$6:$F$300&amp;"]",""),IF('Thaís'!$B$6:$B$300=$A123,"Thaís"&amp;IF('Thaís'!$E$6:$E$300="",""," : "&amp;'Thaís'!$E$6:$E$300)&amp;" ["&amp;'Thaís'!$F$6:$F$300&amp;"]",""),IF('Daniel'!$B$6:$B$300=$A123,"Daniel"&amp;IF('Daniel'!$E$6:$E$300="",""," : "&amp;'Daniel'!$E$6:$E$300)&amp;" ["&amp;'Daniel'!$F$6:$F$300&amp;"]",""),IF('Fernando'!$B$6:$B$300=$A123,"Fernando"&amp;IF('Fernando'!$E$6:$E$300="",""," : "&amp;'Fernando'!$E$6:$E$300)&amp;" ["&amp;'Fernando'!$F$6:$F$300&amp;"]",""),IF('Stephanie'!$B$6:$B$300=$A123,"Stephanie"&amp;IF('Stephanie'!$E$6:$E$300="",""," : "&amp;'Stephanie'!$E$6:$E$300)&amp;" ["&amp;'Stephanie'!$F$6:$F$300&amp;"]",""),IF('Fox'!$B$6:$B$300=$A123,"Fox"&amp;IF('Fox'!$E$6:$E$300="",""," : "&amp;'Fox'!$E$6:$E$300)&amp;" ["&amp;'Fox'!$F$6:$F$300&amp;"]",""),IF('Bruna'!$B$6:$B$300=$A123,"Bruna"&amp;IF('Bruna'!$E$6:$E$300="",""," : "&amp;'Bruna'!$E$6:$E$300)&amp;" ["&amp;'Bruna'!$F$6:$F$300&amp;"]",""),IF('Stella'!$B$6:$B$300=$A123,"Stella"&amp;IF('Stella'!$E$6:$E$300="",""," : "&amp;'Stella'!$E$6:$E$300)&amp;" ["&amp;'Stella'!$F$6:$F$300&amp;"]",""),IF('Igor'!$B$6:$B$300=$A123,"Igor"&amp;IF('Igor'!$E$6:$E$300="",""," : "&amp;'Igor'!$E$6:$E$300)&amp;" ["&amp;'Igor'!$F$6:$F$300&amp;"]","")))</f>
        <v/>
      </c>
    </row>
    <row r="124" ht="28" customHeight="1">
      <c r="A124" s="13" t="inlineStr">
        <is>
          <t>DM-060</t>
        </is>
      </c>
      <c r="B124" s="14" t="inlineStr">
        <is>
          <t>Etapa 2: Construção das métricas | Atividade 7: Operacionalização das métricas | Atividade 8: Aplicação das métricas</t>
        </is>
      </c>
      <c r="C124" s="14" t="inlineStr">
        <is>
          <t>3. Aplicação da DM</t>
        </is>
      </c>
      <c r="D124" s="14" t="inlineStr">
        <is>
          <t>Boaventura</t>
        </is>
      </c>
      <c r="E124" s="15" t="inlineStr">
        <is>
          <t>Definir parâmetros e fatores de ajuste - fauna aquática (Boaventura)</t>
        </is>
      </c>
      <c r="F124" s="13" t="inlineStr">
        <is>
          <t>Stephanie</t>
        </is>
      </c>
      <c r="G124" s="16">
        <f>IF($A124="","",_xlfn.TEXTJOIN("; ",TRUE,IF(COUNTIF('Clarice'!$B$6:$B$300,$A124)&gt;0,"Clarice",""),IF(COUNTIF('Luisa'!$B$6:$B$300,$A124)&gt;0,"Luisa",""),IF(COUNTIF('Lui'!$B$6:$B$300,$A124)&gt;0,"Lui",""),IF(COUNTIF('Thaís'!$B$6:$B$300,$A124)&gt;0,"Thaís",""),IF(COUNTIF('Daniel'!$B$6:$B$300,$A124)&gt;0,"Daniel",""),IF(COUNTIF('Fernando'!$B$6:$B$300,$A124)&gt;0,"Fernando",""),IF(COUNTIF('Stephanie'!$B$6:$B$300,$A124)&gt;0,"Stephanie",""),IF(COUNTIF('Fox'!$B$6:$B$300,$A124)&gt;0,"Fox",""),IF(COUNTIF('Bruna'!$B$6:$B$300,$A124)&gt;0,"Bruna",""),IF(COUNTIF('Stella'!$B$6:$B$300,$A124)&gt;0,"Stella",""),IF(COUNTIF('Igor'!$B$6:$B$300,$A124)&gt;0,"Igor","")))</f>
        <v/>
      </c>
      <c r="H124" s="13" t="n"/>
      <c r="I124" s="13" t="inlineStr">
        <is>
          <t>Pausado</t>
        </is>
      </c>
      <c r="J124" s="17">
        <f>IF(OR($A124="",(COUNTIF('Clarice'!$B$6:$B$300,$A124)+COUNTIF('Luisa'!$B$6:$B$300,$A124)+COUNTIF('Lui'!$B$6:$B$300,$A124)+COUNTIF('Thaís'!$B$6:$B$300,$A124)+COUNTIF('Daniel'!$B$6:$B$300,$A124)+COUNTIF('Fernando'!$B$6:$B$300,$A124)+COUNTIF('Stephanie'!$B$6:$B$300,$A124)+COUNTIF('Fox'!$B$6:$B$300,$A124)+COUNTIF('Bruna'!$B$6:$B$300,$A124)+COUNTIF('Stella'!$B$6:$B$300,$A124)+COUNTIF('Igor'!$B$6:$B$300,$A124))=0),"",(COUNTIFS('Clarice'!$B$6:$B$300,$A124,'Clarice'!$F$6:$F$300,"Concluído")+COUNTIFS('Luisa'!$B$6:$B$300,$A124,'Luisa'!$F$6:$F$300,"Concluído")+COUNTIFS('Lui'!$B$6:$B$300,$A124,'Lui'!$F$6:$F$300,"Concluído")+COUNTIFS('Thaís'!$B$6:$B$300,$A124,'Thaís'!$F$6:$F$300,"Concluído")+COUNTIFS('Daniel'!$B$6:$B$300,$A124,'Daniel'!$F$6:$F$300,"Concluído")+COUNTIFS('Fernando'!$B$6:$B$300,$A124,'Fernando'!$F$6:$F$300,"Concluído")+COUNTIFS('Stephanie'!$B$6:$B$300,$A124,'Stephanie'!$F$6:$F$300,"Concluído")+COUNTIFS('Fox'!$B$6:$B$300,$A124,'Fox'!$F$6:$F$300,"Concluído")+COUNTIFS('Bruna'!$B$6:$B$300,$A124,'Bruna'!$F$6:$F$300,"Concluído")+COUNTIFS('Stella'!$B$6:$B$300,$A124,'Stella'!$F$6:$F$300,"Concluído")+COUNTIFS('Igor'!$B$6:$B$300,$A124,'Igor'!$F$6:$F$300,"Concluído"))&amp;" / "&amp;(COUNTIF('Clarice'!$B$6:$B$300,$A124)+COUNTIF('Luisa'!$B$6:$B$300,$A124)+COUNTIF('Lui'!$B$6:$B$300,$A124)+COUNTIF('Thaís'!$B$6:$B$300,$A124)+COUNTIF('Daniel'!$B$6:$B$300,$A124)+COUNTIF('Fernando'!$B$6:$B$300,$A124)+COUNTIF('Stephanie'!$B$6:$B$300,$A124)+COUNTIF('Fox'!$B$6:$B$300,$A124)+COUNTIF('Bruna'!$B$6:$B$300,$A124)+COUNTIF('Stella'!$B$6:$B$300,$A124)+COUNTIF('Igor'!$B$6:$B$300,$A124)))</f>
        <v/>
      </c>
      <c r="K124" s="18" t="n">
        <v>46160</v>
      </c>
      <c r="L124" s="18" t="n">
        <v>46164</v>
      </c>
      <c r="M124" s="19" t="n"/>
      <c r="N124" s="19" t="n"/>
      <c r="O124" s="19" t="n"/>
      <c r="P124" s="20">
        <f>IF($A124="","",IF(M124&lt;&gt;"",M124,IF(K124&lt;&gt;"",K124,"")))</f>
        <v/>
      </c>
      <c r="Q124" s="20">
        <f>IF($A124="","",IF(N124&lt;&gt;"",N124,IF(L124&lt;&gt;"",L124,"")))</f>
        <v/>
      </c>
      <c r="R124" s="15" t="n"/>
      <c r="S124" s="16">
        <f t="array" ref="S124">IF($A124="","",_xlfn.TEXTJOIN(CHAR(10),TRUE,IF('Clarice'!$B$6:$B$300=$A124,"Clarice"&amp;IF('Clarice'!$E$6:$E$300="",""," : "&amp;'Clarice'!$E$6:$E$300)&amp;" ["&amp;'Clarice'!$F$6:$F$300&amp;"]",""),IF('Luisa'!$B$6:$B$300=$A124,"Luisa"&amp;IF('Luisa'!$E$6:$E$300="",""," : "&amp;'Luisa'!$E$6:$E$300)&amp;" ["&amp;'Luisa'!$F$6:$F$300&amp;"]",""),IF('Lui'!$B$6:$B$300=$A124,"Lui"&amp;IF('Lui'!$E$6:$E$300="",""," : "&amp;'Lui'!$E$6:$E$300)&amp;" ["&amp;'Lui'!$F$6:$F$300&amp;"]",""),IF('Thaís'!$B$6:$B$300=$A124,"Thaís"&amp;IF('Thaís'!$E$6:$E$300="",""," : "&amp;'Thaís'!$E$6:$E$300)&amp;" ["&amp;'Thaís'!$F$6:$F$300&amp;"]",""),IF('Daniel'!$B$6:$B$300=$A124,"Daniel"&amp;IF('Daniel'!$E$6:$E$300="",""," : "&amp;'Daniel'!$E$6:$E$300)&amp;" ["&amp;'Daniel'!$F$6:$F$300&amp;"]",""),IF('Fernando'!$B$6:$B$300=$A124,"Fernando"&amp;IF('Fernando'!$E$6:$E$300="",""," : "&amp;'Fernando'!$E$6:$E$300)&amp;" ["&amp;'Fernando'!$F$6:$F$300&amp;"]",""),IF('Stephanie'!$B$6:$B$300=$A124,"Stephanie"&amp;IF('Stephanie'!$E$6:$E$300="",""," : "&amp;'Stephanie'!$E$6:$E$300)&amp;" ["&amp;'Stephanie'!$F$6:$F$300&amp;"]",""),IF('Fox'!$B$6:$B$300=$A124,"Fox"&amp;IF('Fox'!$E$6:$E$300="",""," : "&amp;'Fox'!$E$6:$E$300)&amp;" ["&amp;'Fox'!$F$6:$F$300&amp;"]",""),IF('Bruna'!$B$6:$B$300=$A124,"Bruna"&amp;IF('Bruna'!$E$6:$E$300="",""," : "&amp;'Bruna'!$E$6:$E$300)&amp;" ["&amp;'Bruna'!$F$6:$F$300&amp;"]",""),IF('Stella'!$B$6:$B$300=$A124,"Stella"&amp;IF('Stella'!$E$6:$E$300="",""," : "&amp;'Stella'!$E$6:$E$300)&amp;" ["&amp;'Stella'!$F$6:$F$300&amp;"]",""),IF('Igor'!$B$6:$B$300=$A124,"Igor"&amp;IF('Igor'!$E$6:$E$300="",""," : "&amp;'Igor'!$E$6:$E$300)&amp;" ["&amp;'Igor'!$F$6:$F$300&amp;"]","")))</f>
        <v/>
      </c>
    </row>
    <row r="125" ht="28" customHeight="1">
      <c r="A125" s="13" t="inlineStr">
        <is>
          <t>DM-061</t>
        </is>
      </c>
      <c r="B125" s="14" t="inlineStr">
        <is>
          <t>Etapa 2: Construção das métricas | Atividade 7: Operacionalização das métricas | Atividade 8: Aplicação das métricas</t>
        </is>
      </c>
      <c r="C125" s="14" t="inlineStr">
        <is>
          <t>3. Aplicação da DM</t>
        </is>
      </c>
      <c r="D125" s="14" t="inlineStr">
        <is>
          <t>Boaventura</t>
        </is>
      </c>
      <c r="E125" s="15" t="inlineStr">
        <is>
          <t>Estruturação dos cálculos no excel - fauna aquática (Boaventura)</t>
        </is>
      </c>
      <c r="F125" s="13" t="inlineStr">
        <is>
          <t>Stephanie</t>
        </is>
      </c>
      <c r="G125" s="16">
        <f>IF($A125="","",_xlfn.TEXTJOIN("; ",TRUE,IF(COUNTIF('Clarice'!$B$6:$B$300,$A125)&gt;0,"Clarice",""),IF(COUNTIF('Luisa'!$B$6:$B$300,$A125)&gt;0,"Luisa",""),IF(COUNTIF('Lui'!$B$6:$B$300,$A125)&gt;0,"Lui",""),IF(COUNTIF('Thaís'!$B$6:$B$300,$A125)&gt;0,"Thaís",""),IF(COUNTIF('Daniel'!$B$6:$B$300,$A125)&gt;0,"Daniel",""),IF(COUNTIF('Fernando'!$B$6:$B$300,$A125)&gt;0,"Fernando",""),IF(COUNTIF('Stephanie'!$B$6:$B$300,$A125)&gt;0,"Stephanie",""),IF(COUNTIF('Fox'!$B$6:$B$300,$A125)&gt;0,"Fox",""),IF(COUNTIF('Bruna'!$B$6:$B$300,$A125)&gt;0,"Bruna",""),IF(COUNTIF('Stella'!$B$6:$B$300,$A125)&gt;0,"Stella",""),IF(COUNTIF('Igor'!$B$6:$B$300,$A125)&gt;0,"Igor","")))</f>
        <v/>
      </c>
      <c r="H125" s="13" t="n"/>
      <c r="I125" s="13" t="inlineStr">
        <is>
          <t>Pausado</t>
        </is>
      </c>
      <c r="J125" s="17">
        <f>IF(OR($A125="",(COUNTIF('Clarice'!$B$6:$B$300,$A125)+COUNTIF('Luisa'!$B$6:$B$300,$A125)+COUNTIF('Lui'!$B$6:$B$300,$A125)+COUNTIF('Thaís'!$B$6:$B$300,$A125)+COUNTIF('Daniel'!$B$6:$B$300,$A125)+COUNTIF('Fernando'!$B$6:$B$300,$A125)+COUNTIF('Stephanie'!$B$6:$B$300,$A125)+COUNTIF('Fox'!$B$6:$B$300,$A125)+COUNTIF('Bruna'!$B$6:$B$300,$A125)+COUNTIF('Stella'!$B$6:$B$300,$A125)+COUNTIF('Igor'!$B$6:$B$300,$A125))=0),"",(COUNTIFS('Clarice'!$B$6:$B$300,$A125,'Clarice'!$F$6:$F$300,"Concluído")+COUNTIFS('Luisa'!$B$6:$B$300,$A125,'Luisa'!$F$6:$F$300,"Concluído")+COUNTIFS('Lui'!$B$6:$B$300,$A125,'Lui'!$F$6:$F$300,"Concluído")+COUNTIFS('Thaís'!$B$6:$B$300,$A125,'Thaís'!$F$6:$F$300,"Concluído")+COUNTIFS('Daniel'!$B$6:$B$300,$A125,'Daniel'!$F$6:$F$300,"Concluído")+COUNTIFS('Fernando'!$B$6:$B$300,$A125,'Fernando'!$F$6:$F$300,"Concluído")+COUNTIFS('Stephanie'!$B$6:$B$300,$A125,'Stephanie'!$F$6:$F$300,"Concluído")+COUNTIFS('Fox'!$B$6:$B$300,$A125,'Fox'!$F$6:$F$300,"Concluído")+COUNTIFS('Bruna'!$B$6:$B$300,$A125,'Bruna'!$F$6:$F$300,"Concluído")+COUNTIFS('Stella'!$B$6:$B$300,$A125,'Stella'!$F$6:$F$300,"Concluído")+COUNTIFS('Igor'!$B$6:$B$300,$A125,'Igor'!$F$6:$F$300,"Concluído"))&amp;" / "&amp;(COUNTIF('Clarice'!$B$6:$B$300,$A125)+COUNTIF('Luisa'!$B$6:$B$300,$A125)+COUNTIF('Lui'!$B$6:$B$300,$A125)+COUNTIF('Thaís'!$B$6:$B$300,$A125)+COUNTIF('Daniel'!$B$6:$B$300,$A125)+COUNTIF('Fernando'!$B$6:$B$300,$A125)+COUNTIF('Stephanie'!$B$6:$B$300,$A125)+COUNTIF('Fox'!$B$6:$B$300,$A125)+COUNTIF('Bruna'!$B$6:$B$300,$A125)+COUNTIF('Stella'!$B$6:$B$300,$A125)+COUNTIF('Igor'!$B$6:$B$300,$A125)))</f>
        <v/>
      </c>
      <c r="K125" s="19" t="n"/>
      <c r="L125" s="19" t="n"/>
      <c r="M125" s="19" t="n"/>
      <c r="N125" s="19" t="n"/>
      <c r="O125" s="19" t="n"/>
      <c r="P125" s="20">
        <f>IF($A125="","",IF(M125&lt;&gt;"",M125,IF(K125&lt;&gt;"",K125,"")))</f>
        <v/>
      </c>
      <c r="Q125" s="20">
        <f>IF($A125="","",IF(N125&lt;&gt;"",N125,IF(L125&lt;&gt;"",L125,"")))</f>
        <v/>
      </c>
      <c r="R125" s="15" t="n"/>
      <c r="S125" s="16">
        <f t="array" ref="S125">IF($A125="","",_xlfn.TEXTJOIN(CHAR(10),TRUE,IF('Clarice'!$B$6:$B$300=$A125,"Clarice"&amp;IF('Clarice'!$E$6:$E$300="",""," : "&amp;'Clarice'!$E$6:$E$300)&amp;" ["&amp;'Clarice'!$F$6:$F$300&amp;"]",""),IF('Luisa'!$B$6:$B$300=$A125,"Luisa"&amp;IF('Luisa'!$E$6:$E$300="",""," : "&amp;'Luisa'!$E$6:$E$300)&amp;" ["&amp;'Luisa'!$F$6:$F$300&amp;"]",""),IF('Lui'!$B$6:$B$300=$A125,"Lui"&amp;IF('Lui'!$E$6:$E$300="",""," : "&amp;'Lui'!$E$6:$E$300)&amp;" ["&amp;'Lui'!$F$6:$F$300&amp;"]",""),IF('Thaís'!$B$6:$B$300=$A125,"Thaís"&amp;IF('Thaís'!$E$6:$E$300="",""," : "&amp;'Thaís'!$E$6:$E$300)&amp;" ["&amp;'Thaís'!$F$6:$F$300&amp;"]",""),IF('Daniel'!$B$6:$B$300=$A125,"Daniel"&amp;IF('Daniel'!$E$6:$E$300="",""," : "&amp;'Daniel'!$E$6:$E$300)&amp;" ["&amp;'Daniel'!$F$6:$F$300&amp;"]",""),IF('Fernando'!$B$6:$B$300=$A125,"Fernando"&amp;IF('Fernando'!$E$6:$E$300="",""," : "&amp;'Fernando'!$E$6:$E$300)&amp;" ["&amp;'Fernando'!$F$6:$F$300&amp;"]",""),IF('Stephanie'!$B$6:$B$300=$A125,"Stephanie"&amp;IF('Stephanie'!$E$6:$E$300="",""," : "&amp;'Stephanie'!$E$6:$E$300)&amp;" ["&amp;'Stephanie'!$F$6:$F$300&amp;"]",""),IF('Fox'!$B$6:$B$300=$A125,"Fox"&amp;IF('Fox'!$E$6:$E$300="",""," : "&amp;'Fox'!$E$6:$E$300)&amp;" ["&amp;'Fox'!$F$6:$F$300&amp;"]",""),IF('Bruna'!$B$6:$B$300=$A125,"Bruna"&amp;IF('Bruna'!$E$6:$E$300="",""," : "&amp;'Bruna'!$E$6:$E$300)&amp;" ["&amp;'Bruna'!$F$6:$F$300&amp;"]",""),IF('Stella'!$B$6:$B$300=$A125,"Stella"&amp;IF('Stella'!$E$6:$E$300="",""," : "&amp;'Stella'!$E$6:$E$300)&amp;" ["&amp;'Stella'!$F$6:$F$300&amp;"]",""),IF('Igor'!$B$6:$B$300=$A125,"Igor"&amp;IF('Igor'!$E$6:$E$300="",""," : "&amp;'Igor'!$E$6:$E$300)&amp;" ["&amp;'Igor'!$F$6:$F$300&amp;"]","")))</f>
        <v/>
      </c>
    </row>
    <row r="126" ht="28" customHeight="1">
      <c r="A126" s="13" t="inlineStr">
        <is>
          <t>DM-062</t>
        </is>
      </c>
      <c r="B126" s="14" t="inlineStr">
        <is>
          <t>Etapa 2: Construção das métricas | Atividade 7: Operacionalização das métricas | Atividade 8: Aplicação das métricas</t>
        </is>
      </c>
      <c r="C126" s="14" t="inlineStr">
        <is>
          <t>3. Aplicação da DM</t>
        </is>
      </c>
      <c r="D126" s="14" t="inlineStr">
        <is>
          <t>Boaventura</t>
        </is>
      </c>
      <c r="E126" s="15" t="inlineStr">
        <is>
          <t>Rodar a métrica - fauna aquática  (Boaventura)</t>
        </is>
      </c>
      <c r="F126" s="13" t="inlineStr">
        <is>
          <t>Stephanie</t>
        </is>
      </c>
      <c r="G126" s="16">
        <f>IF($A126="","",_xlfn.TEXTJOIN("; ",TRUE,IF(COUNTIF('Clarice'!$B$6:$B$300,$A126)&gt;0,"Clarice",""),IF(COUNTIF('Luisa'!$B$6:$B$300,$A126)&gt;0,"Luisa",""),IF(COUNTIF('Lui'!$B$6:$B$300,$A126)&gt;0,"Lui",""),IF(COUNTIF('Thaís'!$B$6:$B$300,$A126)&gt;0,"Thaís",""),IF(COUNTIF('Daniel'!$B$6:$B$300,$A126)&gt;0,"Daniel",""),IF(COUNTIF('Fernando'!$B$6:$B$300,$A126)&gt;0,"Fernando",""),IF(COUNTIF('Stephanie'!$B$6:$B$300,$A126)&gt;0,"Stephanie",""),IF(COUNTIF('Fox'!$B$6:$B$300,$A126)&gt;0,"Fox",""),IF(COUNTIF('Bruna'!$B$6:$B$300,$A126)&gt;0,"Bruna",""),IF(COUNTIF('Stella'!$B$6:$B$300,$A126)&gt;0,"Stella",""),IF(COUNTIF('Igor'!$B$6:$B$300,$A126)&gt;0,"Igor","")))</f>
        <v/>
      </c>
      <c r="H126" s="13" t="n"/>
      <c r="I126" s="13" t="inlineStr">
        <is>
          <t>Pausado</t>
        </is>
      </c>
      <c r="J126" s="17">
        <f>IF(OR($A126="",(COUNTIF('Clarice'!$B$6:$B$300,$A126)+COUNTIF('Luisa'!$B$6:$B$300,$A126)+COUNTIF('Lui'!$B$6:$B$300,$A126)+COUNTIF('Thaís'!$B$6:$B$300,$A126)+COUNTIF('Daniel'!$B$6:$B$300,$A126)+COUNTIF('Fernando'!$B$6:$B$300,$A126)+COUNTIF('Stephanie'!$B$6:$B$300,$A126)+COUNTIF('Fox'!$B$6:$B$300,$A126)+COUNTIF('Bruna'!$B$6:$B$300,$A126)+COUNTIF('Stella'!$B$6:$B$300,$A126)+COUNTIF('Igor'!$B$6:$B$300,$A126))=0),"",(COUNTIFS('Clarice'!$B$6:$B$300,$A126,'Clarice'!$F$6:$F$300,"Concluído")+COUNTIFS('Luisa'!$B$6:$B$300,$A126,'Luisa'!$F$6:$F$300,"Concluído")+COUNTIFS('Lui'!$B$6:$B$300,$A126,'Lui'!$F$6:$F$300,"Concluído")+COUNTIFS('Thaís'!$B$6:$B$300,$A126,'Thaís'!$F$6:$F$300,"Concluído")+COUNTIFS('Daniel'!$B$6:$B$300,$A126,'Daniel'!$F$6:$F$300,"Concluído")+COUNTIFS('Fernando'!$B$6:$B$300,$A126,'Fernando'!$F$6:$F$300,"Concluído")+COUNTIFS('Stephanie'!$B$6:$B$300,$A126,'Stephanie'!$F$6:$F$300,"Concluído")+COUNTIFS('Fox'!$B$6:$B$300,$A126,'Fox'!$F$6:$F$300,"Concluído")+COUNTIFS('Bruna'!$B$6:$B$300,$A126,'Bruna'!$F$6:$F$300,"Concluído")+COUNTIFS('Stella'!$B$6:$B$300,$A126,'Stella'!$F$6:$F$300,"Concluído")+COUNTIFS('Igor'!$B$6:$B$300,$A126,'Igor'!$F$6:$F$300,"Concluído"))&amp;" / "&amp;(COUNTIF('Clarice'!$B$6:$B$300,$A126)+COUNTIF('Luisa'!$B$6:$B$300,$A126)+COUNTIF('Lui'!$B$6:$B$300,$A126)+COUNTIF('Thaís'!$B$6:$B$300,$A126)+COUNTIF('Daniel'!$B$6:$B$300,$A126)+COUNTIF('Fernando'!$B$6:$B$300,$A126)+COUNTIF('Stephanie'!$B$6:$B$300,$A126)+COUNTIF('Fox'!$B$6:$B$300,$A126)+COUNTIF('Bruna'!$B$6:$B$300,$A126)+COUNTIF('Stella'!$B$6:$B$300,$A126)+COUNTIF('Igor'!$B$6:$B$300,$A126)))</f>
        <v/>
      </c>
      <c r="K126" s="18" t="n">
        <v>46167</v>
      </c>
      <c r="L126" s="18" t="n">
        <v>46178</v>
      </c>
      <c r="M126" s="19" t="n"/>
      <c r="N126" s="19" t="n"/>
      <c r="O126" s="19" t="n"/>
      <c r="P126" s="20">
        <f>IF($A126="","",IF(M126&lt;&gt;"",M126,IF(K126&lt;&gt;"",K126,"")))</f>
        <v/>
      </c>
      <c r="Q126" s="20">
        <f>IF($A126="","",IF(N126&lt;&gt;"",N126,IF(L126&lt;&gt;"",L126,"")))</f>
        <v/>
      </c>
      <c r="R126" s="15" t="n"/>
      <c r="S126" s="16">
        <f t="array" ref="S126">IF($A126="","",_xlfn.TEXTJOIN(CHAR(10),TRUE,IF('Clarice'!$B$6:$B$300=$A126,"Clarice"&amp;IF('Clarice'!$E$6:$E$300="",""," : "&amp;'Clarice'!$E$6:$E$300)&amp;" ["&amp;'Clarice'!$F$6:$F$300&amp;"]",""),IF('Luisa'!$B$6:$B$300=$A126,"Luisa"&amp;IF('Luisa'!$E$6:$E$300="",""," : "&amp;'Luisa'!$E$6:$E$300)&amp;" ["&amp;'Luisa'!$F$6:$F$300&amp;"]",""),IF('Lui'!$B$6:$B$300=$A126,"Lui"&amp;IF('Lui'!$E$6:$E$300="",""," : "&amp;'Lui'!$E$6:$E$300)&amp;" ["&amp;'Lui'!$F$6:$F$300&amp;"]",""),IF('Thaís'!$B$6:$B$300=$A126,"Thaís"&amp;IF('Thaís'!$E$6:$E$300="",""," : "&amp;'Thaís'!$E$6:$E$300)&amp;" ["&amp;'Thaís'!$F$6:$F$300&amp;"]",""),IF('Daniel'!$B$6:$B$300=$A126,"Daniel"&amp;IF('Daniel'!$E$6:$E$300="",""," : "&amp;'Daniel'!$E$6:$E$300)&amp;" ["&amp;'Daniel'!$F$6:$F$300&amp;"]",""),IF('Fernando'!$B$6:$B$300=$A126,"Fernando"&amp;IF('Fernando'!$E$6:$E$300="",""," : "&amp;'Fernando'!$E$6:$E$300)&amp;" ["&amp;'Fernando'!$F$6:$F$300&amp;"]",""),IF('Stephanie'!$B$6:$B$300=$A126,"Stephanie"&amp;IF('Stephanie'!$E$6:$E$300="",""," : "&amp;'Stephanie'!$E$6:$E$300)&amp;" ["&amp;'Stephanie'!$F$6:$F$300&amp;"]",""),IF('Fox'!$B$6:$B$300=$A126,"Fox"&amp;IF('Fox'!$E$6:$E$300="",""," : "&amp;'Fox'!$E$6:$E$300)&amp;" ["&amp;'Fox'!$F$6:$F$300&amp;"]",""),IF('Bruna'!$B$6:$B$300=$A126,"Bruna"&amp;IF('Bruna'!$E$6:$E$300="",""," : "&amp;'Bruna'!$E$6:$E$300)&amp;" ["&amp;'Bruna'!$F$6:$F$300&amp;"]",""),IF('Stella'!$B$6:$B$300=$A126,"Stella"&amp;IF('Stella'!$E$6:$E$300="",""," : "&amp;'Stella'!$E$6:$E$300)&amp;" ["&amp;'Stella'!$F$6:$F$300&amp;"]",""),IF('Igor'!$B$6:$B$300=$A126,"Igor"&amp;IF('Igor'!$E$6:$E$300="",""," : "&amp;'Igor'!$E$6:$E$300)&amp;" ["&amp;'Igor'!$F$6:$F$300&amp;"]","")))</f>
        <v/>
      </c>
    </row>
    <row r="127" ht="28" customHeight="1">
      <c r="A127" s="13" t="inlineStr">
        <is>
          <t>DM-063</t>
        </is>
      </c>
      <c r="B127" s="14" t="inlineStr">
        <is>
          <t>Etapa 2: Construção das métricas | Atividade 7: Operacionalização das métricas | Atividade 8: Aplicação das métricas</t>
        </is>
      </c>
      <c r="C127" s="14" t="inlineStr">
        <is>
          <t>3. Aplicação da DM</t>
        </is>
      </c>
      <c r="D127" s="14" t="inlineStr">
        <is>
          <t>Boaventura</t>
        </is>
      </c>
      <c r="E127" s="15" t="inlineStr">
        <is>
          <t>Apresentar e consolidar os resultados internamente - fauna aquática  (Boaventura)</t>
        </is>
      </c>
      <c r="F127" s="13" t="inlineStr">
        <is>
          <t>Stephanie</t>
        </is>
      </c>
      <c r="G127" s="16">
        <f>IF($A127="","",_xlfn.TEXTJOIN("; ",TRUE,IF(COUNTIF('Clarice'!$B$6:$B$300,$A127)&gt;0,"Clarice",""),IF(COUNTIF('Luisa'!$B$6:$B$300,$A127)&gt;0,"Luisa",""),IF(COUNTIF('Lui'!$B$6:$B$300,$A127)&gt;0,"Lui",""),IF(COUNTIF('Thaís'!$B$6:$B$300,$A127)&gt;0,"Thaís",""),IF(COUNTIF('Daniel'!$B$6:$B$300,$A127)&gt;0,"Daniel",""),IF(COUNTIF('Fernando'!$B$6:$B$300,$A127)&gt;0,"Fernando",""),IF(COUNTIF('Stephanie'!$B$6:$B$300,$A127)&gt;0,"Stephanie",""),IF(COUNTIF('Fox'!$B$6:$B$300,$A127)&gt;0,"Fox",""),IF(COUNTIF('Bruna'!$B$6:$B$300,$A127)&gt;0,"Bruna",""),IF(COUNTIF('Stella'!$B$6:$B$300,$A127)&gt;0,"Stella",""),IF(COUNTIF('Igor'!$B$6:$B$300,$A127)&gt;0,"Igor","")))</f>
        <v/>
      </c>
      <c r="H127" s="13" t="n"/>
      <c r="I127" s="13" t="inlineStr">
        <is>
          <t>Pausado</t>
        </is>
      </c>
      <c r="J127" s="17">
        <f>IF(OR($A127="",(COUNTIF('Clarice'!$B$6:$B$300,$A127)+COUNTIF('Luisa'!$B$6:$B$300,$A127)+COUNTIF('Lui'!$B$6:$B$300,$A127)+COUNTIF('Thaís'!$B$6:$B$300,$A127)+COUNTIF('Daniel'!$B$6:$B$300,$A127)+COUNTIF('Fernando'!$B$6:$B$300,$A127)+COUNTIF('Stephanie'!$B$6:$B$300,$A127)+COUNTIF('Fox'!$B$6:$B$300,$A127)+COUNTIF('Bruna'!$B$6:$B$300,$A127)+COUNTIF('Stella'!$B$6:$B$300,$A127)+COUNTIF('Igor'!$B$6:$B$300,$A127))=0),"",(COUNTIFS('Clarice'!$B$6:$B$300,$A127,'Clarice'!$F$6:$F$300,"Concluído")+COUNTIFS('Luisa'!$B$6:$B$300,$A127,'Luisa'!$F$6:$F$300,"Concluído")+COUNTIFS('Lui'!$B$6:$B$300,$A127,'Lui'!$F$6:$F$300,"Concluído")+COUNTIFS('Thaís'!$B$6:$B$300,$A127,'Thaís'!$F$6:$F$300,"Concluído")+COUNTIFS('Daniel'!$B$6:$B$300,$A127,'Daniel'!$F$6:$F$300,"Concluído")+COUNTIFS('Fernando'!$B$6:$B$300,$A127,'Fernando'!$F$6:$F$300,"Concluído")+COUNTIFS('Stephanie'!$B$6:$B$300,$A127,'Stephanie'!$F$6:$F$300,"Concluído")+COUNTIFS('Fox'!$B$6:$B$300,$A127,'Fox'!$F$6:$F$300,"Concluído")+COUNTIFS('Bruna'!$B$6:$B$300,$A127,'Bruna'!$F$6:$F$300,"Concluído")+COUNTIFS('Stella'!$B$6:$B$300,$A127,'Stella'!$F$6:$F$300,"Concluído")+COUNTIFS('Igor'!$B$6:$B$300,$A127,'Igor'!$F$6:$F$300,"Concluído"))&amp;" / "&amp;(COUNTIF('Clarice'!$B$6:$B$300,$A127)+COUNTIF('Luisa'!$B$6:$B$300,$A127)+COUNTIF('Lui'!$B$6:$B$300,$A127)+COUNTIF('Thaís'!$B$6:$B$300,$A127)+COUNTIF('Daniel'!$B$6:$B$300,$A127)+COUNTIF('Fernando'!$B$6:$B$300,$A127)+COUNTIF('Stephanie'!$B$6:$B$300,$A127)+COUNTIF('Fox'!$B$6:$B$300,$A127)+COUNTIF('Bruna'!$B$6:$B$300,$A127)+COUNTIF('Stella'!$B$6:$B$300,$A127)+COUNTIF('Igor'!$B$6:$B$300,$A127)))</f>
        <v/>
      </c>
      <c r="K127" s="18" t="n">
        <v>46181</v>
      </c>
      <c r="L127" s="18" t="n">
        <v>46185</v>
      </c>
      <c r="M127" s="19" t="n"/>
      <c r="N127" s="19" t="n"/>
      <c r="O127" s="19" t="n"/>
      <c r="P127" s="20">
        <f>IF($A127="","",IF(M127&lt;&gt;"",M127,IF(K127&lt;&gt;"",K127,"")))</f>
        <v/>
      </c>
      <c r="Q127" s="20">
        <f>IF($A127="","",IF(N127&lt;&gt;"",N127,IF(L127&lt;&gt;"",L127,"")))</f>
        <v/>
      </c>
      <c r="R127" s="15" t="n"/>
      <c r="S127" s="16">
        <f t="array" ref="S127">IF($A127="","",_xlfn.TEXTJOIN(CHAR(10),TRUE,IF('Clarice'!$B$6:$B$300=$A127,"Clarice"&amp;IF('Clarice'!$E$6:$E$300="",""," : "&amp;'Clarice'!$E$6:$E$300)&amp;" ["&amp;'Clarice'!$F$6:$F$300&amp;"]",""),IF('Luisa'!$B$6:$B$300=$A127,"Luisa"&amp;IF('Luisa'!$E$6:$E$300="",""," : "&amp;'Luisa'!$E$6:$E$300)&amp;" ["&amp;'Luisa'!$F$6:$F$300&amp;"]",""),IF('Lui'!$B$6:$B$300=$A127,"Lui"&amp;IF('Lui'!$E$6:$E$300="",""," : "&amp;'Lui'!$E$6:$E$300)&amp;" ["&amp;'Lui'!$F$6:$F$300&amp;"]",""),IF('Thaís'!$B$6:$B$300=$A127,"Thaís"&amp;IF('Thaís'!$E$6:$E$300="",""," : "&amp;'Thaís'!$E$6:$E$300)&amp;" ["&amp;'Thaís'!$F$6:$F$300&amp;"]",""),IF('Daniel'!$B$6:$B$300=$A127,"Daniel"&amp;IF('Daniel'!$E$6:$E$300="",""," : "&amp;'Daniel'!$E$6:$E$300)&amp;" ["&amp;'Daniel'!$F$6:$F$300&amp;"]",""),IF('Fernando'!$B$6:$B$300=$A127,"Fernando"&amp;IF('Fernando'!$E$6:$E$300="",""," : "&amp;'Fernando'!$E$6:$E$300)&amp;" ["&amp;'Fernando'!$F$6:$F$300&amp;"]",""),IF('Stephanie'!$B$6:$B$300=$A127,"Stephanie"&amp;IF('Stephanie'!$E$6:$E$300="",""," : "&amp;'Stephanie'!$E$6:$E$300)&amp;" ["&amp;'Stephanie'!$F$6:$F$300&amp;"]",""),IF('Fox'!$B$6:$B$300=$A127,"Fox"&amp;IF('Fox'!$E$6:$E$300="",""," : "&amp;'Fox'!$E$6:$E$300)&amp;" ["&amp;'Fox'!$F$6:$F$300&amp;"]",""),IF('Bruna'!$B$6:$B$300=$A127,"Bruna"&amp;IF('Bruna'!$E$6:$E$300="",""," : "&amp;'Bruna'!$E$6:$E$300)&amp;" ["&amp;'Bruna'!$F$6:$F$300&amp;"]",""),IF('Stella'!$B$6:$B$300=$A127,"Stella"&amp;IF('Stella'!$E$6:$E$300="",""," : "&amp;'Stella'!$E$6:$E$300)&amp;" ["&amp;'Stella'!$F$6:$F$300&amp;"]",""),IF('Igor'!$B$6:$B$300=$A127,"Igor"&amp;IF('Igor'!$E$6:$E$300="",""," : "&amp;'Igor'!$E$6:$E$300)&amp;" ["&amp;'Igor'!$F$6:$F$300&amp;"]","")))</f>
        <v/>
      </c>
    </row>
    <row r="128" ht="28" customHeight="1">
      <c r="A128" s="13" t="inlineStr">
        <is>
          <t>DM-064</t>
        </is>
      </c>
      <c r="B128" s="14" t="inlineStr">
        <is>
          <t>Etapa 2: Construção das métricas | Atividade 7: Operacionalização das métricas | Atividade 8: Aplicação das métricas</t>
        </is>
      </c>
      <c r="C128" s="14" t="inlineStr">
        <is>
          <t>3. Aplicação da DM</t>
        </is>
      </c>
      <c r="D128" s="14" t="inlineStr">
        <is>
          <t>Boaventura</t>
        </is>
      </c>
      <c r="E128" s="15" t="inlineStr">
        <is>
          <t>Identificar lacunas de dados para recomendar para a Petrobras - fauna aquática (Boaventura)</t>
        </is>
      </c>
      <c r="F128" s="13" t="inlineStr">
        <is>
          <t>Stephanie</t>
        </is>
      </c>
      <c r="G128" s="16">
        <f>IF($A128="","",_xlfn.TEXTJOIN("; ",TRUE,IF(COUNTIF('Clarice'!$B$6:$B$300,$A128)&gt;0,"Clarice",""),IF(COUNTIF('Luisa'!$B$6:$B$300,$A128)&gt;0,"Luisa",""),IF(COUNTIF('Lui'!$B$6:$B$300,$A128)&gt;0,"Lui",""),IF(COUNTIF('Thaís'!$B$6:$B$300,$A128)&gt;0,"Thaís",""),IF(COUNTIF('Daniel'!$B$6:$B$300,$A128)&gt;0,"Daniel",""),IF(COUNTIF('Fernando'!$B$6:$B$300,$A128)&gt;0,"Fernando",""),IF(COUNTIF('Stephanie'!$B$6:$B$300,$A128)&gt;0,"Stephanie",""),IF(COUNTIF('Fox'!$B$6:$B$300,$A128)&gt;0,"Fox",""),IF(COUNTIF('Bruna'!$B$6:$B$300,$A128)&gt;0,"Bruna",""),IF(COUNTIF('Stella'!$B$6:$B$300,$A128)&gt;0,"Stella",""),IF(COUNTIF('Igor'!$B$6:$B$300,$A128)&gt;0,"Igor","")))</f>
        <v/>
      </c>
      <c r="H128" s="13" t="n"/>
      <c r="I128" s="13" t="inlineStr">
        <is>
          <t>Pausado</t>
        </is>
      </c>
      <c r="J128" s="17">
        <f>IF(OR($A128="",(COUNTIF('Clarice'!$B$6:$B$300,$A128)+COUNTIF('Luisa'!$B$6:$B$300,$A128)+COUNTIF('Lui'!$B$6:$B$300,$A128)+COUNTIF('Thaís'!$B$6:$B$300,$A128)+COUNTIF('Daniel'!$B$6:$B$300,$A128)+COUNTIF('Fernando'!$B$6:$B$300,$A128)+COUNTIF('Stephanie'!$B$6:$B$300,$A128)+COUNTIF('Fox'!$B$6:$B$300,$A128)+COUNTIF('Bruna'!$B$6:$B$300,$A128)+COUNTIF('Stella'!$B$6:$B$300,$A128)+COUNTIF('Igor'!$B$6:$B$300,$A128))=0),"",(COUNTIFS('Clarice'!$B$6:$B$300,$A128,'Clarice'!$F$6:$F$300,"Concluído")+COUNTIFS('Luisa'!$B$6:$B$300,$A128,'Luisa'!$F$6:$F$300,"Concluído")+COUNTIFS('Lui'!$B$6:$B$300,$A128,'Lui'!$F$6:$F$300,"Concluído")+COUNTIFS('Thaís'!$B$6:$B$300,$A128,'Thaís'!$F$6:$F$300,"Concluído")+COUNTIFS('Daniel'!$B$6:$B$300,$A128,'Daniel'!$F$6:$F$300,"Concluído")+COUNTIFS('Fernando'!$B$6:$B$300,$A128,'Fernando'!$F$6:$F$300,"Concluído")+COUNTIFS('Stephanie'!$B$6:$B$300,$A128,'Stephanie'!$F$6:$F$300,"Concluído")+COUNTIFS('Fox'!$B$6:$B$300,$A128,'Fox'!$F$6:$F$300,"Concluído")+COUNTIFS('Bruna'!$B$6:$B$300,$A128,'Bruna'!$F$6:$F$300,"Concluído")+COUNTIFS('Stella'!$B$6:$B$300,$A128,'Stella'!$F$6:$F$300,"Concluído")+COUNTIFS('Igor'!$B$6:$B$300,$A128,'Igor'!$F$6:$F$300,"Concluído"))&amp;" / "&amp;(COUNTIF('Clarice'!$B$6:$B$300,$A128)+COUNTIF('Luisa'!$B$6:$B$300,$A128)+COUNTIF('Lui'!$B$6:$B$300,$A128)+COUNTIF('Thaís'!$B$6:$B$300,$A128)+COUNTIF('Daniel'!$B$6:$B$300,$A128)+COUNTIF('Fernando'!$B$6:$B$300,$A128)+COUNTIF('Stephanie'!$B$6:$B$300,$A128)+COUNTIF('Fox'!$B$6:$B$300,$A128)+COUNTIF('Bruna'!$B$6:$B$300,$A128)+COUNTIF('Stella'!$B$6:$B$300,$A128)+COUNTIF('Igor'!$B$6:$B$300,$A128)))</f>
        <v/>
      </c>
      <c r="K128" s="19" t="n"/>
      <c r="L128" s="19" t="n"/>
      <c r="M128" s="19" t="n"/>
      <c r="N128" s="19" t="n"/>
      <c r="O128" s="19" t="n"/>
      <c r="P128" s="20">
        <f>IF($A128="","",IF(M128&lt;&gt;"",M128,IF(K128&lt;&gt;"",K128,"")))</f>
        <v/>
      </c>
      <c r="Q128" s="20">
        <f>IF($A128="","",IF(N128&lt;&gt;"",N128,IF(L128&lt;&gt;"",L128,"")))</f>
        <v/>
      </c>
      <c r="R128" s="15" t="n"/>
      <c r="S128" s="16">
        <f t="array" ref="S128">IF($A128="","",_xlfn.TEXTJOIN(CHAR(10),TRUE,IF('Clarice'!$B$6:$B$300=$A128,"Clarice"&amp;IF('Clarice'!$E$6:$E$300="",""," : "&amp;'Clarice'!$E$6:$E$300)&amp;" ["&amp;'Clarice'!$F$6:$F$300&amp;"]",""),IF('Luisa'!$B$6:$B$300=$A128,"Luisa"&amp;IF('Luisa'!$E$6:$E$300="",""," : "&amp;'Luisa'!$E$6:$E$300)&amp;" ["&amp;'Luisa'!$F$6:$F$300&amp;"]",""),IF('Lui'!$B$6:$B$300=$A128,"Lui"&amp;IF('Lui'!$E$6:$E$300="",""," : "&amp;'Lui'!$E$6:$E$300)&amp;" ["&amp;'Lui'!$F$6:$F$300&amp;"]",""),IF('Thaís'!$B$6:$B$300=$A128,"Thaís"&amp;IF('Thaís'!$E$6:$E$300="",""," : "&amp;'Thaís'!$E$6:$E$300)&amp;" ["&amp;'Thaís'!$F$6:$F$300&amp;"]",""),IF('Daniel'!$B$6:$B$300=$A128,"Daniel"&amp;IF('Daniel'!$E$6:$E$300="",""," : "&amp;'Daniel'!$E$6:$E$300)&amp;" ["&amp;'Daniel'!$F$6:$F$300&amp;"]",""),IF('Fernando'!$B$6:$B$300=$A128,"Fernando"&amp;IF('Fernando'!$E$6:$E$300="",""," : "&amp;'Fernando'!$E$6:$E$300)&amp;" ["&amp;'Fernando'!$F$6:$F$300&amp;"]",""),IF('Stephanie'!$B$6:$B$300=$A128,"Stephanie"&amp;IF('Stephanie'!$E$6:$E$300="",""," : "&amp;'Stephanie'!$E$6:$E$300)&amp;" ["&amp;'Stephanie'!$F$6:$F$300&amp;"]",""),IF('Fox'!$B$6:$B$300=$A128,"Fox"&amp;IF('Fox'!$E$6:$E$300="",""," : "&amp;'Fox'!$E$6:$E$300)&amp;" ["&amp;'Fox'!$F$6:$F$300&amp;"]",""),IF('Bruna'!$B$6:$B$300=$A128,"Bruna"&amp;IF('Bruna'!$E$6:$E$300="",""," : "&amp;'Bruna'!$E$6:$E$300)&amp;" ["&amp;'Bruna'!$F$6:$F$300&amp;"]",""),IF('Stella'!$B$6:$B$300=$A128,"Stella"&amp;IF('Stella'!$E$6:$E$300="",""," : "&amp;'Stella'!$E$6:$E$300)&amp;" ["&amp;'Stella'!$F$6:$F$300&amp;"]",""),IF('Igor'!$B$6:$B$300=$A128,"Igor"&amp;IF('Igor'!$E$6:$E$300="",""," : "&amp;'Igor'!$E$6:$E$300)&amp;" ["&amp;'Igor'!$F$6:$F$300&amp;"]","")))</f>
        <v/>
      </c>
    </row>
    <row r="129" ht="40.5" customHeight="1">
      <c r="A129" s="13" t="inlineStr">
        <is>
          <t>DM-065</t>
        </is>
      </c>
      <c r="B129" s="14" t="inlineStr">
        <is>
          <t>Etapa 2: Construção das métricas | Atividade 7: Operacionalização das métricas | Atividade 8: Aplicação das métricas</t>
        </is>
      </c>
      <c r="C129" s="14" t="inlineStr">
        <is>
          <t>3. Aplicação da DM</t>
        </is>
      </c>
      <c r="D129" s="14" t="inlineStr">
        <is>
          <t>Boaventura</t>
        </is>
      </c>
      <c r="E129" s="15" t="inlineStr">
        <is>
          <t>Apresentar os resultados para a Petrobras (Boaventura)</t>
        </is>
      </c>
      <c r="F129" s="13" t="inlineStr">
        <is>
          <t>Stephanie</t>
        </is>
      </c>
      <c r="G129" s="16">
        <f>IF($A129="","",_xlfn.TEXTJOIN("; ",TRUE,IF(COUNTIF('Clarice'!$B$6:$B$300,$A129)&gt;0,"Clarice",""),IF(COUNTIF('Luisa'!$B$6:$B$300,$A129)&gt;0,"Luisa",""),IF(COUNTIF('Lui'!$B$6:$B$300,$A129)&gt;0,"Lui",""),IF(COUNTIF('Thaís'!$B$6:$B$300,$A129)&gt;0,"Thaís",""),IF(COUNTIF('Daniel'!$B$6:$B$300,$A129)&gt;0,"Daniel",""),IF(COUNTIF('Fernando'!$B$6:$B$300,$A129)&gt;0,"Fernando",""),IF(COUNTIF('Stephanie'!$B$6:$B$300,$A129)&gt;0,"Stephanie",""),IF(COUNTIF('Fox'!$B$6:$B$300,$A129)&gt;0,"Fox",""),IF(COUNTIF('Bruna'!$B$6:$B$300,$A129)&gt;0,"Bruna",""),IF(COUNTIF('Stella'!$B$6:$B$300,$A129)&gt;0,"Stella",""),IF(COUNTIF('Igor'!$B$6:$B$300,$A129)&gt;0,"Igor","")))</f>
        <v/>
      </c>
      <c r="H129" s="13" t="n"/>
      <c r="I129" s="13" t="inlineStr">
        <is>
          <t>Pausado</t>
        </is>
      </c>
      <c r="J129" s="17">
        <f>IF(OR($A129="",(COUNTIF('Clarice'!$B$6:$B$300,$A129)+COUNTIF('Luisa'!$B$6:$B$300,$A129)+COUNTIF('Lui'!$B$6:$B$300,$A129)+COUNTIF('Thaís'!$B$6:$B$300,$A129)+COUNTIF('Daniel'!$B$6:$B$300,$A129)+COUNTIF('Fernando'!$B$6:$B$300,$A129)+COUNTIF('Stephanie'!$B$6:$B$300,$A129)+COUNTIF('Fox'!$B$6:$B$300,$A129)+COUNTIF('Bruna'!$B$6:$B$300,$A129)+COUNTIF('Stella'!$B$6:$B$300,$A129)+COUNTIF('Igor'!$B$6:$B$300,$A129))=0),"",(COUNTIFS('Clarice'!$B$6:$B$300,$A129,'Clarice'!$F$6:$F$300,"Concluído")+COUNTIFS('Luisa'!$B$6:$B$300,$A129,'Luisa'!$F$6:$F$300,"Concluído")+COUNTIFS('Lui'!$B$6:$B$300,$A129,'Lui'!$F$6:$F$300,"Concluído")+COUNTIFS('Thaís'!$B$6:$B$300,$A129,'Thaís'!$F$6:$F$300,"Concluído")+COUNTIFS('Daniel'!$B$6:$B$300,$A129,'Daniel'!$F$6:$F$300,"Concluído")+COUNTIFS('Fernando'!$B$6:$B$300,$A129,'Fernando'!$F$6:$F$300,"Concluído")+COUNTIFS('Stephanie'!$B$6:$B$300,$A129,'Stephanie'!$F$6:$F$300,"Concluído")+COUNTIFS('Fox'!$B$6:$B$300,$A129,'Fox'!$F$6:$F$300,"Concluído")+COUNTIFS('Bruna'!$B$6:$B$300,$A129,'Bruna'!$F$6:$F$300,"Concluído")+COUNTIFS('Stella'!$B$6:$B$300,$A129,'Stella'!$F$6:$F$300,"Concluído")+COUNTIFS('Igor'!$B$6:$B$300,$A129,'Igor'!$F$6:$F$300,"Concluído"))&amp;" / "&amp;(COUNTIF('Clarice'!$B$6:$B$300,$A129)+COUNTIF('Luisa'!$B$6:$B$300,$A129)+COUNTIF('Lui'!$B$6:$B$300,$A129)+COUNTIF('Thaís'!$B$6:$B$300,$A129)+COUNTIF('Daniel'!$B$6:$B$300,$A129)+COUNTIF('Fernando'!$B$6:$B$300,$A129)+COUNTIF('Stephanie'!$B$6:$B$300,$A129)+COUNTIF('Fox'!$B$6:$B$300,$A129)+COUNTIF('Bruna'!$B$6:$B$300,$A129)+COUNTIF('Stella'!$B$6:$B$300,$A129)+COUNTIF('Igor'!$B$6:$B$300,$A129)))</f>
        <v/>
      </c>
      <c r="K129" s="18" t="n">
        <v>46188</v>
      </c>
      <c r="L129" s="18" t="n">
        <v>46192</v>
      </c>
      <c r="M129" s="19" t="n"/>
      <c r="N129" s="19" t="n"/>
      <c r="O129" s="19" t="n"/>
      <c r="P129" s="20">
        <f>IF($A129="","",IF(M129&lt;&gt;"",M129,IF(K129&lt;&gt;"",K129,"")))</f>
        <v/>
      </c>
      <c r="Q129" s="20">
        <f>IF($A129="","",IF(N129&lt;&gt;"",N129,IF(L129&lt;&gt;"",L129,"")))</f>
        <v/>
      </c>
      <c r="R129" s="15" t="n"/>
      <c r="S129" s="16">
        <f t="array" ref="S129">IF($A129="","",_xlfn.TEXTJOIN(CHAR(10),TRUE,IF('Clarice'!$B$6:$B$300=$A129,"Clarice"&amp;IF('Clarice'!$E$6:$E$300="",""," : "&amp;'Clarice'!$E$6:$E$300)&amp;" ["&amp;'Clarice'!$F$6:$F$300&amp;"]",""),IF('Luisa'!$B$6:$B$300=$A129,"Luisa"&amp;IF('Luisa'!$E$6:$E$300="",""," : "&amp;'Luisa'!$E$6:$E$300)&amp;" ["&amp;'Luisa'!$F$6:$F$300&amp;"]",""),IF('Lui'!$B$6:$B$300=$A129,"Lui"&amp;IF('Lui'!$E$6:$E$300="",""," : "&amp;'Lui'!$E$6:$E$300)&amp;" ["&amp;'Lui'!$F$6:$F$300&amp;"]",""),IF('Thaís'!$B$6:$B$300=$A129,"Thaís"&amp;IF('Thaís'!$E$6:$E$300="",""," : "&amp;'Thaís'!$E$6:$E$300)&amp;" ["&amp;'Thaís'!$F$6:$F$300&amp;"]",""),IF('Daniel'!$B$6:$B$300=$A129,"Daniel"&amp;IF('Daniel'!$E$6:$E$300="",""," : "&amp;'Daniel'!$E$6:$E$300)&amp;" ["&amp;'Daniel'!$F$6:$F$300&amp;"]",""),IF('Fernando'!$B$6:$B$300=$A129,"Fernando"&amp;IF('Fernando'!$E$6:$E$300="",""," : "&amp;'Fernando'!$E$6:$E$300)&amp;" ["&amp;'Fernando'!$F$6:$F$300&amp;"]",""),IF('Stephanie'!$B$6:$B$300=$A129,"Stephanie"&amp;IF('Stephanie'!$E$6:$E$300="",""," : "&amp;'Stephanie'!$E$6:$E$300)&amp;" ["&amp;'Stephanie'!$F$6:$F$300&amp;"]",""),IF('Fox'!$B$6:$B$300=$A129,"Fox"&amp;IF('Fox'!$E$6:$E$300="",""," : "&amp;'Fox'!$E$6:$E$300)&amp;" ["&amp;'Fox'!$F$6:$F$300&amp;"]",""),IF('Bruna'!$B$6:$B$300=$A129,"Bruna"&amp;IF('Bruna'!$E$6:$E$300="",""," : "&amp;'Bruna'!$E$6:$E$300)&amp;" ["&amp;'Bruna'!$F$6:$F$300&amp;"]",""),IF('Stella'!$B$6:$B$300=$A129,"Stella"&amp;IF('Stella'!$E$6:$E$300="",""," : "&amp;'Stella'!$E$6:$E$300)&amp;" ["&amp;'Stella'!$F$6:$F$300&amp;"]",""),IF('Igor'!$B$6:$B$300=$A129,"Igor"&amp;IF('Igor'!$E$6:$E$300="",""," : "&amp;'Igor'!$E$6:$E$300)&amp;" ["&amp;'Igor'!$F$6:$F$300&amp;"]","")))</f>
        <v/>
      </c>
    </row>
    <row r="130" ht="28" customHeight="1">
      <c r="A130" s="13" t="inlineStr">
        <is>
          <t>DM-066</t>
        </is>
      </c>
      <c r="B130" s="14" t="inlineStr">
        <is>
          <t>Etapa 2: Construção das métricas | Atividade 7: Operacionalização das métricas | Atividade 8: Aplicação das métricas</t>
        </is>
      </c>
      <c r="C130" s="14" t="inlineStr">
        <is>
          <t>3. Aplicação da DM</t>
        </is>
      </c>
      <c r="D130" s="14" t="inlineStr">
        <is>
          <t>Boaventura</t>
        </is>
      </c>
      <c r="E130" s="15" t="inlineStr">
        <is>
          <t>Fazer os ajustes necessários (Boaventura)</t>
        </is>
      </c>
      <c r="F130" s="13" t="inlineStr">
        <is>
          <t>Stephanie</t>
        </is>
      </c>
      <c r="G130" s="16">
        <f>IF($A130="","",_xlfn.TEXTJOIN("; ",TRUE,IF(COUNTIF('Clarice'!$B$6:$B$300,$A130)&gt;0,"Clarice",""),IF(COUNTIF('Luisa'!$B$6:$B$300,$A130)&gt;0,"Luisa",""),IF(COUNTIF('Lui'!$B$6:$B$300,$A130)&gt;0,"Lui",""),IF(COUNTIF('Thaís'!$B$6:$B$300,$A130)&gt;0,"Thaís",""),IF(COUNTIF('Daniel'!$B$6:$B$300,$A130)&gt;0,"Daniel",""),IF(COUNTIF('Fernando'!$B$6:$B$300,$A130)&gt;0,"Fernando",""),IF(COUNTIF('Stephanie'!$B$6:$B$300,$A130)&gt;0,"Stephanie",""),IF(COUNTIF('Fox'!$B$6:$B$300,$A130)&gt;0,"Fox",""),IF(COUNTIF('Bruna'!$B$6:$B$300,$A130)&gt;0,"Bruna",""),IF(COUNTIF('Stella'!$B$6:$B$300,$A130)&gt;0,"Stella",""),IF(COUNTIF('Igor'!$B$6:$B$300,$A130)&gt;0,"Igor","")))</f>
        <v/>
      </c>
      <c r="H130" s="13" t="n"/>
      <c r="I130" s="13" t="inlineStr">
        <is>
          <t>Pausado</t>
        </is>
      </c>
      <c r="J130" s="17">
        <f>IF(OR($A130="",(COUNTIF('Clarice'!$B$6:$B$300,$A130)+COUNTIF('Luisa'!$B$6:$B$300,$A130)+COUNTIF('Lui'!$B$6:$B$300,$A130)+COUNTIF('Thaís'!$B$6:$B$300,$A130)+COUNTIF('Daniel'!$B$6:$B$300,$A130)+COUNTIF('Fernando'!$B$6:$B$300,$A130)+COUNTIF('Stephanie'!$B$6:$B$300,$A130)+COUNTIF('Fox'!$B$6:$B$300,$A130)+COUNTIF('Bruna'!$B$6:$B$300,$A130)+COUNTIF('Stella'!$B$6:$B$300,$A130)+COUNTIF('Igor'!$B$6:$B$300,$A130))=0),"",(COUNTIFS('Clarice'!$B$6:$B$300,$A130,'Clarice'!$F$6:$F$300,"Concluído")+COUNTIFS('Luisa'!$B$6:$B$300,$A130,'Luisa'!$F$6:$F$300,"Concluído")+COUNTIFS('Lui'!$B$6:$B$300,$A130,'Lui'!$F$6:$F$300,"Concluído")+COUNTIFS('Thaís'!$B$6:$B$300,$A130,'Thaís'!$F$6:$F$300,"Concluído")+COUNTIFS('Daniel'!$B$6:$B$300,$A130,'Daniel'!$F$6:$F$300,"Concluído")+COUNTIFS('Fernando'!$B$6:$B$300,$A130,'Fernando'!$F$6:$F$300,"Concluído")+COUNTIFS('Stephanie'!$B$6:$B$300,$A130,'Stephanie'!$F$6:$F$300,"Concluído")+COUNTIFS('Fox'!$B$6:$B$300,$A130,'Fox'!$F$6:$F$300,"Concluído")+COUNTIFS('Bruna'!$B$6:$B$300,$A130,'Bruna'!$F$6:$F$300,"Concluído")+COUNTIFS('Stella'!$B$6:$B$300,$A130,'Stella'!$F$6:$F$300,"Concluído")+COUNTIFS('Igor'!$B$6:$B$300,$A130,'Igor'!$F$6:$F$300,"Concluído"))&amp;" / "&amp;(COUNTIF('Clarice'!$B$6:$B$300,$A130)+COUNTIF('Luisa'!$B$6:$B$300,$A130)+COUNTIF('Lui'!$B$6:$B$300,$A130)+COUNTIF('Thaís'!$B$6:$B$300,$A130)+COUNTIF('Daniel'!$B$6:$B$300,$A130)+COUNTIF('Fernando'!$B$6:$B$300,$A130)+COUNTIF('Stephanie'!$B$6:$B$300,$A130)+COUNTIF('Fox'!$B$6:$B$300,$A130)+COUNTIF('Bruna'!$B$6:$B$300,$A130)+COUNTIF('Stella'!$B$6:$B$300,$A130)+COUNTIF('Igor'!$B$6:$B$300,$A130)))</f>
        <v/>
      </c>
      <c r="K130" s="18" t="n">
        <v>46195</v>
      </c>
      <c r="L130" s="18" t="n">
        <v>46203</v>
      </c>
      <c r="M130" s="19" t="n"/>
      <c r="N130" s="19" t="n"/>
      <c r="O130" s="19" t="n"/>
      <c r="P130" s="20">
        <f>IF($A130="","",IF(M130&lt;&gt;"",M130,IF(K130&lt;&gt;"",K130,"")))</f>
        <v/>
      </c>
      <c r="Q130" s="20">
        <f>IF($A130="","",IF(N130&lt;&gt;"",N130,IF(L130&lt;&gt;"",L130,"")))</f>
        <v/>
      </c>
      <c r="R130" s="15" t="n"/>
      <c r="S130" s="16">
        <f t="array" ref="S130">IF($A130="","",_xlfn.TEXTJOIN(CHAR(10),TRUE,IF('Clarice'!$B$6:$B$300=$A130,"Clarice"&amp;IF('Clarice'!$E$6:$E$300="",""," : "&amp;'Clarice'!$E$6:$E$300)&amp;" ["&amp;'Clarice'!$F$6:$F$300&amp;"]",""),IF('Luisa'!$B$6:$B$300=$A130,"Luisa"&amp;IF('Luisa'!$E$6:$E$300="",""," : "&amp;'Luisa'!$E$6:$E$300)&amp;" ["&amp;'Luisa'!$F$6:$F$300&amp;"]",""),IF('Lui'!$B$6:$B$300=$A130,"Lui"&amp;IF('Lui'!$E$6:$E$300="",""," : "&amp;'Lui'!$E$6:$E$300)&amp;" ["&amp;'Lui'!$F$6:$F$300&amp;"]",""),IF('Thaís'!$B$6:$B$300=$A130,"Thaís"&amp;IF('Thaís'!$E$6:$E$300="",""," : "&amp;'Thaís'!$E$6:$E$300)&amp;" ["&amp;'Thaís'!$F$6:$F$300&amp;"]",""),IF('Daniel'!$B$6:$B$300=$A130,"Daniel"&amp;IF('Daniel'!$E$6:$E$300="",""," : "&amp;'Daniel'!$E$6:$E$300)&amp;" ["&amp;'Daniel'!$F$6:$F$300&amp;"]",""),IF('Fernando'!$B$6:$B$300=$A130,"Fernando"&amp;IF('Fernando'!$E$6:$E$300="",""," : "&amp;'Fernando'!$E$6:$E$300)&amp;" ["&amp;'Fernando'!$F$6:$F$300&amp;"]",""),IF('Stephanie'!$B$6:$B$300=$A130,"Stephanie"&amp;IF('Stephanie'!$E$6:$E$300="",""," : "&amp;'Stephanie'!$E$6:$E$300)&amp;" ["&amp;'Stephanie'!$F$6:$F$300&amp;"]",""),IF('Fox'!$B$6:$B$300=$A130,"Fox"&amp;IF('Fox'!$E$6:$E$300="",""," : "&amp;'Fox'!$E$6:$E$300)&amp;" ["&amp;'Fox'!$F$6:$F$300&amp;"]",""),IF('Bruna'!$B$6:$B$300=$A130,"Bruna"&amp;IF('Bruna'!$E$6:$E$300="",""," : "&amp;'Bruna'!$E$6:$E$300)&amp;" ["&amp;'Bruna'!$F$6:$F$300&amp;"]",""),IF('Stella'!$B$6:$B$300=$A130,"Stella"&amp;IF('Stella'!$E$6:$E$300="",""," : "&amp;'Stella'!$E$6:$E$300)&amp;" ["&amp;'Stella'!$F$6:$F$300&amp;"]",""),IF('Igor'!$B$6:$B$300=$A130,"Igor"&amp;IF('Igor'!$E$6:$E$300="",""," : "&amp;'Igor'!$E$6:$E$300)&amp;" ["&amp;'Igor'!$F$6:$F$300&amp;"]","")))</f>
        <v/>
      </c>
    </row>
    <row r="131">
      <c r="A131" s="21" t="n"/>
      <c r="B131" s="21" t="inlineStr">
        <is>
          <t>Etapa 2: Construção das métricas | Atividade 7: Operacionalização das métricas | Atividade 8: Aplicação das métricas</t>
        </is>
      </c>
      <c r="C131" s="21" t="inlineStr">
        <is>
          <t>3. Aplicação da DM</t>
        </is>
      </c>
      <c r="D131" s="21" t="inlineStr">
        <is>
          <t>GR3</t>
        </is>
      </c>
      <c r="E131" s="21" t="inlineStr">
        <is>
          <t>GR3</t>
        </is>
      </c>
      <c r="F131" s="21" t="inlineStr">
        <is>
          <t>Daniel</t>
        </is>
      </c>
      <c r="G131" s="21">
        <f>IF($A131="","",_xlfn.TEXTJOIN("; ",TRUE,IF(COUNTIF('Clarice'!$B$6:$B$300,$A131)&gt;0,"Clarice",""),IF(COUNTIF('Luisa'!$B$6:$B$300,$A131)&gt;0,"Luisa",""),IF(COUNTIF('Lui'!$B$6:$B$300,$A131)&gt;0,"Lui",""),IF(COUNTIF('Thaís'!$B$6:$B$300,$A131)&gt;0,"Thaís",""),IF(COUNTIF('Daniel'!$B$6:$B$300,$A131)&gt;0,"Daniel",""),IF(COUNTIF('Fernando'!$B$6:$B$300,$A131)&gt;0,"Fernando",""),IF(COUNTIF('Stephanie'!$B$6:$B$300,$A131)&gt;0,"Stephanie",""),IF(COUNTIF('Fox'!$B$6:$B$300,$A131)&gt;0,"Fox",""),IF(COUNTIF('Bruna'!$B$6:$B$300,$A131)&gt;0,"Bruna",""),IF(COUNTIF('Stella'!$B$6:$B$300,$A131)&gt;0,"Stella",""),IF(COUNTIF('Igor'!$B$6:$B$300,$A131)&gt;0,"Igor","")))</f>
        <v/>
      </c>
      <c r="H131" s="21" t="n"/>
      <c r="I131" s="21" t="n"/>
      <c r="J131" s="21">
        <f>IF(OR($A131="",(COUNTIF('Clarice'!$B$6:$B$300,$A131)+COUNTIF('Luisa'!$B$6:$B$300,$A131)+COUNTIF('Lui'!$B$6:$B$300,$A131)+COUNTIF('Thaís'!$B$6:$B$300,$A131)+COUNTIF('Daniel'!$B$6:$B$300,$A131)+COUNTIF('Fernando'!$B$6:$B$300,$A131)+COUNTIF('Stephanie'!$B$6:$B$300,$A131)+COUNTIF('Fox'!$B$6:$B$300,$A131)+COUNTIF('Bruna'!$B$6:$B$300,$A131)+COUNTIF('Stella'!$B$6:$B$300,$A131)+COUNTIF('Igor'!$B$6:$B$300,$A131))=0),"",(COUNTIFS('Clarice'!$B$6:$B$300,$A131,'Clarice'!$F$6:$F$300,"Concluído")+COUNTIFS('Luisa'!$B$6:$B$300,$A131,'Luisa'!$F$6:$F$300,"Concluído")+COUNTIFS('Lui'!$B$6:$B$300,$A131,'Lui'!$F$6:$F$300,"Concluído")+COUNTIFS('Thaís'!$B$6:$B$300,$A131,'Thaís'!$F$6:$F$300,"Concluído")+COUNTIFS('Daniel'!$B$6:$B$300,$A131,'Daniel'!$F$6:$F$300,"Concluído")+COUNTIFS('Fernando'!$B$6:$B$300,$A131,'Fernando'!$F$6:$F$300,"Concluído")+COUNTIFS('Stephanie'!$B$6:$B$300,$A131,'Stephanie'!$F$6:$F$300,"Concluído")+COUNTIFS('Fox'!$B$6:$B$300,$A131,'Fox'!$F$6:$F$300,"Concluído")+COUNTIFS('Bruna'!$B$6:$B$300,$A131,'Bruna'!$F$6:$F$300,"Concluído")+COUNTIFS('Stella'!$B$6:$B$300,$A131,'Stella'!$F$6:$F$300,"Concluído")+COUNTIFS('Igor'!$B$6:$B$300,$A131,'Igor'!$F$6:$F$300,"Concluído"))&amp;" / "&amp;(COUNTIF('Clarice'!$B$6:$B$300,$A131)+COUNTIF('Luisa'!$B$6:$B$300,$A131)+COUNTIF('Lui'!$B$6:$B$300,$A131)+COUNTIF('Thaís'!$B$6:$B$300,$A131)+COUNTIF('Daniel'!$B$6:$B$300,$A131)+COUNTIF('Fernando'!$B$6:$B$300,$A131)+COUNTIF('Stephanie'!$B$6:$B$300,$A131)+COUNTIF('Fox'!$B$6:$B$300,$A131)+COUNTIF('Bruna'!$B$6:$B$300,$A131)+COUNTIF('Stella'!$B$6:$B$300,$A131)+COUNTIF('Igor'!$B$6:$B$300,$A131)))</f>
        <v/>
      </c>
      <c r="K131" s="21" t="n"/>
      <c r="L131" s="21" t="n"/>
      <c r="M131" s="21" t="n"/>
      <c r="N131" s="21" t="n"/>
      <c r="O131" s="21" t="n"/>
      <c r="P131" s="22">
        <f>IF($A131="","",IF(M131&lt;&gt;"",M131,IF(K131&lt;&gt;"",K131,"")))</f>
        <v/>
      </c>
      <c r="Q131" s="22">
        <f>IF($A131="","",IF(N131&lt;&gt;"",N131,IF(L131&lt;&gt;"",L131,"")))</f>
        <v/>
      </c>
      <c r="R131" s="21" t="n"/>
      <c r="S131" s="21">
        <f t="array" ref="S131">IF($A131="","",_xlfn.TEXTJOIN(CHAR(10),TRUE,IF('Clarice'!$B$6:$B$300=$A131,"Clarice"&amp;IF('Clarice'!$E$6:$E$300="",""," : "&amp;'Clarice'!$E$6:$E$300)&amp;" ["&amp;'Clarice'!$F$6:$F$300&amp;"]",""),IF('Luisa'!$B$6:$B$300=$A131,"Luisa"&amp;IF('Luisa'!$E$6:$E$300="",""," : "&amp;'Luisa'!$E$6:$E$300)&amp;" ["&amp;'Luisa'!$F$6:$F$300&amp;"]",""),IF('Lui'!$B$6:$B$300=$A131,"Lui"&amp;IF('Lui'!$E$6:$E$300="",""," : "&amp;'Lui'!$E$6:$E$300)&amp;" ["&amp;'Lui'!$F$6:$F$300&amp;"]",""),IF('Thaís'!$B$6:$B$300=$A131,"Thaís"&amp;IF('Thaís'!$E$6:$E$300="",""," : "&amp;'Thaís'!$E$6:$E$300)&amp;" ["&amp;'Thaís'!$F$6:$F$300&amp;"]",""),IF('Daniel'!$B$6:$B$300=$A131,"Daniel"&amp;IF('Daniel'!$E$6:$E$300="",""," : "&amp;'Daniel'!$E$6:$E$300)&amp;" ["&amp;'Daniel'!$F$6:$F$300&amp;"]",""),IF('Fernando'!$B$6:$B$300=$A131,"Fernando"&amp;IF('Fernando'!$E$6:$E$300="",""," : "&amp;'Fernando'!$E$6:$E$300)&amp;" ["&amp;'Fernando'!$F$6:$F$300&amp;"]",""),IF('Stephanie'!$B$6:$B$300=$A131,"Stephanie"&amp;IF('Stephanie'!$E$6:$E$300="",""," : "&amp;'Stephanie'!$E$6:$E$300)&amp;" ["&amp;'Stephanie'!$F$6:$F$300&amp;"]",""),IF('Fox'!$B$6:$B$300=$A131,"Fox"&amp;IF('Fox'!$E$6:$E$300="",""," : "&amp;'Fox'!$E$6:$E$300)&amp;" ["&amp;'Fox'!$F$6:$F$300&amp;"]",""),IF('Bruna'!$B$6:$B$300=$A131,"Bruna"&amp;IF('Bruna'!$E$6:$E$300="",""," : "&amp;'Bruna'!$E$6:$E$300)&amp;" ["&amp;'Bruna'!$F$6:$F$300&amp;"]",""),IF('Stella'!$B$6:$B$300=$A131,"Stella"&amp;IF('Stella'!$E$6:$E$300="",""," : "&amp;'Stella'!$E$6:$E$300)&amp;" ["&amp;'Stella'!$F$6:$F$300&amp;"]",""),IF('Igor'!$B$6:$B$300=$A131,"Igor"&amp;IF('Igor'!$E$6:$E$300="",""," : "&amp;'Igor'!$E$6:$E$300)&amp;" ["&amp;'Igor'!$F$6:$F$300&amp;"]","")))</f>
        <v/>
      </c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</row>
    <row r="132" ht="15.5" customHeight="1">
      <c r="A132" s="13" t="inlineStr">
        <is>
          <t>DM-067</t>
        </is>
      </c>
      <c r="B132" s="14" t="inlineStr">
        <is>
          <t>Etapa 2: Construção das métricas | Atividade 7: Operacionalização das métricas | Atividade 8: Aplicação das métricas</t>
        </is>
      </c>
      <c r="C132" s="14" t="inlineStr">
        <is>
          <t>3. Aplicação da DM</t>
        </is>
      </c>
      <c r="D132" s="14" t="inlineStr">
        <is>
          <t>GR3</t>
        </is>
      </c>
      <c r="E132" s="15" t="inlineStr">
        <is>
          <t>Extrair dados primários (GR3)</t>
        </is>
      </c>
      <c r="F132" s="13" t="inlineStr">
        <is>
          <t>Daniel</t>
        </is>
      </c>
      <c r="G132" s="16">
        <f>IF($A132="","",_xlfn.TEXTJOIN("; ",TRUE,IF(COUNTIF('Clarice'!$B$6:$B$300,$A132)&gt;0,"Clarice",""),IF(COUNTIF('Luisa'!$B$6:$B$300,$A132)&gt;0,"Luisa",""),IF(COUNTIF('Lui'!$B$6:$B$300,$A132)&gt;0,"Lui",""),IF(COUNTIF('Thaís'!$B$6:$B$300,$A132)&gt;0,"Thaís",""),IF(COUNTIF('Daniel'!$B$6:$B$300,$A132)&gt;0,"Daniel",""),IF(COUNTIF('Fernando'!$B$6:$B$300,$A132)&gt;0,"Fernando",""),IF(COUNTIF('Stephanie'!$B$6:$B$300,$A132)&gt;0,"Stephanie",""),IF(COUNTIF('Fox'!$B$6:$B$300,$A132)&gt;0,"Fox",""),IF(COUNTIF('Bruna'!$B$6:$B$300,$A132)&gt;0,"Bruna",""),IF(COUNTIF('Stella'!$B$6:$B$300,$A132)&gt;0,"Stella",""),IF(COUNTIF('Igor'!$B$6:$B$300,$A132)&gt;0,"Igor","")))</f>
        <v/>
      </c>
      <c r="H132" s="13" t="n"/>
      <c r="I132" s="13" t="inlineStr">
        <is>
          <t>Concluído</t>
        </is>
      </c>
      <c r="J132" s="17">
        <f>IF(OR($A132="",(COUNTIF('Clarice'!$B$6:$B$300,$A132)+COUNTIF('Luisa'!$B$6:$B$300,$A132)+COUNTIF('Lui'!$B$6:$B$300,$A132)+COUNTIF('Thaís'!$B$6:$B$300,$A132)+COUNTIF('Daniel'!$B$6:$B$300,$A132)+COUNTIF('Fernando'!$B$6:$B$300,$A132)+COUNTIF('Stephanie'!$B$6:$B$300,$A132)+COUNTIF('Fox'!$B$6:$B$300,$A132)+COUNTIF('Bruna'!$B$6:$B$300,$A132)+COUNTIF('Stella'!$B$6:$B$300,$A132)+COUNTIF('Igor'!$B$6:$B$300,$A132))=0),"",(COUNTIFS('Clarice'!$B$6:$B$300,$A132,'Clarice'!$F$6:$F$300,"Concluído")+COUNTIFS('Luisa'!$B$6:$B$300,$A132,'Luisa'!$F$6:$F$300,"Concluído")+COUNTIFS('Lui'!$B$6:$B$300,$A132,'Lui'!$F$6:$F$300,"Concluído")+COUNTIFS('Thaís'!$B$6:$B$300,$A132,'Thaís'!$F$6:$F$300,"Concluído")+COUNTIFS('Daniel'!$B$6:$B$300,$A132,'Daniel'!$F$6:$F$300,"Concluído")+COUNTIFS('Fernando'!$B$6:$B$300,$A132,'Fernando'!$F$6:$F$300,"Concluído")+COUNTIFS('Stephanie'!$B$6:$B$300,$A132,'Stephanie'!$F$6:$F$300,"Concluído")+COUNTIFS('Fox'!$B$6:$B$300,$A132,'Fox'!$F$6:$F$300,"Concluído")+COUNTIFS('Bruna'!$B$6:$B$300,$A132,'Bruna'!$F$6:$F$300,"Concluído")+COUNTIFS('Stella'!$B$6:$B$300,$A132,'Stella'!$F$6:$F$300,"Concluído")+COUNTIFS('Igor'!$B$6:$B$300,$A132,'Igor'!$F$6:$F$300,"Concluído"))&amp;" / "&amp;(COUNTIF('Clarice'!$B$6:$B$300,$A132)+COUNTIF('Luisa'!$B$6:$B$300,$A132)+COUNTIF('Lui'!$B$6:$B$300,$A132)+COUNTIF('Thaís'!$B$6:$B$300,$A132)+COUNTIF('Daniel'!$B$6:$B$300,$A132)+COUNTIF('Fernando'!$B$6:$B$300,$A132)+COUNTIF('Stephanie'!$B$6:$B$300,$A132)+COUNTIF('Fox'!$B$6:$B$300,$A132)+COUNTIF('Bruna'!$B$6:$B$300,$A132)+COUNTIF('Stella'!$B$6:$B$300,$A132)+COUNTIF('Igor'!$B$6:$B$300,$A132)))</f>
        <v/>
      </c>
      <c r="K132" s="18" t="n">
        <v>46160</v>
      </c>
      <c r="L132" s="18" t="n">
        <v>46213</v>
      </c>
      <c r="M132" s="19" t="n"/>
      <c r="N132" s="19" t="n"/>
      <c r="O132" s="19" t="n"/>
      <c r="P132" s="20">
        <f>IF($A132="","",IF(M132&lt;&gt;"",M132,IF(K132&lt;&gt;"",K132,"")))</f>
        <v/>
      </c>
      <c r="Q132" s="20">
        <f>IF($A132="","",IF(N132&lt;&gt;"",N132,IF(L132&lt;&gt;"",L132,"")))</f>
        <v/>
      </c>
      <c r="R132" s="15" t="n"/>
      <c r="S132" s="16">
        <f t="array" ref="S132">IF($A132="","",_xlfn.TEXTJOIN(CHAR(10),TRUE,IF('Clarice'!$B$6:$B$300=$A132,"Clarice"&amp;IF('Clarice'!$E$6:$E$300="",""," : "&amp;'Clarice'!$E$6:$E$300)&amp;" ["&amp;'Clarice'!$F$6:$F$300&amp;"]",""),IF('Luisa'!$B$6:$B$300=$A132,"Luisa"&amp;IF('Luisa'!$E$6:$E$300="",""," : "&amp;'Luisa'!$E$6:$E$300)&amp;" ["&amp;'Luisa'!$F$6:$F$300&amp;"]",""),IF('Lui'!$B$6:$B$300=$A132,"Lui"&amp;IF('Lui'!$E$6:$E$300="",""," : "&amp;'Lui'!$E$6:$E$300)&amp;" ["&amp;'Lui'!$F$6:$F$300&amp;"]",""),IF('Thaís'!$B$6:$B$300=$A132,"Thaís"&amp;IF('Thaís'!$E$6:$E$300="",""," : "&amp;'Thaís'!$E$6:$E$300)&amp;" ["&amp;'Thaís'!$F$6:$F$300&amp;"]",""),IF('Daniel'!$B$6:$B$300=$A132,"Daniel"&amp;IF('Daniel'!$E$6:$E$300="",""," : "&amp;'Daniel'!$E$6:$E$300)&amp;" ["&amp;'Daniel'!$F$6:$F$300&amp;"]",""),IF('Fernando'!$B$6:$B$300=$A132,"Fernando"&amp;IF('Fernando'!$E$6:$E$300="",""," : "&amp;'Fernando'!$E$6:$E$300)&amp;" ["&amp;'Fernando'!$F$6:$F$300&amp;"]",""),IF('Stephanie'!$B$6:$B$300=$A132,"Stephanie"&amp;IF('Stephanie'!$E$6:$E$300="",""," : "&amp;'Stephanie'!$E$6:$E$300)&amp;" ["&amp;'Stephanie'!$F$6:$F$300&amp;"]",""),IF('Fox'!$B$6:$B$300=$A132,"Fox"&amp;IF('Fox'!$E$6:$E$300="",""," : "&amp;'Fox'!$E$6:$E$300)&amp;" ["&amp;'Fox'!$F$6:$F$300&amp;"]",""),IF('Bruna'!$B$6:$B$300=$A132,"Bruna"&amp;IF('Bruna'!$E$6:$E$300="",""," : "&amp;'Bruna'!$E$6:$E$300)&amp;" ["&amp;'Bruna'!$F$6:$F$300&amp;"]",""),IF('Stella'!$B$6:$B$300=$A132,"Stella"&amp;IF('Stella'!$E$6:$E$300="",""," : "&amp;'Stella'!$E$6:$E$300)&amp;" ["&amp;'Stella'!$F$6:$F$300&amp;"]",""),IF('Igor'!$B$6:$B$300=$A132,"Igor"&amp;IF('Igor'!$E$6:$E$300="",""," : "&amp;'Igor'!$E$6:$E$300)&amp;" ["&amp;'Igor'!$F$6:$F$300&amp;"]","")))</f>
        <v/>
      </c>
    </row>
    <row r="133" ht="15.5" customHeight="1">
      <c r="A133" s="13" t="inlineStr">
        <is>
          <t>DM-068</t>
        </is>
      </c>
      <c r="B133" s="14" t="inlineStr">
        <is>
          <t>Etapa 2: Construção das métricas | Atividade 7: Operacionalização das métricas | Atividade 8: Aplicação das métricas</t>
        </is>
      </c>
      <c r="C133" s="14" t="inlineStr">
        <is>
          <t>3. Aplicação da DM</t>
        </is>
      </c>
      <c r="D133" s="14" t="inlineStr">
        <is>
          <t>GR3</t>
        </is>
      </c>
      <c r="E133" s="15" t="inlineStr">
        <is>
          <t>Preparar slides com o histórico da unidade (GR3)</t>
        </is>
      </c>
      <c r="F133" s="13" t="inlineStr">
        <is>
          <t>Daniel</t>
        </is>
      </c>
      <c r="G133" s="16">
        <f>IF($A133="","",_xlfn.TEXTJOIN("; ",TRUE,IF(COUNTIF('Clarice'!$B$6:$B$300,$A133)&gt;0,"Clarice",""),IF(COUNTIF('Luisa'!$B$6:$B$300,$A133)&gt;0,"Luisa",""),IF(COUNTIF('Lui'!$B$6:$B$300,$A133)&gt;0,"Lui",""),IF(COUNTIF('Thaís'!$B$6:$B$300,$A133)&gt;0,"Thaís",""),IF(COUNTIF('Daniel'!$B$6:$B$300,$A133)&gt;0,"Daniel",""),IF(COUNTIF('Fernando'!$B$6:$B$300,$A133)&gt;0,"Fernando",""),IF(COUNTIF('Stephanie'!$B$6:$B$300,$A133)&gt;0,"Stephanie",""),IF(COUNTIF('Fox'!$B$6:$B$300,$A133)&gt;0,"Fox",""),IF(COUNTIF('Bruna'!$B$6:$B$300,$A133)&gt;0,"Bruna",""),IF(COUNTIF('Stella'!$B$6:$B$300,$A133)&gt;0,"Stella",""),IF(COUNTIF('Igor'!$B$6:$B$300,$A133)&gt;0,"Igor","")))</f>
        <v/>
      </c>
      <c r="H133" s="13" t="n"/>
      <c r="I133" s="13" t="inlineStr">
        <is>
          <t>Em andamento</t>
        </is>
      </c>
      <c r="J133" s="17">
        <f>IF(OR($A133="",(COUNTIF('Clarice'!$B$6:$B$300,$A133)+COUNTIF('Luisa'!$B$6:$B$300,$A133)+COUNTIF('Lui'!$B$6:$B$300,$A133)+COUNTIF('Thaís'!$B$6:$B$300,$A133)+COUNTIF('Daniel'!$B$6:$B$300,$A133)+COUNTIF('Fernando'!$B$6:$B$300,$A133)+COUNTIF('Stephanie'!$B$6:$B$300,$A133)+COUNTIF('Fox'!$B$6:$B$300,$A133)+COUNTIF('Bruna'!$B$6:$B$300,$A133)+COUNTIF('Stella'!$B$6:$B$300,$A133)+COUNTIF('Igor'!$B$6:$B$300,$A133))=0),"",(COUNTIFS('Clarice'!$B$6:$B$300,$A133,'Clarice'!$F$6:$F$300,"Concluído")+COUNTIFS('Luisa'!$B$6:$B$300,$A133,'Luisa'!$F$6:$F$300,"Concluído")+COUNTIFS('Lui'!$B$6:$B$300,$A133,'Lui'!$F$6:$F$300,"Concluído")+COUNTIFS('Thaís'!$B$6:$B$300,$A133,'Thaís'!$F$6:$F$300,"Concluído")+COUNTIFS('Daniel'!$B$6:$B$300,$A133,'Daniel'!$F$6:$F$300,"Concluído")+COUNTIFS('Fernando'!$B$6:$B$300,$A133,'Fernando'!$F$6:$F$300,"Concluído")+COUNTIFS('Stephanie'!$B$6:$B$300,$A133,'Stephanie'!$F$6:$F$300,"Concluído")+COUNTIFS('Fox'!$B$6:$B$300,$A133,'Fox'!$F$6:$F$300,"Concluído")+COUNTIFS('Bruna'!$B$6:$B$300,$A133,'Bruna'!$F$6:$F$300,"Concluído")+COUNTIFS('Stella'!$B$6:$B$300,$A133,'Stella'!$F$6:$F$300,"Concluído")+COUNTIFS('Igor'!$B$6:$B$300,$A133,'Igor'!$F$6:$F$300,"Concluído"))&amp;" / "&amp;(COUNTIF('Clarice'!$B$6:$B$300,$A133)+COUNTIF('Luisa'!$B$6:$B$300,$A133)+COUNTIF('Lui'!$B$6:$B$300,$A133)+COUNTIF('Thaís'!$B$6:$B$300,$A133)+COUNTIF('Daniel'!$B$6:$B$300,$A133)+COUNTIF('Fernando'!$B$6:$B$300,$A133)+COUNTIF('Stephanie'!$B$6:$B$300,$A133)+COUNTIF('Fox'!$B$6:$B$300,$A133)+COUNTIF('Bruna'!$B$6:$B$300,$A133)+COUNTIF('Stella'!$B$6:$B$300,$A133)+COUNTIF('Igor'!$B$6:$B$300,$A133)))</f>
        <v/>
      </c>
      <c r="K133" s="18" t="n">
        <v>46160</v>
      </c>
      <c r="L133" s="18" t="n">
        <v>46171</v>
      </c>
      <c r="M133" s="19" t="n"/>
      <c r="N133" s="19" t="n"/>
      <c r="O133" s="19" t="n"/>
      <c r="P133" s="20">
        <f>IF($A133="","",IF(M133&lt;&gt;"",M133,IF(K133&lt;&gt;"",K133,"")))</f>
        <v/>
      </c>
      <c r="Q133" s="20">
        <f>IF($A133="","",IF(N133&lt;&gt;"",N133,IF(L133&lt;&gt;"",L133,"")))</f>
        <v/>
      </c>
      <c r="R133" s="15" t="n"/>
      <c r="S133" s="16">
        <f t="array" ref="S133">IF($A133="","",_xlfn.TEXTJOIN(CHAR(10),TRUE,IF('Clarice'!$B$6:$B$300=$A133,"Clarice"&amp;IF('Clarice'!$E$6:$E$300="",""," : "&amp;'Clarice'!$E$6:$E$300)&amp;" ["&amp;'Clarice'!$F$6:$F$300&amp;"]",""),IF('Luisa'!$B$6:$B$300=$A133,"Luisa"&amp;IF('Luisa'!$E$6:$E$300="",""," : "&amp;'Luisa'!$E$6:$E$300)&amp;" ["&amp;'Luisa'!$F$6:$F$300&amp;"]",""),IF('Lui'!$B$6:$B$300=$A133,"Lui"&amp;IF('Lui'!$E$6:$E$300="",""," : "&amp;'Lui'!$E$6:$E$300)&amp;" ["&amp;'Lui'!$F$6:$F$300&amp;"]",""),IF('Thaís'!$B$6:$B$300=$A133,"Thaís"&amp;IF('Thaís'!$E$6:$E$300="",""," : "&amp;'Thaís'!$E$6:$E$300)&amp;" ["&amp;'Thaís'!$F$6:$F$300&amp;"]",""),IF('Daniel'!$B$6:$B$300=$A133,"Daniel"&amp;IF('Daniel'!$E$6:$E$300="",""," : "&amp;'Daniel'!$E$6:$E$300)&amp;" ["&amp;'Daniel'!$F$6:$F$300&amp;"]",""),IF('Fernando'!$B$6:$B$300=$A133,"Fernando"&amp;IF('Fernando'!$E$6:$E$300="",""," : "&amp;'Fernando'!$E$6:$E$300)&amp;" ["&amp;'Fernando'!$F$6:$F$300&amp;"]",""),IF('Stephanie'!$B$6:$B$300=$A133,"Stephanie"&amp;IF('Stephanie'!$E$6:$E$300="",""," : "&amp;'Stephanie'!$E$6:$E$300)&amp;" ["&amp;'Stephanie'!$F$6:$F$300&amp;"]",""),IF('Fox'!$B$6:$B$300=$A133,"Fox"&amp;IF('Fox'!$E$6:$E$300="",""," : "&amp;'Fox'!$E$6:$E$300)&amp;" ["&amp;'Fox'!$F$6:$F$300&amp;"]",""),IF('Bruna'!$B$6:$B$300=$A133,"Bruna"&amp;IF('Bruna'!$E$6:$E$300="",""," : "&amp;'Bruna'!$E$6:$E$300)&amp;" ["&amp;'Bruna'!$F$6:$F$300&amp;"]",""),IF('Stella'!$B$6:$B$300=$A133,"Stella"&amp;IF('Stella'!$E$6:$E$300="",""," : "&amp;'Stella'!$E$6:$E$300)&amp;" ["&amp;'Stella'!$F$6:$F$300&amp;"]",""),IF('Igor'!$B$6:$B$300=$A133,"Igor"&amp;IF('Igor'!$E$6:$E$300="",""," : "&amp;'Igor'!$E$6:$E$300)&amp;" ["&amp;'Igor'!$F$6:$F$300&amp;"]","")))</f>
        <v/>
      </c>
    </row>
    <row r="134" ht="28" customHeight="1">
      <c r="A134" s="13" t="inlineStr">
        <is>
          <t>DM-069</t>
        </is>
      </c>
      <c r="B134" s="14" t="inlineStr">
        <is>
          <t>Etapa 2: Construção das métricas | Atividade 7: Operacionalização das métricas | Atividade 8: Aplicação das métricas</t>
        </is>
      </c>
      <c r="C134" s="14" t="inlineStr">
        <is>
          <t>3. Aplicação da DM</t>
        </is>
      </c>
      <c r="D134" s="14" t="inlineStr">
        <is>
          <t>GR3</t>
        </is>
      </c>
      <c r="E134" s="15" t="inlineStr">
        <is>
          <t>Extração e espacialização dos pontos de coleta dos dados (GR3)</t>
        </is>
      </c>
      <c r="F134" s="13" t="inlineStr">
        <is>
          <t>Daniel</t>
        </is>
      </c>
      <c r="G134" s="16">
        <f>IF($A134="","",_xlfn.TEXTJOIN("; ",TRUE,IF(COUNTIF('Clarice'!$B$6:$B$300,$A134)&gt;0,"Clarice",""),IF(COUNTIF('Luisa'!$B$6:$B$300,$A134)&gt;0,"Luisa",""),IF(COUNTIF('Lui'!$B$6:$B$300,$A134)&gt;0,"Lui",""),IF(COUNTIF('Thaís'!$B$6:$B$300,$A134)&gt;0,"Thaís",""),IF(COUNTIF('Daniel'!$B$6:$B$300,$A134)&gt;0,"Daniel",""),IF(COUNTIF('Fernando'!$B$6:$B$300,$A134)&gt;0,"Fernando",""),IF(COUNTIF('Stephanie'!$B$6:$B$300,$A134)&gt;0,"Stephanie",""),IF(COUNTIF('Fox'!$B$6:$B$300,$A134)&gt;0,"Fox",""),IF(COUNTIF('Bruna'!$B$6:$B$300,$A134)&gt;0,"Bruna",""),IF(COUNTIF('Stella'!$B$6:$B$300,$A134)&gt;0,"Stella",""),IF(COUNTIF('Igor'!$B$6:$B$300,$A134)&gt;0,"Igor","")))</f>
        <v/>
      </c>
      <c r="H134" s="13" t="n"/>
      <c r="I134" s="13" t="inlineStr">
        <is>
          <t>Não iniciado</t>
        </is>
      </c>
      <c r="J134" s="17">
        <f>IF(OR($A134="",(COUNTIF('Clarice'!$B$6:$B$300,$A134)+COUNTIF('Luisa'!$B$6:$B$300,$A134)+COUNTIF('Lui'!$B$6:$B$300,$A134)+COUNTIF('Thaís'!$B$6:$B$300,$A134)+COUNTIF('Daniel'!$B$6:$B$300,$A134)+COUNTIF('Fernando'!$B$6:$B$300,$A134)+COUNTIF('Stephanie'!$B$6:$B$300,$A134)+COUNTIF('Fox'!$B$6:$B$300,$A134)+COUNTIF('Bruna'!$B$6:$B$300,$A134)+COUNTIF('Stella'!$B$6:$B$300,$A134)+COUNTIF('Igor'!$B$6:$B$300,$A134))=0),"",(COUNTIFS('Clarice'!$B$6:$B$300,$A134,'Clarice'!$F$6:$F$300,"Concluído")+COUNTIFS('Luisa'!$B$6:$B$300,$A134,'Luisa'!$F$6:$F$300,"Concluído")+COUNTIFS('Lui'!$B$6:$B$300,$A134,'Lui'!$F$6:$F$300,"Concluído")+COUNTIFS('Thaís'!$B$6:$B$300,$A134,'Thaís'!$F$6:$F$300,"Concluído")+COUNTIFS('Daniel'!$B$6:$B$300,$A134,'Daniel'!$F$6:$F$300,"Concluído")+COUNTIFS('Fernando'!$B$6:$B$300,$A134,'Fernando'!$F$6:$F$300,"Concluído")+COUNTIFS('Stephanie'!$B$6:$B$300,$A134,'Stephanie'!$F$6:$F$300,"Concluído")+COUNTIFS('Fox'!$B$6:$B$300,$A134,'Fox'!$F$6:$F$300,"Concluído")+COUNTIFS('Bruna'!$B$6:$B$300,$A134,'Bruna'!$F$6:$F$300,"Concluído")+COUNTIFS('Stella'!$B$6:$B$300,$A134,'Stella'!$F$6:$F$300,"Concluído")+COUNTIFS('Igor'!$B$6:$B$300,$A134,'Igor'!$F$6:$F$300,"Concluído"))&amp;" / "&amp;(COUNTIF('Clarice'!$B$6:$B$300,$A134)+COUNTIF('Luisa'!$B$6:$B$300,$A134)+COUNTIF('Lui'!$B$6:$B$300,$A134)+COUNTIF('Thaís'!$B$6:$B$300,$A134)+COUNTIF('Daniel'!$B$6:$B$300,$A134)+COUNTIF('Fernando'!$B$6:$B$300,$A134)+COUNTIF('Stephanie'!$B$6:$B$300,$A134)+COUNTIF('Fox'!$B$6:$B$300,$A134)+COUNTIF('Bruna'!$B$6:$B$300,$A134)+COUNTIF('Stella'!$B$6:$B$300,$A134)+COUNTIF('Igor'!$B$6:$B$300,$A134)))</f>
        <v/>
      </c>
      <c r="K134" s="18" t="n">
        <v>46181</v>
      </c>
      <c r="L134" s="18" t="n">
        <v>46192</v>
      </c>
      <c r="M134" s="19" t="n"/>
      <c r="N134" s="19" t="n"/>
      <c r="O134" s="19" t="n"/>
      <c r="P134" s="20">
        <f>IF($A134="","",IF(M134&lt;&gt;"",M134,IF(K134&lt;&gt;"",K134,"")))</f>
        <v/>
      </c>
      <c r="Q134" s="20">
        <f>IF($A134="","",IF(N134&lt;&gt;"",N134,IF(L134&lt;&gt;"",L134,"")))</f>
        <v/>
      </c>
      <c r="R134" s="15" t="n"/>
      <c r="S134" s="16">
        <f t="array" ref="S134">IF($A134="","",_xlfn.TEXTJOIN(CHAR(10),TRUE,IF('Clarice'!$B$6:$B$300=$A134,"Clarice"&amp;IF('Clarice'!$E$6:$E$300="",""," : "&amp;'Clarice'!$E$6:$E$300)&amp;" ["&amp;'Clarice'!$F$6:$F$300&amp;"]",""),IF('Luisa'!$B$6:$B$300=$A134,"Luisa"&amp;IF('Luisa'!$E$6:$E$300="",""," : "&amp;'Luisa'!$E$6:$E$300)&amp;" ["&amp;'Luisa'!$F$6:$F$300&amp;"]",""),IF('Lui'!$B$6:$B$300=$A134,"Lui"&amp;IF('Lui'!$E$6:$E$300="",""," : "&amp;'Lui'!$E$6:$E$300)&amp;" ["&amp;'Lui'!$F$6:$F$300&amp;"]",""),IF('Thaís'!$B$6:$B$300=$A134,"Thaís"&amp;IF('Thaís'!$E$6:$E$300="",""," : "&amp;'Thaís'!$E$6:$E$300)&amp;" ["&amp;'Thaís'!$F$6:$F$300&amp;"]",""),IF('Daniel'!$B$6:$B$300=$A134,"Daniel"&amp;IF('Daniel'!$E$6:$E$300="",""," : "&amp;'Daniel'!$E$6:$E$300)&amp;" ["&amp;'Daniel'!$F$6:$F$300&amp;"]",""),IF('Fernando'!$B$6:$B$300=$A134,"Fernando"&amp;IF('Fernando'!$E$6:$E$300="",""," : "&amp;'Fernando'!$E$6:$E$300)&amp;" ["&amp;'Fernando'!$F$6:$F$300&amp;"]",""),IF('Stephanie'!$B$6:$B$300=$A134,"Stephanie"&amp;IF('Stephanie'!$E$6:$E$300="",""," : "&amp;'Stephanie'!$E$6:$E$300)&amp;" ["&amp;'Stephanie'!$F$6:$F$300&amp;"]",""),IF('Fox'!$B$6:$B$300=$A134,"Fox"&amp;IF('Fox'!$E$6:$E$300="",""," : "&amp;'Fox'!$E$6:$E$300)&amp;" ["&amp;'Fox'!$F$6:$F$300&amp;"]",""),IF('Bruna'!$B$6:$B$300=$A134,"Bruna"&amp;IF('Bruna'!$E$6:$E$300="",""," : "&amp;'Bruna'!$E$6:$E$300)&amp;" ["&amp;'Bruna'!$F$6:$F$300&amp;"]",""),IF('Stella'!$B$6:$B$300=$A134,"Stella"&amp;IF('Stella'!$E$6:$E$300="",""," : "&amp;'Stella'!$E$6:$E$300)&amp;" ["&amp;'Stella'!$F$6:$F$300&amp;"]",""),IF('Igor'!$B$6:$B$300=$A134,"Igor"&amp;IF('Igor'!$E$6:$E$300="",""," : "&amp;'Igor'!$E$6:$E$300)&amp;" ["&amp;'Igor'!$F$6:$F$300&amp;"]","")))</f>
        <v/>
      </c>
    </row>
    <row r="135" ht="15.5" customHeight="1">
      <c r="A135" s="13" t="inlineStr">
        <is>
          <t>DM-070</t>
        </is>
      </c>
      <c r="B135" s="14" t="inlineStr">
        <is>
          <t>Etapa 2: Construção das métricas | Atividade 7: Operacionalização das métricas | Atividade 8: Aplicação das métricas</t>
        </is>
      </c>
      <c r="C135" s="14" t="inlineStr">
        <is>
          <t>3. Aplicação da DM</t>
        </is>
      </c>
      <c r="D135" s="14" t="inlineStr">
        <is>
          <t>GR3</t>
        </is>
      </c>
      <c r="E135" s="15" t="inlineStr">
        <is>
          <t>Solicitar dados faltantes para Petrobras (GR3)</t>
        </is>
      </c>
      <c r="F135" s="13" t="inlineStr">
        <is>
          <t>Daniel</t>
        </is>
      </c>
      <c r="G135" s="16">
        <f>IF($A135="","",_xlfn.TEXTJOIN("; ",TRUE,IF(COUNTIF('Clarice'!$B$6:$B$300,$A135)&gt;0,"Clarice",""),IF(COUNTIF('Luisa'!$B$6:$B$300,$A135)&gt;0,"Luisa",""),IF(COUNTIF('Lui'!$B$6:$B$300,$A135)&gt;0,"Lui",""),IF(COUNTIF('Thaís'!$B$6:$B$300,$A135)&gt;0,"Thaís",""),IF(COUNTIF('Daniel'!$B$6:$B$300,$A135)&gt;0,"Daniel",""),IF(COUNTIF('Fernando'!$B$6:$B$300,$A135)&gt;0,"Fernando",""),IF(COUNTIF('Stephanie'!$B$6:$B$300,$A135)&gt;0,"Stephanie",""),IF(COUNTIF('Fox'!$B$6:$B$300,$A135)&gt;0,"Fox",""),IF(COUNTIF('Bruna'!$B$6:$B$300,$A135)&gt;0,"Bruna",""),IF(COUNTIF('Stella'!$B$6:$B$300,$A135)&gt;0,"Stella",""),IF(COUNTIF('Igor'!$B$6:$B$300,$A135)&gt;0,"Igor","")))</f>
        <v/>
      </c>
      <c r="H135" s="13" t="n"/>
      <c r="I135" s="13" t="inlineStr">
        <is>
          <t>Concluído</t>
        </is>
      </c>
      <c r="J135" s="17">
        <f>IF(OR($A135="",(COUNTIF('Clarice'!$B$6:$B$300,$A135)+COUNTIF('Luisa'!$B$6:$B$300,$A135)+COUNTIF('Lui'!$B$6:$B$300,$A135)+COUNTIF('Thaís'!$B$6:$B$300,$A135)+COUNTIF('Daniel'!$B$6:$B$300,$A135)+COUNTIF('Fernando'!$B$6:$B$300,$A135)+COUNTIF('Stephanie'!$B$6:$B$300,$A135)+COUNTIF('Fox'!$B$6:$B$300,$A135)+COUNTIF('Bruna'!$B$6:$B$300,$A135)+COUNTIF('Stella'!$B$6:$B$300,$A135)+COUNTIF('Igor'!$B$6:$B$300,$A135))=0),"",(COUNTIFS('Clarice'!$B$6:$B$300,$A135,'Clarice'!$F$6:$F$300,"Concluído")+COUNTIFS('Luisa'!$B$6:$B$300,$A135,'Luisa'!$F$6:$F$300,"Concluído")+COUNTIFS('Lui'!$B$6:$B$300,$A135,'Lui'!$F$6:$F$300,"Concluído")+COUNTIFS('Thaís'!$B$6:$B$300,$A135,'Thaís'!$F$6:$F$300,"Concluído")+COUNTIFS('Daniel'!$B$6:$B$300,$A135,'Daniel'!$F$6:$F$300,"Concluído")+COUNTIFS('Fernando'!$B$6:$B$300,$A135,'Fernando'!$F$6:$F$300,"Concluído")+COUNTIFS('Stephanie'!$B$6:$B$300,$A135,'Stephanie'!$F$6:$F$300,"Concluído")+COUNTIFS('Fox'!$B$6:$B$300,$A135,'Fox'!$F$6:$F$300,"Concluído")+COUNTIFS('Bruna'!$B$6:$B$300,$A135,'Bruna'!$F$6:$F$300,"Concluído")+COUNTIFS('Stella'!$B$6:$B$300,$A135,'Stella'!$F$6:$F$300,"Concluído")+COUNTIFS('Igor'!$B$6:$B$300,$A135,'Igor'!$F$6:$F$300,"Concluído"))&amp;" / "&amp;(COUNTIF('Clarice'!$B$6:$B$300,$A135)+COUNTIF('Luisa'!$B$6:$B$300,$A135)+COUNTIF('Lui'!$B$6:$B$300,$A135)+COUNTIF('Thaís'!$B$6:$B$300,$A135)+COUNTIF('Daniel'!$B$6:$B$300,$A135)+COUNTIF('Fernando'!$B$6:$B$300,$A135)+COUNTIF('Stephanie'!$B$6:$B$300,$A135)+COUNTIF('Fox'!$B$6:$B$300,$A135)+COUNTIF('Bruna'!$B$6:$B$300,$A135)+COUNTIF('Stella'!$B$6:$B$300,$A135)+COUNTIF('Igor'!$B$6:$B$300,$A135)))</f>
        <v/>
      </c>
      <c r="K135" s="18" t="n">
        <v>46174</v>
      </c>
      <c r="L135" s="18" t="n">
        <v>46178</v>
      </c>
      <c r="M135" s="18" t="n">
        <v>46174</v>
      </c>
      <c r="N135" s="18" t="n">
        <v>46192</v>
      </c>
      <c r="O135" s="19" t="n"/>
      <c r="P135" s="20">
        <f>IF($A135="","",IF(M135&lt;&gt;"",M135,IF(K135&lt;&gt;"",K135,"")))</f>
        <v/>
      </c>
      <c r="Q135" s="20">
        <f>IF($A135="","",IF(N135&lt;&gt;"",N135,IF(L135&lt;&gt;"",L135,"")))</f>
        <v/>
      </c>
      <c r="R135" s="15" t="n"/>
      <c r="S135" s="16">
        <f t="array" ref="S135">IF($A135="","",_xlfn.TEXTJOIN(CHAR(10),TRUE,IF('Clarice'!$B$6:$B$300=$A135,"Clarice"&amp;IF('Clarice'!$E$6:$E$300="",""," : "&amp;'Clarice'!$E$6:$E$300)&amp;" ["&amp;'Clarice'!$F$6:$F$300&amp;"]",""),IF('Luisa'!$B$6:$B$300=$A135,"Luisa"&amp;IF('Luisa'!$E$6:$E$300="",""," : "&amp;'Luisa'!$E$6:$E$300)&amp;" ["&amp;'Luisa'!$F$6:$F$300&amp;"]",""),IF('Lui'!$B$6:$B$300=$A135,"Lui"&amp;IF('Lui'!$E$6:$E$300="",""," : "&amp;'Lui'!$E$6:$E$300)&amp;" ["&amp;'Lui'!$F$6:$F$300&amp;"]",""),IF('Thaís'!$B$6:$B$300=$A135,"Thaís"&amp;IF('Thaís'!$E$6:$E$300="",""," : "&amp;'Thaís'!$E$6:$E$300)&amp;" ["&amp;'Thaís'!$F$6:$F$300&amp;"]",""),IF('Daniel'!$B$6:$B$300=$A135,"Daniel"&amp;IF('Daniel'!$E$6:$E$300="",""," : "&amp;'Daniel'!$E$6:$E$300)&amp;" ["&amp;'Daniel'!$F$6:$F$300&amp;"]",""),IF('Fernando'!$B$6:$B$300=$A135,"Fernando"&amp;IF('Fernando'!$E$6:$E$300="",""," : "&amp;'Fernando'!$E$6:$E$300)&amp;" ["&amp;'Fernando'!$F$6:$F$300&amp;"]",""),IF('Stephanie'!$B$6:$B$300=$A135,"Stephanie"&amp;IF('Stephanie'!$E$6:$E$300="",""," : "&amp;'Stephanie'!$E$6:$E$300)&amp;" ["&amp;'Stephanie'!$F$6:$F$300&amp;"]",""),IF('Fox'!$B$6:$B$300=$A135,"Fox"&amp;IF('Fox'!$E$6:$E$300="",""," : "&amp;'Fox'!$E$6:$E$300)&amp;" ["&amp;'Fox'!$F$6:$F$300&amp;"]",""),IF('Bruna'!$B$6:$B$300=$A135,"Bruna"&amp;IF('Bruna'!$E$6:$E$300="",""," : "&amp;'Bruna'!$E$6:$E$300)&amp;" ["&amp;'Bruna'!$F$6:$F$300&amp;"]",""),IF('Stella'!$B$6:$B$300=$A135,"Stella"&amp;IF('Stella'!$E$6:$E$300="",""," : "&amp;'Stella'!$E$6:$E$300)&amp;" ["&amp;'Stella'!$F$6:$F$300&amp;"]",""),IF('Igor'!$B$6:$B$300=$A135,"Igor"&amp;IF('Igor'!$E$6:$E$300="",""," : "&amp;'Igor'!$E$6:$E$300)&amp;" ["&amp;'Igor'!$F$6:$F$300&amp;"]","")))</f>
        <v/>
      </c>
    </row>
    <row r="136" ht="15.5" customHeight="1">
      <c r="A136" s="13" t="inlineStr">
        <is>
          <t>DM-071</t>
        </is>
      </c>
      <c r="B136" s="14" t="inlineStr">
        <is>
          <t>Etapa 2: Construção das métricas | Atividade 7: Operacionalização das métricas | Atividade 8: Aplicação das métricas</t>
        </is>
      </c>
      <c r="C136" s="14" t="inlineStr">
        <is>
          <t>3. Aplicação da DM</t>
        </is>
      </c>
      <c r="D136" s="14" t="inlineStr">
        <is>
          <t>GR3</t>
        </is>
      </c>
      <c r="E136" s="15" t="inlineStr">
        <is>
          <t>Obter dados faltantes (GR3)</t>
        </is>
      </c>
      <c r="F136" s="13" t="inlineStr">
        <is>
          <t>Daniel</t>
        </is>
      </c>
      <c r="G136" s="16">
        <f>IF($A136="","",_xlfn.TEXTJOIN("; ",TRUE,IF(COUNTIF('Clarice'!$B$6:$B$300,$A136)&gt;0,"Clarice",""),IF(COUNTIF('Luisa'!$B$6:$B$300,$A136)&gt;0,"Luisa",""),IF(COUNTIF('Lui'!$B$6:$B$300,$A136)&gt;0,"Lui",""),IF(COUNTIF('Thaís'!$B$6:$B$300,$A136)&gt;0,"Thaís",""),IF(COUNTIF('Daniel'!$B$6:$B$300,$A136)&gt;0,"Daniel",""),IF(COUNTIF('Fernando'!$B$6:$B$300,$A136)&gt;0,"Fernando",""),IF(COUNTIF('Stephanie'!$B$6:$B$300,$A136)&gt;0,"Stephanie",""),IF(COUNTIF('Fox'!$B$6:$B$300,$A136)&gt;0,"Fox",""),IF(COUNTIF('Bruna'!$B$6:$B$300,$A136)&gt;0,"Bruna",""),IF(COUNTIF('Stella'!$B$6:$B$300,$A136)&gt;0,"Stella",""),IF(COUNTIF('Igor'!$B$6:$B$300,$A136)&gt;0,"Igor","")))</f>
        <v/>
      </c>
      <c r="H136" s="13" t="n"/>
      <c r="I136" s="13" t="inlineStr">
        <is>
          <t>Concluído</t>
        </is>
      </c>
      <c r="J136" s="17">
        <f>IF(OR($A136="",(COUNTIF('Clarice'!$B$6:$B$300,$A136)+COUNTIF('Luisa'!$B$6:$B$300,$A136)+COUNTIF('Lui'!$B$6:$B$300,$A136)+COUNTIF('Thaís'!$B$6:$B$300,$A136)+COUNTIF('Daniel'!$B$6:$B$300,$A136)+COUNTIF('Fernando'!$B$6:$B$300,$A136)+COUNTIF('Stephanie'!$B$6:$B$300,$A136)+COUNTIF('Fox'!$B$6:$B$300,$A136)+COUNTIF('Bruna'!$B$6:$B$300,$A136)+COUNTIF('Stella'!$B$6:$B$300,$A136)+COUNTIF('Igor'!$B$6:$B$300,$A136))=0),"",(COUNTIFS('Clarice'!$B$6:$B$300,$A136,'Clarice'!$F$6:$F$300,"Concluído")+COUNTIFS('Luisa'!$B$6:$B$300,$A136,'Luisa'!$F$6:$F$300,"Concluído")+COUNTIFS('Lui'!$B$6:$B$300,$A136,'Lui'!$F$6:$F$300,"Concluído")+COUNTIFS('Thaís'!$B$6:$B$300,$A136,'Thaís'!$F$6:$F$300,"Concluído")+COUNTIFS('Daniel'!$B$6:$B$300,$A136,'Daniel'!$F$6:$F$300,"Concluído")+COUNTIFS('Fernando'!$B$6:$B$300,$A136,'Fernando'!$F$6:$F$300,"Concluído")+COUNTIFS('Stephanie'!$B$6:$B$300,$A136,'Stephanie'!$F$6:$F$300,"Concluído")+COUNTIFS('Fox'!$B$6:$B$300,$A136,'Fox'!$F$6:$F$300,"Concluído")+COUNTIFS('Bruna'!$B$6:$B$300,$A136,'Bruna'!$F$6:$F$300,"Concluído")+COUNTIFS('Stella'!$B$6:$B$300,$A136,'Stella'!$F$6:$F$300,"Concluído")+COUNTIFS('Igor'!$B$6:$B$300,$A136,'Igor'!$F$6:$F$300,"Concluído"))&amp;" / "&amp;(COUNTIF('Clarice'!$B$6:$B$300,$A136)+COUNTIF('Luisa'!$B$6:$B$300,$A136)+COUNTIF('Lui'!$B$6:$B$300,$A136)+COUNTIF('Thaís'!$B$6:$B$300,$A136)+COUNTIF('Daniel'!$B$6:$B$300,$A136)+COUNTIF('Fernando'!$B$6:$B$300,$A136)+COUNTIF('Stephanie'!$B$6:$B$300,$A136)+COUNTIF('Fox'!$B$6:$B$300,$A136)+COUNTIF('Bruna'!$B$6:$B$300,$A136)+COUNTIF('Stella'!$B$6:$B$300,$A136)+COUNTIF('Igor'!$B$6:$B$300,$A136)))</f>
        <v/>
      </c>
      <c r="K136" s="18" t="n">
        <v>46188</v>
      </c>
      <c r="L136" s="18" t="n">
        <v>46192</v>
      </c>
      <c r="M136" s="18" t="n">
        <v>46188</v>
      </c>
      <c r="N136" s="18" t="n">
        <v>46220</v>
      </c>
      <c r="O136" s="19" t="n"/>
      <c r="P136" s="20">
        <f>IF($A136="","",IF(M136&lt;&gt;"",M136,IF(K136&lt;&gt;"",K136,"")))</f>
        <v/>
      </c>
      <c r="Q136" s="20">
        <f>IF($A136="","",IF(N136&lt;&gt;"",N136,IF(L136&lt;&gt;"",L136,"")))</f>
        <v/>
      </c>
      <c r="R136" s="15" t="n"/>
      <c r="S136" s="16">
        <f t="array" ref="S136">IF($A136="","",_xlfn.TEXTJOIN(CHAR(10),TRUE,IF('Clarice'!$B$6:$B$300=$A136,"Clarice"&amp;IF('Clarice'!$E$6:$E$300="",""," : "&amp;'Clarice'!$E$6:$E$300)&amp;" ["&amp;'Clarice'!$F$6:$F$300&amp;"]",""),IF('Luisa'!$B$6:$B$300=$A136,"Luisa"&amp;IF('Luisa'!$E$6:$E$300="",""," : "&amp;'Luisa'!$E$6:$E$300)&amp;" ["&amp;'Luisa'!$F$6:$F$300&amp;"]",""),IF('Lui'!$B$6:$B$300=$A136,"Lui"&amp;IF('Lui'!$E$6:$E$300="",""," : "&amp;'Lui'!$E$6:$E$300)&amp;" ["&amp;'Lui'!$F$6:$F$300&amp;"]",""),IF('Thaís'!$B$6:$B$300=$A136,"Thaís"&amp;IF('Thaís'!$E$6:$E$300="",""," : "&amp;'Thaís'!$E$6:$E$300)&amp;" ["&amp;'Thaís'!$F$6:$F$300&amp;"]",""),IF('Daniel'!$B$6:$B$300=$A136,"Daniel"&amp;IF('Daniel'!$E$6:$E$300="",""," : "&amp;'Daniel'!$E$6:$E$300)&amp;" ["&amp;'Daniel'!$F$6:$F$300&amp;"]",""),IF('Fernando'!$B$6:$B$300=$A136,"Fernando"&amp;IF('Fernando'!$E$6:$E$300="",""," : "&amp;'Fernando'!$E$6:$E$300)&amp;" ["&amp;'Fernando'!$F$6:$F$300&amp;"]",""),IF('Stephanie'!$B$6:$B$300=$A136,"Stephanie"&amp;IF('Stephanie'!$E$6:$E$300="",""," : "&amp;'Stephanie'!$E$6:$E$300)&amp;" ["&amp;'Stephanie'!$F$6:$F$300&amp;"]",""),IF('Fox'!$B$6:$B$300=$A136,"Fox"&amp;IF('Fox'!$E$6:$E$300="",""," : "&amp;'Fox'!$E$6:$E$300)&amp;" ["&amp;'Fox'!$F$6:$F$300&amp;"]",""),IF('Bruna'!$B$6:$B$300=$A136,"Bruna"&amp;IF('Bruna'!$E$6:$E$300="",""," : "&amp;'Bruna'!$E$6:$E$300)&amp;" ["&amp;'Bruna'!$F$6:$F$300&amp;"]",""),IF('Stella'!$B$6:$B$300=$A136,"Stella"&amp;IF('Stella'!$E$6:$E$300="",""," : "&amp;'Stella'!$E$6:$E$300)&amp;" ["&amp;'Stella'!$F$6:$F$300&amp;"]",""),IF('Igor'!$B$6:$B$300=$A136,"Igor"&amp;IF('Igor'!$E$6:$E$300="",""," : "&amp;'Igor'!$E$6:$E$300)&amp;" ["&amp;'Igor'!$F$6:$F$300&amp;"]","")))</f>
        <v/>
      </c>
    </row>
    <row r="137" ht="40.5" customHeight="1">
      <c r="A137" s="13" t="inlineStr">
        <is>
          <t>DM-072</t>
        </is>
      </c>
      <c r="B137" s="14" t="inlineStr">
        <is>
          <t>Etapa 2: Construção das métricas | Atividade 7: Operacionalização das métricas | Atividade 8: Aplicação das métricas</t>
        </is>
      </c>
      <c r="C137" s="14" t="inlineStr">
        <is>
          <t>3. Aplicação da DM</t>
        </is>
      </c>
      <c r="D137" s="14" t="inlineStr">
        <is>
          <t>GR3</t>
        </is>
      </c>
      <c r="E137" s="15" t="inlineStr">
        <is>
          <t>Sistematizar os novos dados (GR3)</t>
        </is>
      </c>
      <c r="F137" s="13" t="inlineStr">
        <is>
          <t>Daniel</t>
        </is>
      </c>
      <c r="G137" s="16">
        <f>IF($A137="","",_xlfn.TEXTJOIN("; ",TRUE,IF(COUNTIF('Clarice'!$B$6:$B$300,$A137)&gt;0,"Clarice",""),IF(COUNTIF('Luisa'!$B$6:$B$300,$A137)&gt;0,"Luisa",""),IF(COUNTIF('Lui'!$B$6:$B$300,$A137)&gt;0,"Lui",""),IF(COUNTIF('Thaís'!$B$6:$B$300,$A137)&gt;0,"Thaís",""),IF(COUNTIF('Daniel'!$B$6:$B$300,$A137)&gt;0,"Daniel",""),IF(COUNTIF('Fernando'!$B$6:$B$300,$A137)&gt;0,"Fernando",""),IF(COUNTIF('Stephanie'!$B$6:$B$300,$A137)&gt;0,"Stephanie",""),IF(COUNTIF('Fox'!$B$6:$B$300,$A137)&gt;0,"Fox",""),IF(COUNTIF('Bruna'!$B$6:$B$300,$A137)&gt;0,"Bruna",""),IF(COUNTIF('Stella'!$B$6:$B$300,$A137)&gt;0,"Stella",""),IF(COUNTIF('Igor'!$B$6:$B$300,$A137)&gt;0,"Igor","")))</f>
        <v/>
      </c>
      <c r="H137" s="13" t="n"/>
      <c r="I137" s="13" t="inlineStr">
        <is>
          <t>Concluído</t>
        </is>
      </c>
      <c r="J137" s="17">
        <f>IF(OR($A137="",(COUNTIF('Clarice'!$B$6:$B$300,$A137)+COUNTIF('Luisa'!$B$6:$B$300,$A137)+COUNTIF('Lui'!$B$6:$B$300,$A137)+COUNTIF('Thaís'!$B$6:$B$300,$A137)+COUNTIF('Daniel'!$B$6:$B$300,$A137)+COUNTIF('Fernando'!$B$6:$B$300,$A137)+COUNTIF('Stephanie'!$B$6:$B$300,$A137)+COUNTIF('Fox'!$B$6:$B$300,$A137)+COUNTIF('Bruna'!$B$6:$B$300,$A137)+COUNTIF('Stella'!$B$6:$B$300,$A137)+COUNTIF('Igor'!$B$6:$B$300,$A137))=0),"",(COUNTIFS('Clarice'!$B$6:$B$300,$A137,'Clarice'!$F$6:$F$300,"Concluído")+COUNTIFS('Luisa'!$B$6:$B$300,$A137,'Luisa'!$F$6:$F$300,"Concluído")+COUNTIFS('Lui'!$B$6:$B$300,$A137,'Lui'!$F$6:$F$300,"Concluído")+COUNTIFS('Thaís'!$B$6:$B$300,$A137,'Thaís'!$F$6:$F$300,"Concluído")+COUNTIFS('Daniel'!$B$6:$B$300,$A137,'Daniel'!$F$6:$F$300,"Concluído")+COUNTIFS('Fernando'!$B$6:$B$300,$A137,'Fernando'!$F$6:$F$300,"Concluído")+COUNTIFS('Stephanie'!$B$6:$B$300,$A137,'Stephanie'!$F$6:$F$300,"Concluído")+COUNTIFS('Fox'!$B$6:$B$300,$A137,'Fox'!$F$6:$F$300,"Concluído")+COUNTIFS('Bruna'!$B$6:$B$300,$A137,'Bruna'!$F$6:$F$300,"Concluído")+COUNTIFS('Stella'!$B$6:$B$300,$A137,'Stella'!$F$6:$F$300,"Concluído")+COUNTIFS('Igor'!$B$6:$B$300,$A137,'Igor'!$F$6:$F$300,"Concluído"))&amp;" / "&amp;(COUNTIF('Clarice'!$B$6:$B$300,$A137)+COUNTIF('Luisa'!$B$6:$B$300,$A137)+COUNTIF('Lui'!$B$6:$B$300,$A137)+COUNTIF('Thaís'!$B$6:$B$300,$A137)+COUNTIF('Daniel'!$B$6:$B$300,$A137)+COUNTIF('Fernando'!$B$6:$B$300,$A137)+COUNTIF('Stephanie'!$B$6:$B$300,$A137)+COUNTIF('Fox'!$B$6:$B$300,$A137)+COUNTIF('Bruna'!$B$6:$B$300,$A137)+COUNTIF('Stella'!$B$6:$B$300,$A137)+COUNTIF('Igor'!$B$6:$B$300,$A137)))</f>
        <v/>
      </c>
      <c r="K137" s="18" t="n">
        <v>46195</v>
      </c>
      <c r="L137" s="18" t="n">
        <v>46203</v>
      </c>
      <c r="M137" s="18" t="n">
        <v>46195</v>
      </c>
      <c r="N137" s="18" t="n">
        <v>46241</v>
      </c>
      <c r="O137" s="19" t="n"/>
      <c r="P137" s="20">
        <f>IF($A137="","",IF(M137&lt;&gt;"",M137,IF(K137&lt;&gt;"",K137,"")))</f>
        <v/>
      </c>
      <c r="Q137" s="20">
        <f>IF($A137="","",IF(N137&lt;&gt;"",N137,IF(L137&lt;&gt;"",L137,"")))</f>
        <v/>
      </c>
      <c r="R137" s="15" t="n"/>
      <c r="S137" s="16">
        <f t="array" ref="S137">IF($A137="","",_xlfn.TEXTJOIN(CHAR(10),TRUE,IF('Clarice'!$B$6:$B$300=$A137,"Clarice"&amp;IF('Clarice'!$E$6:$E$300="",""," : "&amp;'Clarice'!$E$6:$E$300)&amp;" ["&amp;'Clarice'!$F$6:$F$300&amp;"]",""),IF('Luisa'!$B$6:$B$300=$A137,"Luisa"&amp;IF('Luisa'!$E$6:$E$300="",""," : "&amp;'Luisa'!$E$6:$E$300)&amp;" ["&amp;'Luisa'!$F$6:$F$300&amp;"]",""),IF('Lui'!$B$6:$B$300=$A137,"Lui"&amp;IF('Lui'!$E$6:$E$300="",""," : "&amp;'Lui'!$E$6:$E$300)&amp;" ["&amp;'Lui'!$F$6:$F$300&amp;"]",""),IF('Thaís'!$B$6:$B$300=$A137,"Thaís"&amp;IF('Thaís'!$E$6:$E$300="",""," : "&amp;'Thaís'!$E$6:$E$300)&amp;" ["&amp;'Thaís'!$F$6:$F$300&amp;"]",""),IF('Daniel'!$B$6:$B$300=$A137,"Daniel"&amp;IF('Daniel'!$E$6:$E$300="",""," : "&amp;'Daniel'!$E$6:$E$300)&amp;" ["&amp;'Daniel'!$F$6:$F$300&amp;"]",""),IF('Fernando'!$B$6:$B$300=$A137,"Fernando"&amp;IF('Fernando'!$E$6:$E$300="",""," : "&amp;'Fernando'!$E$6:$E$300)&amp;" ["&amp;'Fernando'!$F$6:$F$300&amp;"]",""),IF('Stephanie'!$B$6:$B$300=$A137,"Stephanie"&amp;IF('Stephanie'!$E$6:$E$300="",""," : "&amp;'Stephanie'!$E$6:$E$300)&amp;" ["&amp;'Stephanie'!$F$6:$F$300&amp;"]",""),IF('Fox'!$B$6:$B$300=$A137,"Fox"&amp;IF('Fox'!$E$6:$E$300="",""," : "&amp;'Fox'!$E$6:$E$300)&amp;" ["&amp;'Fox'!$F$6:$F$300&amp;"]",""),IF('Bruna'!$B$6:$B$300=$A137,"Bruna"&amp;IF('Bruna'!$E$6:$E$300="",""," : "&amp;'Bruna'!$E$6:$E$300)&amp;" ["&amp;'Bruna'!$F$6:$F$300&amp;"]",""),IF('Stella'!$B$6:$B$300=$A137,"Stella"&amp;IF('Stella'!$E$6:$E$300="",""," : "&amp;'Stella'!$E$6:$E$300)&amp;" ["&amp;'Stella'!$F$6:$F$300&amp;"]",""),IF('Igor'!$B$6:$B$300=$A137,"Igor"&amp;IF('Igor'!$E$6:$E$300="",""," : "&amp;'Igor'!$E$6:$E$300)&amp;" ["&amp;'Igor'!$F$6:$F$300&amp;"]","")))</f>
        <v/>
      </c>
    </row>
    <row r="138" ht="28" customHeight="1">
      <c r="A138" s="13" t="inlineStr">
        <is>
          <t>DM-073</t>
        </is>
      </c>
      <c r="B138" s="14" t="inlineStr">
        <is>
          <t>Etapa 2: Construção das métricas | Atividade 7: Operacionalização das métricas | Atividade 8: Aplicação das métricas</t>
        </is>
      </c>
      <c r="C138" s="14" t="inlineStr">
        <is>
          <t>3. Aplicação da DM</t>
        </is>
      </c>
      <c r="D138" s="14" t="inlineStr">
        <is>
          <t>GR3</t>
        </is>
      </c>
      <c r="E138" s="15" t="inlineStr">
        <is>
          <t>Realizar atualização taxonômica e status de conservação- cf aff e sp. (GR3)</t>
        </is>
      </c>
      <c r="F138" s="13" t="inlineStr">
        <is>
          <t>Daniel</t>
        </is>
      </c>
      <c r="G138" s="16">
        <f>IF($A138="","",_xlfn.TEXTJOIN("; ",TRUE,IF(COUNTIF('Clarice'!$B$6:$B$300,$A138)&gt;0,"Clarice",""),IF(COUNTIF('Luisa'!$B$6:$B$300,$A138)&gt;0,"Luisa",""),IF(COUNTIF('Lui'!$B$6:$B$300,$A138)&gt;0,"Lui",""),IF(COUNTIF('Thaís'!$B$6:$B$300,$A138)&gt;0,"Thaís",""),IF(COUNTIF('Daniel'!$B$6:$B$300,$A138)&gt;0,"Daniel",""),IF(COUNTIF('Fernando'!$B$6:$B$300,$A138)&gt;0,"Fernando",""),IF(COUNTIF('Stephanie'!$B$6:$B$300,$A138)&gt;0,"Stephanie",""),IF(COUNTIF('Fox'!$B$6:$B$300,$A138)&gt;0,"Fox",""),IF(COUNTIF('Bruna'!$B$6:$B$300,$A138)&gt;0,"Bruna",""),IF(COUNTIF('Stella'!$B$6:$B$300,$A138)&gt;0,"Stella",""),IF(COUNTIF('Igor'!$B$6:$B$300,$A138)&gt;0,"Igor","")))</f>
        <v/>
      </c>
      <c r="H138" s="13" t="n"/>
      <c r="I138" s="13" t="inlineStr">
        <is>
          <t>Em andamento</t>
        </is>
      </c>
      <c r="J138" s="17">
        <f>IF(OR($A138="",(COUNTIF('Clarice'!$B$6:$B$300,$A138)+COUNTIF('Luisa'!$B$6:$B$300,$A138)+COUNTIF('Lui'!$B$6:$B$300,$A138)+COUNTIF('Thaís'!$B$6:$B$300,$A138)+COUNTIF('Daniel'!$B$6:$B$300,$A138)+COUNTIF('Fernando'!$B$6:$B$300,$A138)+COUNTIF('Stephanie'!$B$6:$B$300,$A138)+COUNTIF('Fox'!$B$6:$B$300,$A138)+COUNTIF('Bruna'!$B$6:$B$300,$A138)+COUNTIF('Stella'!$B$6:$B$300,$A138)+COUNTIF('Igor'!$B$6:$B$300,$A138))=0),"",(COUNTIFS('Clarice'!$B$6:$B$300,$A138,'Clarice'!$F$6:$F$300,"Concluído")+COUNTIFS('Luisa'!$B$6:$B$300,$A138,'Luisa'!$F$6:$F$300,"Concluído")+COUNTIFS('Lui'!$B$6:$B$300,$A138,'Lui'!$F$6:$F$300,"Concluído")+COUNTIFS('Thaís'!$B$6:$B$300,$A138,'Thaís'!$F$6:$F$300,"Concluído")+COUNTIFS('Daniel'!$B$6:$B$300,$A138,'Daniel'!$F$6:$F$300,"Concluído")+COUNTIFS('Fernando'!$B$6:$B$300,$A138,'Fernando'!$F$6:$F$300,"Concluído")+COUNTIFS('Stephanie'!$B$6:$B$300,$A138,'Stephanie'!$F$6:$F$300,"Concluído")+COUNTIFS('Fox'!$B$6:$B$300,$A138,'Fox'!$F$6:$F$300,"Concluído")+COUNTIFS('Bruna'!$B$6:$B$300,$A138,'Bruna'!$F$6:$F$300,"Concluído")+COUNTIFS('Stella'!$B$6:$B$300,$A138,'Stella'!$F$6:$F$300,"Concluído")+COUNTIFS('Igor'!$B$6:$B$300,$A138,'Igor'!$F$6:$F$300,"Concluído"))&amp;" / "&amp;(COUNTIF('Clarice'!$B$6:$B$300,$A138)+COUNTIF('Luisa'!$B$6:$B$300,$A138)+COUNTIF('Lui'!$B$6:$B$300,$A138)+COUNTIF('Thaís'!$B$6:$B$300,$A138)+COUNTIF('Daniel'!$B$6:$B$300,$A138)+COUNTIF('Fernando'!$B$6:$B$300,$A138)+COUNTIF('Stephanie'!$B$6:$B$300,$A138)+COUNTIF('Fox'!$B$6:$B$300,$A138)+COUNTIF('Bruna'!$B$6:$B$300,$A138)+COUNTIF('Stella'!$B$6:$B$300,$A138)+COUNTIF('Igor'!$B$6:$B$300,$A138)))</f>
        <v/>
      </c>
      <c r="K138" s="19" t="n"/>
      <c r="L138" s="19" t="n"/>
      <c r="M138" s="18" t="n">
        <v>46216</v>
      </c>
      <c r="N138" s="18" t="n">
        <v>46248</v>
      </c>
      <c r="O138" s="19" t="n"/>
      <c r="P138" s="20">
        <f>IF($A138="","",IF(M138&lt;&gt;"",M138,IF(K138&lt;&gt;"",K138,"")))</f>
        <v/>
      </c>
      <c r="Q138" s="20">
        <f>IF($A138="","",IF(N138&lt;&gt;"",N138,IF(L138&lt;&gt;"",L138,"")))</f>
        <v/>
      </c>
      <c r="R138" s="15" t="n"/>
      <c r="S138" s="16">
        <f t="array" ref="S138">IF($A138="","",_xlfn.TEXTJOIN(CHAR(10),TRUE,IF('Clarice'!$B$6:$B$300=$A138,"Clarice"&amp;IF('Clarice'!$E$6:$E$300="",""," : "&amp;'Clarice'!$E$6:$E$300)&amp;" ["&amp;'Clarice'!$F$6:$F$300&amp;"]",""),IF('Luisa'!$B$6:$B$300=$A138,"Luisa"&amp;IF('Luisa'!$E$6:$E$300="",""," : "&amp;'Luisa'!$E$6:$E$300)&amp;" ["&amp;'Luisa'!$F$6:$F$300&amp;"]",""),IF('Lui'!$B$6:$B$300=$A138,"Lui"&amp;IF('Lui'!$E$6:$E$300="",""," : "&amp;'Lui'!$E$6:$E$300)&amp;" ["&amp;'Lui'!$F$6:$F$300&amp;"]",""),IF('Thaís'!$B$6:$B$300=$A138,"Thaís"&amp;IF('Thaís'!$E$6:$E$300="",""," : "&amp;'Thaís'!$E$6:$E$300)&amp;" ["&amp;'Thaís'!$F$6:$F$300&amp;"]",""),IF('Daniel'!$B$6:$B$300=$A138,"Daniel"&amp;IF('Daniel'!$E$6:$E$300="",""," : "&amp;'Daniel'!$E$6:$E$300)&amp;" ["&amp;'Daniel'!$F$6:$F$300&amp;"]",""),IF('Fernando'!$B$6:$B$300=$A138,"Fernando"&amp;IF('Fernando'!$E$6:$E$300="",""," : "&amp;'Fernando'!$E$6:$E$300)&amp;" ["&amp;'Fernando'!$F$6:$F$300&amp;"]",""),IF('Stephanie'!$B$6:$B$300=$A138,"Stephanie"&amp;IF('Stephanie'!$E$6:$E$300="",""," : "&amp;'Stephanie'!$E$6:$E$300)&amp;" ["&amp;'Stephanie'!$F$6:$F$300&amp;"]",""),IF('Fox'!$B$6:$B$300=$A138,"Fox"&amp;IF('Fox'!$E$6:$E$300="",""," : "&amp;'Fox'!$E$6:$E$300)&amp;" ["&amp;'Fox'!$F$6:$F$300&amp;"]",""),IF('Bruna'!$B$6:$B$300=$A138,"Bruna"&amp;IF('Bruna'!$E$6:$E$300="",""," : "&amp;'Bruna'!$E$6:$E$300)&amp;" ["&amp;'Bruna'!$F$6:$F$300&amp;"]",""),IF('Stella'!$B$6:$B$300=$A138,"Stella"&amp;IF('Stella'!$E$6:$E$300="",""," : "&amp;'Stella'!$E$6:$E$300)&amp;" ["&amp;'Stella'!$F$6:$F$300&amp;"]",""),IF('Igor'!$B$6:$B$300=$A138,"Igor"&amp;IF('Igor'!$E$6:$E$300="",""," : "&amp;'Igor'!$E$6:$E$300)&amp;" ["&amp;'Igor'!$F$6:$F$300&amp;"]","")))</f>
        <v/>
      </c>
    </row>
    <row r="139" ht="40.5" customHeight="1">
      <c r="A139" s="13" t="inlineStr">
        <is>
          <t>DM-074</t>
        </is>
      </c>
      <c r="B139" s="14" t="inlineStr">
        <is>
          <t>Etapa 2: Construção das métricas | Atividade 7: Operacionalização das métricas | Atividade 8: Aplicação das métricas</t>
        </is>
      </c>
      <c r="C139" s="14" t="inlineStr">
        <is>
          <t>3. Aplicação da DM</t>
        </is>
      </c>
      <c r="D139" s="14" t="inlineStr">
        <is>
          <t>GR3</t>
        </is>
      </c>
      <c r="E139" s="15" t="inlineStr">
        <is>
          <t>Definir a estratégia de aplicação - flora (GR3)</t>
        </is>
      </c>
      <c r="F139" s="13" t="inlineStr">
        <is>
          <t>Daniel</t>
        </is>
      </c>
      <c r="G139" s="16">
        <f>IF($A139="","",_xlfn.TEXTJOIN("; ",TRUE,IF(COUNTIF('Clarice'!$B$6:$B$300,$A139)&gt;0,"Clarice",""),IF(COUNTIF('Luisa'!$B$6:$B$300,$A139)&gt;0,"Luisa",""),IF(COUNTIF('Lui'!$B$6:$B$300,$A139)&gt;0,"Lui",""),IF(COUNTIF('Thaís'!$B$6:$B$300,$A139)&gt;0,"Thaís",""),IF(COUNTIF('Daniel'!$B$6:$B$300,$A139)&gt;0,"Daniel",""),IF(COUNTIF('Fernando'!$B$6:$B$300,$A139)&gt;0,"Fernando",""),IF(COUNTIF('Stephanie'!$B$6:$B$300,$A139)&gt;0,"Stephanie",""),IF(COUNTIF('Fox'!$B$6:$B$300,$A139)&gt;0,"Fox",""),IF(COUNTIF('Bruna'!$B$6:$B$300,$A139)&gt;0,"Bruna",""),IF(COUNTIF('Stella'!$B$6:$B$300,$A139)&gt;0,"Stella",""),IF(COUNTIF('Igor'!$B$6:$B$300,$A139)&gt;0,"Igor","")))</f>
        <v/>
      </c>
      <c r="H139" s="13" t="n"/>
      <c r="I139" s="13" t="inlineStr">
        <is>
          <t>Não iniciado</t>
        </is>
      </c>
      <c r="J139" s="17">
        <f>IF(OR($A139="",(COUNTIF('Clarice'!$B$6:$B$300,$A139)+COUNTIF('Luisa'!$B$6:$B$300,$A139)+COUNTIF('Lui'!$B$6:$B$300,$A139)+COUNTIF('Thaís'!$B$6:$B$300,$A139)+COUNTIF('Daniel'!$B$6:$B$300,$A139)+COUNTIF('Fernando'!$B$6:$B$300,$A139)+COUNTIF('Stephanie'!$B$6:$B$300,$A139)+COUNTIF('Fox'!$B$6:$B$300,$A139)+COUNTIF('Bruna'!$B$6:$B$300,$A139)+COUNTIF('Stella'!$B$6:$B$300,$A139)+COUNTIF('Igor'!$B$6:$B$300,$A139))=0),"",(COUNTIFS('Clarice'!$B$6:$B$300,$A139,'Clarice'!$F$6:$F$300,"Concluído")+COUNTIFS('Luisa'!$B$6:$B$300,$A139,'Luisa'!$F$6:$F$300,"Concluído")+COUNTIFS('Lui'!$B$6:$B$300,$A139,'Lui'!$F$6:$F$300,"Concluído")+COUNTIFS('Thaís'!$B$6:$B$300,$A139,'Thaís'!$F$6:$F$300,"Concluído")+COUNTIFS('Daniel'!$B$6:$B$300,$A139,'Daniel'!$F$6:$F$300,"Concluído")+COUNTIFS('Fernando'!$B$6:$B$300,$A139,'Fernando'!$F$6:$F$300,"Concluído")+COUNTIFS('Stephanie'!$B$6:$B$300,$A139,'Stephanie'!$F$6:$F$300,"Concluído")+COUNTIFS('Fox'!$B$6:$B$300,$A139,'Fox'!$F$6:$F$300,"Concluído")+COUNTIFS('Bruna'!$B$6:$B$300,$A139,'Bruna'!$F$6:$F$300,"Concluído")+COUNTIFS('Stella'!$B$6:$B$300,$A139,'Stella'!$F$6:$F$300,"Concluído")+COUNTIFS('Igor'!$B$6:$B$300,$A139,'Igor'!$F$6:$F$300,"Concluído"))&amp;" / "&amp;(COUNTIF('Clarice'!$B$6:$B$300,$A139)+COUNTIF('Luisa'!$B$6:$B$300,$A139)+COUNTIF('Lui'!$B$6:$B$300,$A139)+COUNTIF('Thaís'!$B$6:$B$300,$A139)+COUNTIF('Daniel'!$B$6:$B$300,$A139)+COUNTIF('Fernando'!$B$6:$B$300,$A139)+COUNTIF('Stephanie'!$B$6:$B$300,$A139)+COUNTIF('Fox'!$B$6:$B$300,$A139)+COUNTIF('Bruna'!$B$6:$B$300,$A139)+COUNTIF('Stella'!$B$6:$B$300,$A139)+COUNTIF('Igor'!$B$6:$B$300,$A139)))</f>
        <v/>
      </c>
      <c r="K139" s="18" t="n">
        <v>46188</v>
      </c>
      <c r="L139" s="18" t="n">
        <v>46192</v>
      </c>
      <c r="M139" s="19" t="n"/>
      <c r="N139" s="19" t="n"/>
      <c r="O139" s="19" t="n"/>
      <c r="P139" s="20">
        <f>IF($A139="","",IF(M139&lt;&gt;"",M139,IF(K139&lt;&gt;"",K139,"")))</f>
        <v/>
      </c>
      <c r="Q139" s="20">
        <f>IF($A139="","",IF(N139&lt;&gt;"",N139,IF(L139&lt;&gt;"",L139,"")))</f>
        <v/>
      </c>
      <c r="R139" s="15" t="n"/>
      <c r="S139" s="16">
        <f t="array" ref="S139">IF($A139="","",_xlfn.TEXTJOIN(CHAR(10),TRUE,IF('Clarice'!$B$6:$B$300=$A139,"Clarice"&amp;IF('Clarice'!$E$6:$E$300="",""," : "&amp;'Clarice'!$E$6:$E$300)&amp;" ["&amp;'Clarice'!$F$6:$F$300&amp;"]",""),IF('Luisa'!$B$6:$B$300=$A139,"Luisa"&amp;IF('Luisa'!$E$6:$E$300="",""," : "&amp;'Luisa'!$E$6:$E$300)&amp;" ["&amp;'Luisa'!$F$6:$F$300&amp;"]",""),IF('Lui'!$B$6:$B$300=$A139,"Lui"&amp;IF('Lui'!$E$6:$E$300="",""," : "&amp;'Lui'!$E$6:$E$300)&amp;" ["&amp;'Lui'!$F$6:$F$300&amp;"]",""),IF('Thaís'!$B$6:$B$300=$A139,"Thaís"&amp;IF('Thaís'!$E$6:$E$300="",""," : "&amp;'Thaís'!$E$6:$E$300)&amp;" ["&amp;'Thaís'!$F$6:$F$300&amp;"]",""),IF('Daniel'!$B$6:$B$300=$A139,"Daniel"&amp;IF('Daniel'!$E$6:$E$300="",""," : "&amp;'Daniel'!$E$6:$E$300)&amp;" ["&amp;'Daniel'!$F$6:$F$300&amp;"]",""),IF('Fernando'!$B$6:$B$300=$A139,"Fernando"&amp;IF('Fernando'!$E$6:$E$300="",""," : "&amp;'Fernando'!$E$6:$E$300)&amp;" ["&amp;'Fernando'!$F$6:$F$300&amp;"]",""),IF('Stephanie'!$B$6:$B$300=$A139,"Stephanie"&amp;IF('Stephanie'!$E$6:$E$300="",""," : "&amp;'Stephanie'!$E$6:$E$300)&amp;" ["&amp;'Stephanie'!$F$6:$F$300&amp;"]",""),IF('Fox'!$B$6:$B$300=$A139,"Fox"&amp;IF('Fox'!$E$6:$E$300="",""," : "&amp;'Fox'!$E$6:$E$300)&amp;" ["&amp;'Fox'!$F$6:$F$300&amp;"]",""),IF('Bruna'!$B$6:$B$300=$A139,"Bruna"&amp;IF('Bruna'!$E$6:$E$300="",""," : "&amp;'Bruna'!$E$6:$E$300)&amp;" ["&amp;'Bruna'!$F$6:$F$300&amp;"]",""),IF('Stella'!$B$6:$B$300=$A139,"Stella"&amp;IF('Stella'!$E$6:$E$300="",""," : "&amp;'Stella'!$E$6:$E$300)&amp;" ["&amp;'Stella'!$F$6:$F$300&amp;"]",""),IF('Igor'!$B$6:$B$300=$A139,"Igor"&amp;IF('Igor'!$E$6:$E$300="",""," : "&amp;'Igor'!$E$6:$E$300)&amp;" ["&amp;'Igor'!$F$6:$F$300&amp;"]","")))</f>
        <v/>
      </c>
    </row>
    <row r="140" ht="40.5" customHeight="1">
      <c r="A140" s="13" t="inlineStr">
        <is>
          <t>DM-075</t>
        </is>
      </c>
      <c r="B140" s="14" t="inlineStr">
        <is>
          <t>Etapa 2: Construção das métricas | Atividade 7: Operacionalização das métricas | Atividade 8: Aplicação das métricas</t>
        </is>
      </c>
      <c r="C140" s="14" t="inlineStr">
        <is>
          <t>3. Aplicação da DM</t>
        </is>
      </c>
      <c r="D140" s="14" t="inlineStr">
        <is>
          <t>GR3</t>
        </is>
      </c>
      <c r="E140" s="15" t="inlineStr">
        <is>
          <t>Avaliar disponibilidade de informação temporal e espacial para aplicação da métrica - flora (GR3)</t>
        </is>
      </c>
      <c r="F140" s="13" t="inlineStr">
        <is>
          <t>Daniel</t>
        </is>
      </c>
      <c r="G140" s="16">
        <f>IF($A140="","",_xlfn.TEXTJOIN("; ",TRUE,IF(COUNTIF('Clarice'!$B$6:$B$300,$A140)&gt;0,"Clarice",""),IF(COUNTIF('Luisa'!$B$6:$B$300,$A140)&gt;0,"Luisa",""),IF(COUNTIF('Lui'!$B$6:$B$300,$A140)&gt;0,"Lui",""),IF(COUNTIF('Thaís'!$B$6:$B$300,$A140)&gt;0,"Thaís",""),IF(COUNTIF('Daniel'!$B$6:$B$300,$A140)&gt;0,"Daniel",""),IF(COUNTIF('Fernando'!$B$6:$B$300,$A140)&gt;0,"Fernando",""),IF(COUNTIF('Stephanie'!$B$6:$B$300,$A140)&gt;0,"Stephanie",""),IF(COUNTIF('Fox'!$B$6:$B$300,$A140)&gt;0,"Fox",""),IF(COUNTIF('Bruna'!$B$6:$B$300,$A140)&gt;0,"Bruna",""),IF(COUNTIF('Stella'!$B$6:$B$300,$A140)&gt;0,"Stella",""),IF(COUNTIF('Igor'!$B$6:$B$300,$A140)&gt;0,"Igor","")))</f>
        <v/>
      </c>
      <c r="H140" s="13" t="n"/>
      <c r="I140" s="13" t="inlineStr">
        <is>
          <t>Não iniciado</t>
        </is>
      </c>
      <c r="J140" s="17">
        <f>IF(OR($A140="",(COUNTIF('Clarice'!$B$6:$B$300,$A140)+COUNTIF('Luisa'!$B$6:$B$300,$A140)+COUNTIF('Lui'!$B$6:$B$300,$A140)+COUNTIF('Thaís'!$B$6:$B$300,$A140)+COUNTIF('Daniel'!$B$6:$B$300,$A140)+COUNTIF('Fernando'!$B$6:$B$300,$A140)+COUNTIF('Stephanie'!$B$6:$B$300,$A140)+COUNTIF('Fox'!$B$6:$B$300,$A140)+COUNTIF('Bruna'!$B$6:$B$300,$A140)+COUNTIF('Stella'!$B$6:$B$300,$A140)+COUNTIF('Igor'!$B$6:$B$300,$A140))=0),"",(COUNTIFS('Clarice'!$B$6:$B$300,$A140,'Clarice'!$F$6:$F$300,"Concluído")+COUNTIFS('Luisa'!$B$6:$B$300,$A140,'Luisa'!$F$6:$F$300,"Concluído")+COUNTIFS('Lui'!$B$6:$B$300,$A140,'Lui'!$F$6:$F$300,"Concluído")+COUNTIFS('Thaís'!$B$6:$B$300,$A140,'Thaís'!$F$6:$F$300,"Concluído")+COUNTIFS('Daniel'!$B$6:$B$300,$A140,'Daniel'!$F$6:$F$300,"Concluído")+COUNTIFS('Fernando'!$B$6:$B$300,$A140,'Fernando'!$F$6:$F$300,"Concluído")+COUNTIFS('Stephanie'!$B$6:$B$300,$A140,'Stephanie'!$F$6:$F$300,"Concluído")+COUNTIFS('Fox'!$B$6:$B$300,$A140,'Fox'!$F$6:$F$300,"Concluído")+COUNTIFS('Bruna'!$B$6:$B$300,$A140,'Bruna'!$F$6:$F$300,"Concluído")+COUNTIFS('Stella'!$B$6:$B$300,$A140,'Stella'!$F$6:$F$300,"Concluído")+COUNTIFS('Igor'!$B$6:$B$300,$A140,'Igor'!$F$6:$F$300,"Concluído"))&amp;" / "&amp;(COUNTIF('Clarice'!$B$6:$B$300,$A140)+COUNTIF('Luisa'!$B$6:$B$300,$A140)+COUNTIF('Lui'!$B$6:$B$300,$A140)+COUNTIF('Thaís'!$B$6:$B$300,$A140)+COUNTIF('Daniel'!$B$6:$B$300,$A140)+COUNTIF('Fernando'!$B$6:$B$300,$A140)+COUNTIF('Stephanie'!$B$6:$B$300,$A140)+COUNTIF('Fox'!$B$6:$B$300,$A140)+COUNTIF('Bruna'!$B$6:$B$300,$A140)+COUNTIF('Stella'!$B$6:$B$300,$A140)+COUNTIF('Igor'!$B$6:$B$300,$A140)))</f>
        <v/>
      </c>
      <c r="K140" s="18" t="n">
        <v>46188</v>
      </c>
      <c r="L140" s="18" t="n">
        <v>46192</v>
      </c>
      <c r="M140" s="19" t="n"/>
      <c r="N140" s="19" t="n"/>
      <c r="O140" s="19" t="n"/>
      <c r="P140" s="20">
        <f>IF($A140="","",IF(M140&lt;&gt;"",M140,IF(K140&lt;&gt;"",K140,"")))</f>
        <v/>
      </c>
      <c r="Q140" s="20">
        <f>IF($A140="","",IF(N140&lt;&gt;"",N140,IF(L140&lt;&gt;"",L140,"")))</f>
        <v/>
      </c>
      <c r="R140" s="15" t="n"/>
      <c r="S140" s="16">
        <f t="array" ref="S140">IF($A140="","",_xlfn.TEXTJOIN(CHAR(10),TRUE,IF('Clarice'!$B$6:$B$300=$A140,"Clarice"&amp;IF('Clarice'!$E$6:$E$300="",""," : "&amp;'Clarice'!$E$6:$E$300)&amp;" ["&amp;'Clarice'!$F$6:$F$300&amp;"]",""),IF('Luisa'!$B$6:$B$300=$A140,"Luisa"&amp;IF('Luisa'!$E$6:$E$300="",""," : "&amp;'Luisa'!$E$6:$E$300)&amp;" ["&amp;'Luisa'!$F$6:$F$300&amp;"]",""),IF('Lui'!$B$6:$B$300=$A140,"Lui"&amp;IF('Lui'!$E$6:$E$300="",""," : "&amp;'Lui'!$E$6:$E$300)&amp;" ["&amp;'Lui'!$F$6:$F$300&amp;"]",""),IF('Thaís'!$B$6:$B$300=$A140,"Thaís"&amp;IF('Thaís'!$E$6:$E$300="",""," : "&amp;'Thaís'!$E$6:$E$300)&amp;" ["&amp;'Thaís'!$F$6:$F$300&amp;"]",""),IF('Daniel'!$B$6:$B$300=$A140,"Daniel"&amp;IF('Daniel'!$E$6:$E$300="",""," : "&amp;'Daniel'!$E$6:$E$300)&amp;" ["&amp;'Daniel'!$F$6:$F$300&amp;"]",""),IF('Fernando'!$B$6:$B$300=$A140,"Fernando"&amp;IF('Fernando'!$E$6:$E$300="",""," : "&amp;'Fernando'!$E$6:$E$300)&amp;" ["&amp;'Fernando'!$F$6:$F$300&amp;"]",""),IF('Stephanie'!$B$6:$B$300=$A140,"Stephanie"&amp;IF('Stephanie'!$E$6:$E$300="",""," : "&amp;'Stephanie'!$E$6:$E$300)&amp;" ["&amp;'Stephanie'!$F$6:$F$300&amp;"]",""),IF('Fox'!$B$6:$B$300=$A140,"Fox"&amp;IF('Fox'!$E$6:$E$300="",""," : "&amp;'Fox'!$E$6:$E$300)&amp;" ["&amp;'Fox'!$F$6:$F$300&amp;"]",""),IF('Bruna'!$B$6:$B$300=$A140,"Bruna"&amp;IF('Bruna'!$E$6:$E$300="",""," : "&amp;'Bruna'!$E$6:$E$300)&amp;" ["&amp;'Bruna'!$F$6:$F$300&amp;"]",""),IF('Stella'!$B$6:$B$300=$A140,"Stella"&amp;IF('Stella'!$E$6:$E$300="",""," : "&amp;'Stella'!$E$6:$E$300)&amp;" ["&amp;'Stella'!$F$6:$F$300&amp;"]",""),IF('Igor'!$B$6:$B$300=$A140,"Igor"&amp;IF('Igor'!$E$6:$E$300="",""," : "&amp;'Igor'!$E$6:$E$300)&amp;" ["&amp;'Igor'!$F$6:$F$300&amp;"]","")))</f>
        <v/>
      </c>
    </row>
    <row r="141" ht="40.5" customHeight="1">
      <c r="A141" s="13" t="inlineStr">
        <is>
          <t>DM-076</t>
        </is>
      </c>
      <c r="B141" s="14" t="inlineStr">
        <is>
          <t>Etapa 2: Construção das métricas | Atividade 7: Operacionalização das métricas | Atividade 8: Aplicação das métricas</t>
        </is>
      </c>
      <c r="C141" s="14" t="inlineStr">
        <is>
          <t>3. Aplicação da DM</t>
        </is>
      </c>
      <c r="D141" s="14" t="inlineStr">
        <is>
          <t>GR3</t>
        </is>
      </c>
      <c r="E141" s="15" t="inlineStr">
        <is>
          <t>Definir tipo, componente e atributos - flora (GR3)</t>
        </is>
      </c>
      <c r="F141" s="13" t="inlineStr">
        <is>
          <t>Daniel</t>
        </is>
      </c>
      <c r="G141" s="16">
        <f>IF($A141="","",_xlfn.TEXTJOIN("; ",TRUE,IF(COUNTIF('Clarice'!$B$6:$B$300,$A141)&gt;0,"Clarice",""),IF(COUNTIF('Luisa'!$B$6:$B$300,$A141)&gt;0,"Luisa",""),IF(COUNTIF('Lui'!$B$6:$B$300,$A141)&gt;0,"Lui",""),IF(COUNTIF('Thaís'!$B$6:$B$300,$A141)&gt;0,"Thaís",""),IF(COUNTIF('Daniel'!$B$6:$B$300,$A141)&gt;0,"Daniel",""),IF(COUNTIF('Fernando'!$B$6:$B$300,$A141)&gt;0,"Fernando",""),IF(COUNTIF('Stephanie'!$B$6:$B$300,$A141)&gt;0,"Stephanie",""),IF(COUNTIF('Fox'!$B$6:$B$300,$A141)&gt;0,"Fox",""),IF(COUNTIF('Bruna'!$B$6:$B$300,$A141)&gt;0,"Bruna",""),IF(COUNTIF('Stella'!$B$6:$B$300,$A141)&gt;0,"Stella",""),IF(COUNTIF('Igor'!$B$6:$B$300,$A141)&gt;0,"Igor","")))</f>
        <v/>
      </c>
      <c r="H141" s="13" t="n"/>
      <c r="I141" s="13" t="inlineStr">
        <is>
          <t>Não iniciado</t>
        </is>
      </c>
      <c r="J141" s="17">
        <f>IF(OR($A141="",(COUNTIF('Clarice'!$B$6:$B$300,$A141)+COUNTIF('Luisa'!$B$6:$B$300,$A141)+COUNTIF('Lui'!$B$6:$B$300,$A141)+COUNTIF('Thaís'!$B$6:$B$300,$A141)+COUNTIF('Daniel'!$B$6:$B$300,$A141)+COUNTIF('Fernando'!$B$6:$B$300,$A141)+COUNTIF('Stephanie'!$B$6:$B$300,$A141)+COUNTIF('Fox'!$B$6:$B$300,$A141)+COUNTIF('Bruna'!$B$6:$B$300,$A141)+COUNTIF('Stella'!$B$6:$B$300,$A141)+COUNTIF('Igor'!$B$6:$B$300,$A141))=0),"",(COUNTIFS('Clarice'!$B$6:$B$300,$A141,'Clarice'!$F$6:$F$300,"Concluído")+COUNTIFS('Luisa'!$B$6:$B$300,$A141,'Luisa'!$F$6:$F$300,"Concluído")+COUNTIFS('Lui'!$B$6:$B$300,$A141,'Lui'!$F$6:$F$300,"Concluído")+COUNTIFS('Thaís'!$B$6:$B$300,$A141,'Thaís'!$F$6:$F$300,"Concluído")+COUNTIFS('Daniel'!$B$6:$B$300,$A141,'Daniel'!$F$6:$F$300,"Concluído")+COUNTIFS('Fernando'!$B$6:$B$300,$A141,'Fernando'!$F$6:$F$300,"Concluído")+COUNTIFS('Stephanie'!$B$6:$B$300,$A141,'Stephanie'!$F$6:$F$300,"Concluído")+COUNTIFS('Fox'!$B$6:$B$300,$A141,'Fox'!$F$6:$F$300,"Concluído")+COUNTIFS('Bruna'!$B$6:$B$300,$A141,'Bruna'!$F$6:$F$300,"Concluído")+COUNTIFS('Stella'!$B$6:$B$300,$A141,'Stella'!$F$6:$F$300,"Concluído")+COUNTIFS('Igor'!$B$6:$B$300,$A141,'Igor'!$F$6:$F$300,"Concluído"))&amp;" / "&amp;(COUNTIF('Clarice'!$B$6:$B$300,$A141)+COUNTIF('Luisa'!$B$6:$B$300,$A141)+COUNTIF('Lui'!$B$6:$B$300,$A141)+COUNTIF('Thaís'!$B$6:$B$300,$A141)+COUNTIF('Daniel'!$B$6:$B$300,$A141)+COUNTIF('Fernando'!$B$6:$B$300,$A141)+COUNTIF('Stephanie'!$B$6:$B$300,$A141)+COUNTIF('Fox'!$B$6:$B$300,$A141)+COUNTIF('Bruna'!$B$6:$B$300,$A141)+COUNTIF('Stella'!$B$6:$B$300,$A141)+COUNTIF('Igor'!$B$6:$B$300,$A141)))</f>
        <v/>
      </c>
      <c r="K141" s="18" t="n">
        <v>46202</v>
      </c>
      <c r="L141" s="18" t="n">
        <v>46206</v>
      </c>
      <c r="M141" s="19" t="n"/>
      <c r="N141" s="19" t="n"/>
      <c r="O141" s="19" t="n"/>
      <c r="P141" s="20">
        <f>IF($A141="","",IF(M141&lt;&gt;"",M141,IF(K141&lt;&gt;"",K141,"")))</f>
        <v/>
      </c>
      <c r="Q141" s="20">
        <f>IF($A141="","",IF(N141&lt;&gt;"",N141,IF(L141&lt;&gt;"",L141,"")))</f>
        <v/>
      </c>
      <c r="R141" s="15" t="n"/>
      <c r="S141" s="16">
        <f t="array" ref="S141">IF($A141="","",_xlfn.TEXTJOIN(CHAR(10),TRUE,IF('Clarice'!$B$6:$B$300=$A141,"Clarice"&amp;IF('Clarice'!$E$6:$E$300="",""," : "&amp;'Clarice'!$E$6:$E$300)&amp;" ["&amp;'Clarice'!$F$6:$F$300&amp;"]",""),IF('Luisa'!$B$6:$B$300=$A141,"Luisa"&amp;IF('Luisa'!$E$6:$E$300="",""," : "&amp;'Luisa'!$E$6:$E$300)&amp;" ["&amp;'Luisa'!$F$6:$F$300&amp;"]",""),IF('Lui'!$B$6:$B$300=$A141,"Lui"&amp;IF('Lui'!$E$6:$E$300="",""," : "&amp;'Lui'!$E$6:$E$300)&amp;" ["&amp;'Lui'!$F$6:$F$300&amp;"]",""),IF('Thaís'!$B$6:$B$300=$A141,"Thaís"&amp;IF('Thaís'!$E$6:$E$300="",""," : "&amp;'Thaís'!$E$6:$E$300)&amp;" ["&amp;'Thaís'!$F$6:$F$300&amp;"]",""),IF('Daniel'!$B$6:$B$300=$A141,"Daniel"&amp;IF('Daniel'!$E$6:$E$300="",""," : "&amp;'Daniel'!$E$6:$E$300)&amp;" ["&amp;'Daniel'!$F$6:$F$300&amp;"]",""),IF('Fernando'!$B$6:$B$300=$A141,"Fernando"&amp;IF('Fernando'!$E$6:$E$300="",""," : "&amp;'Fernando'!$E$6:$E$300)&amp;" ["&amp;'Fernando'!$F$6:$F$300&amp;"]",""),IF('Stephanie'!$B$6:$B$300=$A141,"Stephanie"&amp;IF('Stephanie'!$E$6:$E$300="",""," : "&amp;'Stephanie'!$E$6:$E$300)&amp;" ["&amp;'Stephanie'!$F$6:$F$300&amp;"]",""),IF('Fox'!$B$6:$B$300=$A141,"Fox"&amp;IF('Fox'!$E$6:$E$300="",""," : "&amp;'Fox'!$E$6:$E$300)&amp;" ["&amp;'Fox'!$F$6:$F$300&amp;"]",""),IF('Bruna'!$B$6:$B$300=$A141,"Bruna"&amp;IF('Bruna'!$E$6:$E$300="",""," : "&amp;'Bruna'!$E$6:$E$300)&amp;" ["&amp;'Bruna'!$F$6:$F$300&amp;"]",""),IF('Stella'!$B$6:$B$300=$A141,"Stella"&amp;IF('Stella'!$E$6:$E$300="",""," : "&amp;'Stella'!$E$6:$E$300)&amp;" ["&amp;'Stella'!$F$6:$F$300&amp;"]",""),IF('Igor'!$B$6:$B$300=$A141,"Igor"&amp;IF('Igor'!$E$6:$E$300="",""," : "&amp;'Igor'!$E$6:$E$300)&amp;" ["&amp;'Igor'!$F$6:$F$300&amp;"]","")))</f>
        <v/>
      </c>
    </row>
    <row r="142" ht="40.5" customHeight="1">
      <c r="A142" s="13" t="inlineStr">
        <is>
          <t>DM-077</t>
        </is>
      </c>
      <c r="B142" s="14" t="inlineStr">
        <is>
          <t>Etapa 2: Construção das métricas | Atividade 7: Operacionalização das métricas | Atividade 8: Aplicação das métricas</t>
        </is>
      </c>
      <c r="C142" s="14" t="inlineStr">
        <is>
          <t>3. Aplicação da DM</t>
        </is>
      </c>
      <c r="D142" s="14" t="inlineStr">
        <is>
          <t>GR3</t>
        </is>
      </c>
      <c r="E142" s="15" t="inlineStr">
        <is>
          <t>Definir quais dados serão usados para cálcular perdas e ganhos - flora (GR3)</t>
        </is>
      </c>
      <c r="F142" s="13" t="inlineStr">
        <is>
          <t>Daniel</t>
        </is>
      </c>
      <c r="G142" s="16">
        <f>IF($A142="","",_xlfn.TEXTJOIN("; ",TRUE,IF(COUNTIF('Clarice'!$B$6:$B$300,$A142)&gt;0,"Clarice",""),IF(COUNTIF('Luisa'!$B$6:$B$300,$A142)&gt;0,"Luisa",""),IF(COUNTIF('Lui'!$B$6:$B$300,$A142)&gt;0,"Lui",""),IF(COUNTIF('Thaís'!$B$6:$B$300,$A142)&gt;0,"Thaís",""),IF(COUNTIF('Daniel'!$B$6:$B$300,$A142)&gt;0,"Daniel",""),IF(COUNTIF('Fernando'!$B$6:$B$300,$A142)&gt;0,"Fernando",""),IF(COUNTIF('Stephanie'!$B$6:$B$300,$A142)&gt;0,"Stephanie",""),IF(COUNTIF('Fox'!$B$6:$B$300,$A142)&gt;0,"Fox",""),IF(COUNTIF('Bruna'!$B$6:$B$300,$A142)&gt;0,"Bruna",""),IF(COUNTIF('Stella'!$B$6:$B$300,$A142)&gt;0,"Stella",""),IF(COUNTIF('Igor'!$B$6:$B$300,$A142)&gt;0,"Igor","")))</f>
        <v/>
      </c>
      <c r="H142" s="13" t="n"/>
      <c r="I142" s="13" t="inlineStr">
        <is>
          <t>Não iniciado</t>
        </is>
      </c>
      <c r="J142" s="17">
        <f>IF(OR($A142="",(COUNTIF('Clarice'!$B$6:$B$300,$A142)+COUNTIF('Luisa'!$B$6:$B$300,$A142)+COUNTIF('Lui'!$B$6:$B$300,$A142)+COUNTIF('Thaís'!$B$6:$B$300,$A142)+COUNTIF('Daniel'!$B$6:$B$300,$A142)+COUNTIF('Fernando'!$B$6:$B$300,$A142)+COUNTIF('Stephanie'!$B$6:$B$300,$A142)+COUNTIF('Fox'!$B$6:$B$300,$A142)+COUNTIF('Bruna'!$B$6:$B$300,$A142)+COUNTIF('Stella'!$B$6:$B$300,$A142)+COUNTIF('Igor'!$B$6:$B$300,$A142))=0),"",(COUNTIFS('Clarice'!$B$6:$B$300,$A142,'Clarice'!$F$6:$F$300,"Concluído")+COUNTIFS('Luisa'!$B$6:$B$300,$A142,'Luisa'!$F$6:$F$300,"Concluído")+COUNTIFS('Lui'!$B$6:$B$300,$A142,'Lui'!$F$6:$F$300,"Concluído")+COUNTIFS('Thaís'!$B$6:$B$300,$A142,'Thaís'!$F$6:$F$300,"Concluído")+COUNTIFS('Daniel'!$B$6:$B$300,$A142,'Daniel'!$F$6:$F$300,"Concluído")+COUNTIFS('Fernando'!$B$6:$B$300,$A142,'Fernando'!$F$6:$F$300,"Concluído")+COUNTIFS('Stephanie'!$B$6:$B$300,$A142,'Stephanie'!$F$6:$F$300,"Concluído")+COUNTIFS('Fox'!$B$6:$B$300,$A142,'Fox'!$F$6:$F$300,"Concluído")+COUNTIFS('Bruna'!$B$6:$B$300,$A142,'Bruna'!$F$6:$F$300,"Concluído")+COUNTIFS('Stella'!$B$6:$B$300,$A142,'Stella'!$F$6:$F$300,"Concluído")+COUNTIFS('Igor'!$B$6:$B$300,$A142,'Igor'!$F$6:$F$300,"Concluído"))&amp;" / "&amp;(COUNTIF('Clarice'!$B$6:$B$300,$A142)+COUNTIF('Luisa'!$B$6:$B$300,$A142)+COUNTIF('Lui'!$B$6:$B$300,$A142)+COUNTIF('Thaís'!$B$6:$B$300,$A142)+COUNTIF('Daniel'!$B$6:$B$300,$A142)+COUNTIF('Fernando'!$B$6:$B$300,$A142)+COUNTIF('Stephanie'!$B$6:$B$300,$A142)+COUNTIF('Fox'!$B$6:$B$300,$A142)+COUNTIF('Bruna'!$B$6:$B$300,$A142)+COUNTIF('Stella'!$B$6:$B$300,$A142)+COUNTIF('Igor'!$B$6:$B$300,$A142)))</f>
        <v/>
      </c>
      <c r="K142" s="18" t="n">
        <v>46204</v>
      </c>
      <c r="L142" s="18" t="n">
        <v>46206</v>
      </c>
      <c r="M142" s="19" t="n"/>
      <c r="N142" s="19" t="n"/>
      <c r="O142" s="19" t="n"/>
      <c r="P142" s="20">
        <f>IF($A142="","",IF(M142&lt;&gt;"",M142,IF(K142&lt;&gt;"",K142,"")))</f>
        <v/>
      </c>
      <c r="Q142" s="20">
        <f>IF($A142="","",IF(N142&lt;&gt;"",N142,IF(L142&lt;&gt;"",L142,"")))</f>
        <v/>
      </c>
      <c r="R142" s="15" t="n"/>
      <c r="S142" s="16">
        <f t="array" ref="S142">IF($A142="","",_xlfn.TEXTJOIN(CHAR(10),TRUE,IF('Clarice'!$B$6:$B$300=$A142,"Clarice"&amp;IF('Clarice'!$E$6:$E$300="",""," : "&amp;'Clarice'!$E$6:$E$300)&amp;" ["&amp;'Clarice'!$F$6:$F$300&amp;"]",""),IF('Luisa'!$B$6:$B$300=$A142,"Luisa"&amp;IF('Luisa'!$E$6:$E$300="",""," : "&amp;'Luisa'!$E$6:$E$300)&amp;" ["&amp;'Luisa'!$F$6:$F$300&amp;"]",""),IF('Lui'!$B$6:$B$300=$A142,"Lui"&amp;IF('Lui'!$E$6:$E$300="",""," : "&amp;'Lui'!$E$6:$E$300)&amp;" ["&amp;'Lui'!$F$6:$F$300&amp;"]",""),IF('Thaís'!$B$6:$B$300=$A142,"Thaís"&amp;IF('Thaís'!$E$6:$E$300="",""," : "&amp;'Thaís'!$E$6:$E$300)&amp;" ["&amp;'Thaís'!$F$6:$F$300&amp;"]",""),IF('Daniel'!$B$6:$B$300=$A142,"Daniel"&amp;IF('Daniel'!$E$6:$E$300="",""," : "&amp;'Daniel'!$E$6:$E$300)&amp;" ["&amp;'Daniel'!$F$6:$F$300&amp;"]",""),IF('Fernando'!$B$6:$B$300=$A142,"Fernando"&amp;IF('Fernando'!$E$6:$E$300="",""," : "&amp;'Fernando'!$E$6:$E$300)&amp;" ["&amp;'Fernando'!$F$6:$F$300&amp;"]",""),IF('Stephanie'!$B$6:$B$300=$A142,"Stephanie"&amp;IF('Stephanie'!$E$6:$E$300="",""," : "&amp;'Stephanie'!$E$6:$E$300)&amp;" ["&amp;'Stephanie'!$F$6:$F$300&amp;"]",""),IF('Fox'!$B$6:$B$300=$A142,"Fox"&amp;IF('Fox'!$E$6:$E$300="",""," : "&amp;'Fox'!$E$6:$E$300)&amp;" ["&amp;'Fox'!$F$6:$F$300&amp;"]",""),IF('Bruna'!$B$6:$B$300=$A142,"Bruna"&amp;IF('Bruna'!$E$6:$E$300="",""," : "&amp;'Bruna'!$E$6:$E$300)&amp;" ["&amp;'Bruna'!$F$6:$F$300&amp;"]",""),IF('Stella'!$B$6:$B$300=$A142,"Stella"&amp;IF('Stella'!$E$6:$E$300="",""," : "&amp;'Stella'!$E$6:$E$300)&amp;" ["&amp;'Stella'!$F$6:$F$300&amp;"]",""),IF('Igor'!$B$6:$B$300=$A142,"Igor"&amp;IF('Igor'!$E$6:$E$300="",""," : "&amp;'Igor'!$E$6:$E$300)&amp;" ["&amp;'Igor'!$F$6:$F$300&amp;"]","")))</f>
        <v/>
      </c>
    </row>
    <row r="143" ht="40.5" customHeight="1">
      <c r="A143" s="13" t="inlineStr">
        <is>
          <t>DM-078</t>
        </is>
      </c>
      <c r="B143" s="14" t="inlineStr">
        <is>
          <t>Etapa 2: Construção das métricas | Atividade 7: Operacionalização das métricas | Atividade 8: Aplicação das métricas</t>
        </is>
      </c>
      <c r="C143" s="14" t="inlineStr">
        <is>
          <t>3. Aplicação da DM</t>
        </is>
      </c>
      <c r="D143" s="14" t="inlineStr">
        <is>
          <t>GR3</t>
        </is>
      </c>
      <c r="E143" s="15" t="inlineStr">
        <is>
          <t>Definir parâmetros e fatores de ajuste - flora (GR3)</t>
        </is>
      </c>
      <c r="F143" s="13" t="inlineStr">
        <is>
          <t>Daniel</t>
        </is>
      </c>
      <c r="G143" s="16">
        <f>IF($A143="","",_xlfn.TEXTJOIN("; ",TRUE,IF(COUNTIF('Clarice'!$B$6:$B$300,$A143)&gt;0,"Clarice",""),IF(COUNTIF('Luisa'!$B$6:$B$300,$A143)&gt;0,"Luisa",""),IF(COUNTIF('Lui'!$B$6:$B$300,$A143)&gt;0,"Lui",""),IF(COUNTIF('Thaís'!$B$6:$B$300,$A143)&gt;0,"Thaís",""),IF(COUNTIF('Daniel'!$B$6:$B$300,$A143)&gt;0,"Daniel",""),IF(COUNTIF('Fernando'!$B$6:$B$300,$A143)&gt;0,"Fernando",""),IF(COUNTIF('Stephanie'!$B$6:$B$300,$A143)&gt;0,"Stephanie",""),IF(COUNTIF('Fox'!$B$6:$B$300,$A143)&gt;0,"Fox",""),IF(COUNTIF('Bruna'!$B$6:$B$300,$A143)&gt;0,"Bruna",""),IF(COUNTIF('Stella'!$B$6:$B$300,$A143)&gt;0,"Stella",""),IF(COUNTIF('Igor'!$B$6:$B$300,$A143)&gt;0,"Igor","")))</f>
        <v/>
      </c>
      <c r="H143" s="13" t="n"/>
      <c r="I143" s="13" t="inlineStr">
        <is>
          <t>Não iniciado</t>
        </is>
      </c>
      <c r="J143" s="17">
        <f>IF(OR($A143="",(COUNTIF('Clarice'!$B$6:$B$300,$A143)+COUNTIF('Luisa'!$B$6:$B$300,$A143)+COUNTIF('Lui'!$B$6:$B$300,$A143)+COUNTIF('Thaís'!$B$6:$B$300,$A143)+COUNTIF('Daniel'!$B$6:$B$300,$A143)+COUNTIF('Fernando'!$B$6:$B$300,$A143)+COUNTIF('Stephanie'!$B$6:$B$300,$A143)+COUNTIF('Fox'!$B$6:$B$300,$A143)+COUNTIF('Bruna'!$B$6:$B$300,$A143)+COUNTIF('Stella'!$B$6:$B$300,$A143)+COUNTIF('Igor'!$B$6:$B$300,$A143))=0),"",(COUNTIFS('Clarice'!$B$6:$B$300,$A143,'Clarice'!$F$6:$F$300,"Concluído")+COUNTIFS('Luisa'!$B$6:$B$300,$A143,'Luisa'!$F$6:$F$300,"Concluído")+COUNTIFS('Lui'!$B$6:$B$300,$A143,'Lui'!$F$6:$F$300,"Concluído")+COUNTIFS('Thaís'!$B$6:$B$300,$A143,'Thaís'!$F$6:$F$300,"Concluído")+COUNTIFS('Daniel'!$B$6:$B$300,$A143,'Daniel'!$F$6:$F$300,"Concluído")+COUNTIFS('Fernando'!$B$6:$B$300,$A143,'Fernando'!$F$6:$F$300,"Concluído")+COUNTIFS('Stephanie'!$B$6:$B$300,$A143,'Stephanie'!$F$6:$F$300,"Concluído")+COUNTIFS('Fox'!$B$6:$B$300,$A143,'Fox'!$F$6:$F$300,"Concluído")+COUNTIFS('Bruna'!$B$6:$B$300,$A143,'Bruna'!$F$6:$F$300,"Concluído")+COUNTIFS('Stella'!$B$6:$B$300,$A143,'Stella'!$F$6:$F$300,"Concluído")+COUNTIFS('Igor'!$B$6:$B$300,$A143,'Igor'!$F$6:$F$300,"Concluído"))&amp;" / "&amp;(COUNTIF('Clarice'!$B$6:$B$300,$A143)+COUNTIF('Luisa'!$B$6:$B$300,$A143)+COUNTIF('Lui'!$B$6:$B$300,$A143)+COUNTIF('Thaís'!$B$6:$B$300,$A143)+COUNTIF('Daniel'!$B$6:$B$300,$A143)+COUNTIF('Fernando'!$B$6:$B$300,$A143)+COUNTIF('Stephanie'!$B$6:$B$300,$A143)+COUNTIF('Fox'!$B$6:$B$300,$A143)+COUNTIF('Bruna'!$B$6:$B$300,$A143)+COUNTIF('Stella'!$B$6:$B$300,$A143)+COUNTIF('Igor'!$B$6:$B$300,$A143)))</f>
        <v/>
      </c>
      <c r="K143" s="18" t="n">
        <v>46204</v>
      </c>
      <c r="L143" s="18" t="n">
        <v>46206</v>
      </c>
      <c r="M143" s="19" t="n"/>
      <c r="N143" s="19" t="n"/>
      <c r="O143" s="19" t="n"/>
      <c r="P143" s="20">
        <f>IF($A143="","",IF(M143&lt;&gt;"",M143,IF(K143&lt;&gt;"",K143,"")))</f>
        <v/>
      </c>
      <c r="Q143" s="20">
        <f>IF($A143="","",IF(N143&lt;&gt;"",N143,IF(L143&lt;&gt;"",L143,"")))</f>
        <v/>
      </c>
      <c r="R143" s="15" t="n"/>
      <c r="S143" s="16">
        <f t="array" ref="S143">IF($A143="","",_xlfn.TEXTJOIN(CHAR(10),TRUE,IF('Clarice'!$B$6:$B$300=$A143,"Clarice"&amp;IF('Clarice'!$E$6:$E$300="",""," : "&amp;'Clarice'!$E$6:$E$300)&amp;" ["&amp;'Clarice'!$F$6:$F$300&amp;"]",""),IF('Luisa'!$B$6:$B$300=$A143,"Luisa"&amp;IF('Luisa'!$E$6:$E$300="",""," : "&amp;'Luisa'!$E$6:$E$300)&amp;" ["&amp;'Luisa'!$F$6:$F$300&amp;"]",""),IF('Lui'!$B$6:$B$300=$A143,"Lui"&amp;IF('Lui'!$E$6:$E$300="",""," : "&amp;'Lui'!$E$6:$E$300)&amp;" ["&amp;'Lui'!$F$6:$F$300&amp;"]",""),IF('Thaís'!$B$6:$B$300=$A143,"Thaís"&amp;IF('Thaís'!$E$6:$E$300="",""," : "&amp;'Thaís'!$E$6:$E$300)&amp;" ["&amp;'Thaís'!$F$6:$F$300&amp;"]",""),IF('Daniel'!$B$6:$B$300=$A143,"Daniel"&amp;IF('Daniel'!$E$6:$E$300="",""," : "&amp;'Daniel'!$E$6:$E$300)&amp;" ["&amp;'Daniel'!$F$6:$F$300&amp;"]",""),IF('Fernando'!$B$6:$B$300=$A143,"Fernando"&amp;IF('Fernando'!$E$6:$E$300="",""," : "&amp;'Fernando'!$E$6:$E$300)&amp;" ["&amp;'Fernando'!$F$6:$F$300&amp;"]",""),IF('Stephanie'!$B$6:$B$300=$A143,"Stephanie"&amp;IF('Stephanie'!$E$6:$E$300="",""," : "&amp;'Stephanie'!$E$6:$E$300)&amp;" ["&amp;'Stephanie'!$F$6:$F$300&amp;"]",""),IF('Fox'!$B$6:$B$300=$A143,"Fox"&amp;IF('Fox'!$E$6:$E$300="",""," : "&amp;'Fox'!$E$6:$E$300)&amp;" ["&amp;'Fox'!$F$6:$F$300&amp;"]",""),IF('Bruna'!$B$6:$B$300=$A143,"Bruna"&amp;IF('Bruna'!$E$6:$E$300="",""," : "&amp;'Bruna'!$E$6:$E$300)&amp;" ["&amp;'Bruna'!$F$6:$F$300&amp;"]",""),IF('Stella'!$B$6:$B$300=$A143,"Stella"&amp;IF('Stella'!$E$6:$E$300="",""," : "&amp;'Stella'!$E$6:$E$300)&amp;" ["&amp;'Stella'!$F$6:$F$300&amp;"]",""),IF('Igor'!$B$6:$B$300=$A143,"Igor"&amp;IF('Igor'!$E$6:$E$300="",""," : "&amp;'Igor'!$E$6:$E$300)&amp;" ["&amp;'Igor'!$F$6:$F$300&amp;"]","")))</f>
        <v/>
      </c>
    </row>
    <row r="144" ht="40.5" customHeight="1">
      <c r="A144" s="13" t="inlineStr">
        <is>
          <t>DM-079</t>
        </is>
      </c>
      <c r="B144" s="14" t="inlineStr">
        <is>
          <t>Etapa 2: Construção das métricas | Atividade 7: Operacionalização das métricas | Atividade 8: Aplicação das métricas</t>
        </is>
      </c>
      <c r="C144" s="14" t="inlineStr">
        <is>
          <t>3. Aplicação da DM</t>
        </is>
      </c>
      <c r="D144" s="14" t="inlineStr">
        <is>
          <t>GR3</t>
        </is>
      </c>
      <c r="E144" s="15" t="inlineStr">
        <is>
          <t>Estruturação dos cálculos no excel - flora (GR3)</t>
        </is>
      </c>
      <c r="F144" s="13" t="inlineStr">
        <is>
          <t>Daniel</t>
        </is>
      </c>
      <c r="G144" s="16">
        <f>IF($A144="","",_xlfn.TEXTJOIN("; ",TRUE,IF(COUNTIF('Clarice'!$B$6:$B$300,$A144)&gt;0,"Clarice",""),IF(COUNTIF('Luisa'!$B$6:$B$300,$A144)&gt;0,"Luisa",""),IF(COUNTIF('Lui'!$B$6:$B$300,$A144)&gt;0,"Lui",""),IF(COUNTIF('Thaís'!$B$6:$B$300,$A144)&gt;0,"Thaís",""),IF(COUNTIF('Daniel'!$B$6:$B$300,$A144)&gt;0,"Daniel",""),IF(COUNTIF('Fernando'!$B$6:$B$300,$A144)&gt;0,"Fernando",""),IF(COUNTIF('Stephanie'!$B$6:$B$300,$A144)&gt;0,"Stephanie",""),IF(COUNTIF('Fox'!$B$6:$B$300,$A144)&gt;0,"Fox",""),IF(COUNTIF('Bruna'!$B$6:$B$300,$A144)&gt;0,"Bruna",""),IF(COUNTIF('Stella'!$B$6:$B$300,$A144)&gt;0,"Stella",""),IF(COUNTIF('Igor'!$B$6:$B$300,$A144)&gt;0,"Igor","")))</f>
        <v/>
      </c>
      <c r="H144" s="13" t="n"/>
      <c r="I144" s="13" t="inlineStr">
        <is>
          <t>Não iniciado</t>
        </is>
      </c>
      <c r="J144" s="17">
        <f>IF(OR($A144="",(COUNTIF('Clarice'!$B$6:$B$300,$A144)+COUNTIF('Luisa'!$B$6:$B$300,$A144)+COUNTIF('Lui'!$B$6:$B$300,$A144)+COUNTIF('Thaís'!$B$6:$B$300,$A144)+COUNTIF('Daniel'!$B$6:$B$300,$A144)+COUNTIF('Fernando'!$B$6:$B$300,$A144)+COUNTIF('Stephanie'!$B$6:$B$300,$A144)+COUNTIF('Fox'!$B$6:$B$300,$A144)+COUNTIF('Bruna'!$B$6:$B$300,$A144)+COUNTIF('Stella'!$B$6:$B$300,$A144)+COUNTIF('Igor'!$B$6:$B$300,$A144))=0),"",(COUNTIFS('Clarice'!$B$6:$B$300,$A144,'Clarice'!$F$6:$F$300,"Concluído")+COUNTIFS('Luisa'!$B$6:$B$300,$A144,'Luisa'!$F$6:$F$300,"Concluído")+COUNTIFS('Lui'!$B$6:$B$300,$A144,'Lui'!$F$6:$F$300,"Concluído")+COUNTIFS('Thaís'!$B$6:$B$300,$A144,'Thaís'!$F$6:$F$300,"Concluído")+COUNTIFS('Daniel'!$B$6:$B$300,$A144,'Daniel'!$F$6:$F$300,"Concluído")+COUNTIFS('Fernando'!$B$6:$B$300,$A144,'Fernando'!$F$6:$F$300,"Concluído")+COUNTIFS('Stephanie'!$B$6:$B$300,$A144,'Stephanie'!$F$6:$F$300,"Concluído")+COUNTIFS('Fox'!$B$6:$B$300,$A144,'Fox'!$F$6:$F$300,"Concluído")+COUNTIFS('Bruna'!$B$6:$B$300,$A144,'Bruna'!$F$6:$F$300,"Concluído")+COUNTIFS('Stella'!$B$6:$B$300,$A144,'Stella'!$F$6:$F$300,"Concluído")+COUNTIFS('Igor'!$B$6:$B$300,$A144,'Igor'!$F$6:$F$300,"Concluído"))&amp;" / "&amp;(COUNTIF('Clarice'!$B$6:$B$300,$A144)+COUNTIF('Luisa'!$B$6:$B$300,$A144)+COUNTIF('Lui'!$B$6:$B$300,$A144)+COUNTIF('Thaís'!$B$6:$B$300,$A144)+COUNTIF('Daniel'!$B$6:$B$300,$A144)+COUNTIF('Fernando'!$B$6:$B$300,$A144)+COUNTIF('Stephanie'!$B$6:$B$300,$A144)+COUNTIF('Fox'!$B$6:$B$300,$A144)+COUNTIF('Bruna'!$B$6:$B$300,$A144)+COUNTIF('Stella'!$B$6:$B$300,$A144)+COUNTIF('Igor'!$B$6:$B$300,$A144)))</f>
        <v/>
      </c>
      <c r="K144" s="18" t="n">
        <v>46204</v>
      </c>
      <c r="L144" s="18" t="n">
        <v>46206</v>
      </c>
      <c r="M144" s="19" t="n"/>
      <c r="N144" s="19" t="n"/>
      <c r="O144" s="19" t="n"/>
      <c r="P144" s="20">
        <f>IF($A144="","",IF(M144&lt;&gt;"",M144,IF(K144&lt;&gt;"",K144,"")))</f>
        <v/>
      </c>
      <c r="Q144" s="20">
        <f>IF($A144="","",IF(N144&lt;&gt;"",N144,IF(L144&lt;&gt;"",L144,"")))</f>
        <v/>
      </c>
      <c r="R144" s="15" t="n"/>
      <c r="S144" s="16">
        <f t="array" ref="S144">IF($A144="","",_xlfn.TEXTJOIN(CHAR(10),TRUE,IF('Clarice'!$B$6:$B$300=$A144,"Clarice"&amp;IF('Clarice'!$E$6:$E$300="",""," : "&amp;'Clarice'!$E$6:$E$300)&amp;" ["&amp;'Clarice'!$F$6:$F$300&amp;"]",""),IF('Luisa'!$B$6:$B$300=$A144,"Luisa"&amp;IF('Luisa'!$E$6:$E$300="",""," : "&amp;'Luisa'!$E$6:$E$300)&amp;" ["&amp;'Luisa'!$F$6:$F$300&amp;"]",""),IF('Lui'!$B$6:$B$300=$A144,"Lui"&amp;IF('Lui'!$E$6:$E$300="",""," : "&amp;'Lui'!$E$6:$E$300)&amp;" ["&amp;'Lui'!$F$6:$F$300&amp;"]",""),IF('Thaís'!$B$6:$B$300=$A144,"Thaís"&amp;IF('Thaís'!$E$6:$E$300="",""," : "&amp;'Thaís'!$E$6:$E$300)&amp;" ["&amp;'Thaís'!$F$6:$F$300&amp;"]",""),IF('Daniel'!$B$6:$B$300=$A144,"Daniel"&amp;IF('Daniel'!$E$6:$E$300="",""," : "&amp;'Daniel'!$E$6:$E$300)&amp;" ["&amp;'Daniel'!$F$6:$F$300&amp;"]",""),IF('Fernando'!$B$6:$B$300=$A144,"Fernando"&amp;IF('Fernando'!$E$6:$E$300="",""," : "&amp;'Fernando'!$E$6:$E$300)&amp;" ["&amp;'Fernando'!$F$6:$F$300&amp;"]",""),IF('Stephanie'!$B$6:$B$300=$A144,"Stephanie"&amp;IF('Stephanie'!$E$6:$E$300="",""," : "&amp;'Stephanie'!$E$6:$E$300)&amp;" ["&amp;'Stephanie'!$F$6:$F$300&amp;"]",""),IF('Fox'!$B$6:$B$300=$A144,"Fox"&amp;IF('Fox'!$E$6:$E$300="",""," : "&amp;'Fox'!$E$6:$E$300)&amp;" ["&amp;'Fox'!$F$6:$F$300&amp;"]",""),IF('Bruna'!$B$6:$B$300=$A144,"Bruna"&amp;IF('Bruna'!$E$6:$E$300="",""," : "&amp;'Bruna'!$E$6:$E$300)&amp;" ["&amp;'Bruna'!$F$6:$F$300&amp;"]",""),IF('Stella'!$B$6:$B$300=$A144,"Stella"&amp;IF('Stella'!$E$6:$E$300="",""," : "&amp;'Stella'!$E$6:$E$300)&amp;" ["&amp;'Stella'!$F$6:$F$300&amp;"]",""),IF('Igor'!$B$6:$B$300=$A144,"Igor"&amp;IF('Igor'!$E$6:$E$300="",""," : "&amp;'Igor'!$E$6:$E$300)&amp;" ["&amp;'Igor'!$F$6:$F$300&amp;"]","")))</f>
        <v/>
      </c>
    </row>
    <row r="145" ht="15.5" customHeight="1">
      <c r="A145" s="13" t="inlineStr">
        <is>
          <t>DM-080</t>
        </is>
      </c>
      <c r="B145" s="14" t="inlineStr">
        <is>
          <t>Etapa 2: Construção das métricas | Atividade 7: Operacionalização das métricas | Atividade 8: Aplicação das métricas</t>
        </is>
      </c>
      <c r="C145" s="14" t="inlineStr">
        <is>
          <t>3. Aplicação da DM</t>
        </is>
      </c>
      <c r="D145" s="14" t="inlineStr">
        <is>
          <t>GR3</t>
        </is>
      </c>
      <c r="E145" s="15" t="inlineStr">
        <is>
          <t>Escrever código R e analisar métrica - flora (GR3)</t>
        </is>
      </c>
      <c r="F145" s="13" t="inlineStr">
        <is>
          <t>Daniel</t>
        </is>
      </c>
      <c r="G145" s="16">
        <f>IF($A145="","",_xlfn.TEXTJOIN("; ",TRUE,IF(COUNTIF('Clarice'!$B$6:$B$300,$A145)&gt;0,"Clarice",""),IF(COUNTIF('Luisa'!$B$6:$B$300,$A145)&gt;0,"Luisa",""),IF(COUNTIF('Lui'!$B$6:$B$300,$A145)&gt;0,"Lui",""),IF(COUNTIF('Thaís'!$B$6:$B$300,$A145)&gt;0,"Thaís",""),IF(COUNTIF('Daniel'!$B$6:$B$300,$A145)&gt;0,"Daniel",""),IF(COUNTIF('Fernando'!$B$6:$B$300,$A145)&gt;0,"Fernando",""),IF(COUNTIF('Stephanie'!$B$6:$B$300,$A145)&gt;0,"Stephanie",""),IF(COUNTIF('Fox'!$B$6:$B$300,$A145)&gt;0,"Fox",""),IF(COUNTIF('Bruna'!$B$6:$B$300,$A145)&gt;0,"Bruna",""),IF(COUNTIF('Stella'!$B$6:$B$300,$A145)&gt;0,"Stella",""),IF(COUNTIF('Igor'!$B$6:$B$300,$A145)&gt;0,"Igor","")))</f>
        <v/>
      </c>
      <c r="H145" s="13" t="n"/>
      <c r="I145" s="13" t="inlineStr">
        <is>
          <t>Não iniciado</t>
        </is>
      </c>
      <c r="J145" s="17">
        <f>IF(OR($A145="",(COUNTIF('Clarice'!$B$6:$B$300,$A145)+COUNTIF('Luisa'!$B$6:$B$300,$A145)+COUNTIF('Lui'!$B$6:$B$300,$A145)+COUNTIF('Thaís'!$B$6:$B$300,$A145)+COUNTIF('Daniel'!$B$6:$B$300,$A145)+COUNTIF('Fernando'!$B$6:$B$300,$A145)+COUNTIF('Stephanie'!$B$6:$B$300,$A145)+COUNTIF('Fox'!$B$6:$B$300,$A145)+COUNTIF('Bruna'!$B$6:$B$300,$A145)+COUNTIF('Stella'!$B$6:$B$300,$A145)+COUNTIF('Igor'!$B$6:$B$300,$A145))=0),"",(COUNTIFS('Clarice'!$B$6:$B$300,$A145,'Clarice'!$F$6:$F$300,"Concluído")+COUNTIFS('Luisa'!$B$6:$B$300,$A145,'Luisa'!$F$6:$F$300,"Concluído")+COUNTIFS('Lui'!$B$6:$B$300,$A145,'Lui'!$F$6:$F$300,"Concluído")+COUNTIFS('Thaís'!$B$6:$B$300,$A145,'Thaís'!$F$6:$F$300,"Concluído")+COUNTIFS('Daniel'!$B$6:$B$300,$A145,'Daniel'!$F$6:$F$300,"Concluído")+COUNTIFS('Fernando'!$B$6:$B$300,$A145,'Fernando'!$F$6:$F$300,"Concluído")+COUNTIFS('Stephanie'!$B$6:$B$300,$A145,'Stephanie'!$F$6:$F$300,"Concluído")+COUNTIFS('Fox'!$B$6:$B$300,$A145,'Fox'!$F$6:$F$300,"Concluído")+COUNTIFS('Bruna'!$B$6:$B$300,$A145,'Bruna'!$F$6:$F$300,"Concluído")+COUNTIFS('Stella'!$B$6:$B$300,$A145,'Stella'!$F$6:$F$300,"Concluído")+COUNTIFS('Igor'!$B$6:$B$300,$A145,'Igor'!$F$6:$F$300,"Concluído"))&amp;" / "&amp;(COUNTIF('Clarice'!$B$6:$B$300,$A145)+COUNTIF('Luisa'!$B$6:$B$300,$A145)+COUNTIF('Lui'!$B$6:$B$300,$A145)+COUNTIF('Thaís'!$B$6:$B$300,$A145)+COUNTIF('Daniel'!$B$6:$B$300,$A145)+COUNTIF('Fernando'!$B$6:$B$300,$A145)+COUNTIF('Stephanie'!$B$6:$B$300,$A145)+COUNTIF('Fox'!$B$6:$B$300,$A145)+COUNTIF('Bruna'!$B$6:$B$300,$A145)+COUNTIF('Stella'!$B$6:$B$300,$A145)+COUNTIF('Igor'!$B$6:$B$300,$A145)))</f>
        <v/>
      </c>
      <c r="K145" s="18" t="n">
        <v>46209</v>
      </c>
      <c r="L145" s="18" t="n">
        <v>46213</v>
      </c>
      <c r="M145" s="19" t="n"/>
      <c r="N145" s="19" t="n"/>
      <c r="O145" s="19" t="n"/>
      <c r="P145" s="20">
        <f>IF($A145="","",IF(M145&lt;&gt;"",M145,IF(K145&lt;&gt;"",K145,"")))</f>
        <v/>
      </c>
      <c r="Q145" s="20">
        <f>IF($A145="","",IF(N145&lt;&gt;"",N145,IF(L145&lt;&gt;"",L145,"")))</f>
        <v/>
      </c>
      <c r="R145" s="15" t="n"/>
      <c r="S145" s="16">
        <f t="array" ref="S145">IF($A145="","",_xlfn.TEXTJOIN(CHAR(10),TRUE,IF('Clarice'!$B$6:$B$300=$A145,"Clarice"&amp;IF('Clarice'!$E$6:$E$300="",""," : "&amp;'Clarice'!$E$6:$E$300)&amp;" ["&amp;'Clarice'!$F$6:$F$300&amp;"]",""),IF('Luisa'!$B$6:$B$300=$A145,"Luisa"&amp;IF('Luisa'!$E$6:$E$300="",""," : "&amp;'Luisa'!$E$6:$E$300)&amp;" ["&amp;'Luisa'!$F$6:$F$300&amp;"]",""),IF('Lui'!$B$6:$B$300=$A145,"Lui"&amp;IF('Lui'!$E$6:$E$300="",""," : "&amp;'Lui'!$E$6:$E$300)&amp;" ["&amp;'Lui'!$F$6:$F$300&amp;"]",""),IF('Thaís'!$B$6:$B$300=$A145,"Thaís"&amp;IF('Thaís'!$E$6:$E$300="",""," : "&amp;'Thaís'!$E$6:$E$300)&amp;" ["&amp;'Thaís'!$F$6:$F$300&amp;"]",""),IF('Daniel'!$B$6:$B$300=$A145,"Daniel"&amp;IF('Daniel'!$E$6:$E$300="",""," : "&amp;'Daniel'!$E$6:$E$300)&amp;" ["&amp;'Daniel'!$F$6:$F$300&amp;"]",""),IF('Fernando'!$B$6:$B$300=$A145,"Fernando"&amp;IF('Fernando'!$E$6:$E$300="",""," : "&amp;'Fernando'!$E$6:$E$300)&amp;" ["&amp;'Fernando'!$F$6:$F$300&amp;"]",""),IF('Stephanie'!$B$6:$B$300=$A145,"Stephanie"&amp;IF('Stephanie'!$E$6:$E$300="",""," : "&amp;'Stephanie'!$E$6:$E$300)&amp;" ["&amp;'Stephanie'!$F$6:$F$300&amp;"]",""),IF('Fox'!$B$6:$B$300=$A145,"Fox"&amp;IF('Fox'!$E$6:$E$300="",""," : "&amp;'Fox'!$E$6:$E$300)&amp;" ["&amp;'Fox'!$F$6:$F$300&amp;"]",""),IF('Bruna'!$B$6:$B$300=$A145,"Bruna"&amp;IF('Bruna'!$E$6:$E$300="",""," : "&amp;'Bruna'!$E$6:$E$300)&amp;" ["&amp;'Bruna'!$F$6:$F$300&amp;"]",""),IF('Stella'!$B$6:$B$300=$A145,"Stella"&amp;IF('Stella'!$E$6:$E$300="",""," : "&amp;'Stella'!$E$6:$E$300)&amp;" ["&amp;'Stella'!$F$6:$F$300&amp;"]",""),IF('Igor'!$B$6:$B$300=$A145,"Igor"&amp;IF('Igor'!$E$6:$E$300="",""," : "&amp;'Igor'!$E$6:$E$300)&amp;" ["&amp;'Igor'!$F$6:$F$300&amp;"]","")))</f>
        <v/>
      </c>
    </row>
    <row r="146" ht="40.5" customHeight="1">
      <c r="A146" s="13" t="inlineStr">
        <is>
          <t>DM-081</t>
        </is>
      </c>
      <c r="B146" s="14" t="inlineStr">
        <is>
          <t>Etapa 2: Construção das métricas | Atividade 7: Operacionalização das métricas | Atividade 8: Aplicação das métricas</t>
        </is>
      </c>
      <c r="C146" s="14" t="inlineStr">
        <is>
          <t>3. Aplicação da DM</t>
        </is>
      </c>
      <c r="D146" s="14" t="inlineStr">
        <is>
          <t>GR3</t>
        </is>
      </c>
      <c r="E146" s="15" t="inlineStr">
        <is>
          <t>Apresentar e consolidar os resultados internamente - flora (GR3)</t>
        </is>
      </c>
      <c r="F146" s="13" t="inlineStr">
        <is>
          <t>Daniel</t>
        </is>
      </c>
      <c r="G146" s="16">
        <f>IF($A146="","",_xlfn.TEXTJOIN("; ",TRUE,IF(COUNTIF('Clarice'!$B$6:$B$300,$A146)&gt;0,"Clarice",""),IF(COUNTIF('Luisa'!$B$6:$B$300,$A146)&gt;0,"Luisa",""),IF(COUNTIF('Lui'!$B$6:$B$300,$A146)&gt;0,"Lui",""),IF(COUNTIF('Thaís'!$B$6:$B$300,$A146)&gt;0,"Thaís",""),IF(COUNTIF('Daniel'!$B$6:$B$300,$A146)&gt;0,"Daniel",""),IF(COUNTIF('Fernando'!$B$6:$B$300,$A146)&gt;0,"Fernando",""),IF(COUNTIF('Stephanie'!$B$6:$B$300,$A146)&gt;0,"Stephanie",""),IF(COUNTIF('Fox'!$B$6:$B$300,$A146)&gt;0,"Fox",""),IF(COUNTIF('Bruna'!$B$6:$B$300,$A146)&gt;0,"Bruna",""),IF(COUNTIF('Stella'!$B$6:$B$300,$A146)&gt;0,"Stella",""),IF(COUNTIF('Igor'!$B$6:$B$300,$A146)&gt;0,"Igor","")))</f>
        <v/>
      </c>
      <c r="H146" s="13" t="n"/>
      <c r="I146" s="13" t="inlineStr">
        <is>
          <t>Não iniciado</t>
        </is>
      </c>
      <c r="J146" s="17">
        <f>IF(OR($A146="",(COUNTIF('Clarice'!$B$6:$B$300,$A146)+COUNTIF('Luisa'!$B$6:$B$300,$A146)+COUNTIF('Lui'!$B$6:$B$300,$A146)+COUNTIF('Thaís'!$B$6:$B$300,$A146)+COUNTIF('Daniel'!$B$6:$B$300,$A146)+COUNTIF('Fernando'!$B$6:$B$300,$A146)+COUNTIF('Stephanie'!$B$6:$B$300,$A146)+COUNTIF('Fox'!$B$6:$B$300,$A146)+COUNTIF('Bruna'!$B$6:$B$300,$A146)+COUNTIF('Stella'!$B$6:$B$300,$A146)+COUNTIF('Igor'!$B$6:$B$300,$A146))=0),"",(COUNTIFS('Clarice'!$B$6:$B$300,$A146,'Clarice'!$F$6:$F$300,"Concluído")+COUNTIFS('Luisa'!$B$6:$B$300,$A146,'Luisa'!$F$6:$F$300,"Concluído")+COUNTIFS('Lui'!$B$6:$B$300,$A146,'Lui'!$F$6:$F$300,"Concluído")+COUNTIFS('Thaís'!$B$6:$B$300,$A146,'Thaís'!$F$6:$F$300,"Concluído")+COUNTIFS('Daniel'!$B$6:$B$300,$A146,'Daniel'!$F$6:$F$300,"Concluído")+COUNTIFS('Fernando'!$B$6:$B$300,$A146,'Fernando'!$F$6:$F$300,"Concluído")+COUNTIFS('Stephanie'!$B$6:$B$300,$A146,'Stephanie'!$F$6:$F$300,"Concluído")+COUNTIFS('Fox'!$B$6:$B$300,$A146,'Fox'!$F$6:$F$300,"Concluído")+COUNTIFS('Bruna'!$B$6:$B$300,$A146,'Bruna'!$F$6:$F$300,"Concluído")+COUNTIFS('Stella'!$B$6:$B$300,$A146,'Stella'!$F$6:$F$300,"Concluído")+COUNTIFS('Igor'!$B$6:$B$300,$A146,'Igor'!$F$6:$F$300,"Concluído"))&amp;" / "&amp;(COUNTIF('Clarice'!$B$6:$B$300,$A146)+COUNTIF('Luisa'!$B$6:$B$300,$A146)+COUNTIF('Lui'!$B$6:$B$300,$A146)+COUNTIF('Thaís'!$B$6:$B$300,$A146)+COUNTIF('Daniel'!$B$6:$B$300,$A146)+COUNTIF('Fernando'!$B$6:$B$300,$A146)+COUNTIF('Stephanie'!$B$6:$B$300,$A146)+COUNTIF('Fox'!$B$6:$B$300,$A146)+COUNTIF('Bruna'!$B$6:$B$300,$A146)+COUNTIF('Stella'!$B$6:$B$300,$A146)+COUNTIF('Igor'!$B$6:$B$300,$A146)))</f>
        <v/>
      </c>
      <c r="K146" s="18" t="n">
        <v>46216</v>
      </c>
      <c r="L146" s="18" t="n">
        <v>46220</v>
      </c>
      <c r="M146" s="19" t="n"/>
      <c r="N146" s="19" t="n"/>
      <c r="O146" s="19" t="n"/>
      <c r="P146" s="20">
        <f>IF($A146="","",IF(M146&lt;&gt;"",M146,IF(K146&lt;&gt;"",K146,"")))</f>
        <v/>
      </c>
      <c r="Q146" s="20">
        <f>IF($A146="","",IF(N146&lt;&gt;"",N146,IF(L146&lt;&gt;"",L146,"")))</f>
        <v/>
      </c>
      <c r="R146" s="15" t="n"/>
      <c r="S146" s="16">
        <f t="array" ref="S146">IF($A146="","",_xlfn.TEXTJOIN(CHAR(10),TRUE,IF('Clarice'!$B$6:$B$300=$A146,"Clarice"&amp;IF('Clarice'!$E$6:$E$300="",""," : "&amp;'Clarice'!$E$6:$E$300)&amp;" ["&amp;'Clarice'!$F$6:$F$300&amp;"]",""),IF('Luisa'!$B$6:$B$300=$A146,"Luisa"&amp;IF('Luisa'!$E$6:$E$300="",""," : "&amp;'Luisa'!$E$6:$E$300)&amp;" ["&amp;'Luisa'!$F$6:$F$300&amp;"]",""),IF('Lui'!$B$6:$B$300=$A146,"Lui"&amp;IF('Lui'!$E$6:$E$300="",""," : "&amp;'Lui'!$E$6:$E$300)&amp;" ["&amp;'Lui'!$F$6:$F$300&amp;"]",""),IF('Thaís'!$B$6:$B$300=$A146,"Thaís"&amp;IF('Thaís'!$E$6:$E$300="",""," : "&amp;'Thaís'!$E$6:$E$300)&amp;" ["&amp;'Thaís'!$F$6:$F$300&amp;"]",""),IF('Daniel'!$B$6:$B$300=$A146,"Daniel"&amp;IF('Daniel'!$E$6:$E$300="",""," : "&amp;'Daniel'!$E$6:$E$300)&amp;" ["&amp;'Daniel'!$F$6:$F$300&amp;"]",""),IF('Fernando'!$B$6:$B$300=$A146,"Fernando"&amp;IF('Fernando'!$E$6:$E$300="",""," : "&amp;'Fernando'!$E$6:$E$300)&amp;" ["&amp;'Fernando'!$F$6:$F$300&amp;"]",""),IF('Stephanie'!$B$6:$B$300=$A146,"Stephanie"&amp;IF('Stephanie'!$E$6:$E$300="",""," : "&amp;'Stephanie'!$E$6:$E$300)&amp;" ["&amp;'Stephanie'!$F$6:$F$300&amp;"]",""),IF('Fox'!$B$6:$B$300=$A146,"Fox"&amp;IF('Fox'!$E$6:$E$300="",""," : "&amp;'Fox'!$E$6:$E$300)&amp;" ["&amp;'Fox'!$F$6:$F$300&amp;"]",""),IF('Bruna'!$B$6:$B$300=$A146,"Bruna"&amp;IF('Bruna'!$E$6:$E$300="",""," : "&amp;'Bruna'!$E$6:$E$300)&amp;" ["&amp;'Bruna'!$F$6:$F$300&amp;"]",""),IF('Stella'!$B$6:$B$300=$A146,"Stella"&amp;IF('Stella'!$E$6:$E$300="",""," : "&amp;'Stella'!$E$6:$E$300)&amp;" ["&amp;'Stella'!$F$6:$F$300&amp;"]",""),IF('Igor'!$B$6:$B$300=$A146,"Igor"&amp;IF('Igor'!$E$6:$E$300="",""," : "&amp;'Igor'!$E$6:$E$300)&amp;" ["&amp;'Igor'!$F$6:$F$300&amp;"]","")))</f>
        <v/>
      </c>
    </row>
    <row r="147" ht="40.5" customHeight="1">
      <c r="A147" s="13" t="inlineStr">
        <is>
          <t>DM-082</t>
        </is>
      </c>
      <c r="B147" s="14" t="inlineStr">
        <is>
          <t>Etapa 2: Construção das métricas | Atividade 7: Operacionalização das métricas | Atividade 8: Aplicação das métricas</t>
        </is>
      </c>
      <c r="C147" s="14" t="inlineStr">
        <is>
          <t>3. Aplicação da DM</t>
        </is>
      </c>
      <c r="D147" s="14" t="inlineStr">
        <is>
          <t>GR3</t>
        </is>
      </c>
      <c r="E147" s="15" t="inlineStr">
        <is>
          <t>Identificar lacunas de dados para recomendar para a Petrobras - flora (GR3)</t>
        </is>
      </c>
      <c r="F147" s="13" t="inlineStr">
        <is>
          <t>Daniel</t>
        </is>
      </c>
      <c r="G147" s="16">
        <f>IF($A147="","",_xlfn.TEXTJOIN("; ",TRUE,IF(COUNTIF('Clarice'!$B$6:$B$300,$A147)&gt;0,"Clarice",""),IF(COUNTIF('Luisa'!$B$6:$B$300,$A147)&gt;0,"Luisa",""),IF(COUNTIF('Lui'!$B$6:$B$300,$A147)&gt;0,"Lui",""),IF(COUNTIF('Thaís'!$B$6:$B$300,$A147)&gt;0,"Thaís",""),IF(COUNTIF('Daniel'!$B$6:$B$300,$A147)&gt;0,"Daniel",""),IF(COUNTIF('Fernando'!$B$6:$B$300,$A147)&gt;0,"Fernando",""),IF(COUNTIF('Stephanie'!$B$6:$B$300,$A147)&gt;0,"Stephanie",""),IF(COUNTIF('Fox'!$B$6:$B$300,$A147)&gt;0,"Fox",""),IF(COUNTIF('Bruna'!$B$6:$B$300,$A147)&gt;0,"Bruna",""),IF(COUNTIF('Stella'!$B$6:$B$300,$A147)&gt;0,"Stella",""),IF(COUNTIF('Igor'!$B$6:$B$300,$A147)&gt;0,"Igor","")))</f>
        <v/>
      </c>
      <c r="H147" s="13" t="n"/>
      <c r="I147" s="13" t="inlineStr">
        <is>
          <t>Não iniciado</t>
        </is>
      </c>
      <c r="J147" s="17">
        <f>IF(OR($A147="",(COUNTIF('Clarice'!$B$6:$B$300,$A147)+COUNTIF('Luisa'!$B$6:$B$300,$A147)+COUNTIF('Lui'!$B$6:$B$300,$A147)+COUNTIF('Thaís'!$B$6:$B$300,$A147)+COUNTIF('Daniel'!$B$6:$B$300,$A147)+COUNTIF('Fernando'!$B$6:$B$300,$A147)+COUNTIF('Stephanie'!$B$6:$B$300,$A147)+COUNTIF('Fox'!$B$6:$B$300,$A147)+COUNTIF('Bruna'!$B$6:$B$300,$A147)+COUNTIF('Stella'!$B$6:$B$300,$A147)+COUNTIF('Igor'!$B$6:$B$300,$A147))=0),"",(COUNTIFS('Clarice'!$B$6:$B$300,$A147,'Clarice'!$F$6:$F$300,"Concluído")+COUNTIFS('Luisa'!$B$6:$B$300,$A147,'Luisa'!$F$6:$F$300,"Concluído")+COUNTIFS('Lui'!$B$6:$B$300,$A147,'Lui'!$F$6:$F$300,"Concluído")+COUNTIFS('Thaís'!$B$6:$B$300,$A147,'Thaís'!$F$6:$F$300,"Concluído")+COUNTIFS('Daniel'!$B$6:$B$300,$A147,'Daniel'!$F$6:$F$300,"Concluído")+COUNTIFS('Fernando'!$B$6:$B$300,$A147,'Fernando'!$F$6:$F$300,"Concluído")+COUNTIFS('Stephanie'!$B$6:$B$300,$A147,'Stephanie'!$F$6:$F$300,"Concluído")+COUNTIFS('Fox'!$B$6:$B$300,$A147,'Fox'!$F$6:$F$300,"Concluído")+COUNTIFS('Bruna'!$B$6:$B$300,$A147,'Bruna'!$F$6:$F$300,"Concluído")+COUNTIFS('Stella'!$B$6:$B$300,$A147,'Stella'!$F$6:$F$300,"Concluído")+COUNTIFS('Igor'!$B$6:$B$300,$A147,'Igor'!$F$6:$F$300,"Concluído"))&amp;" / "&amp;(COUNTIF('Clarice'!$B$6:$B$300,$A147)+COUNTIF('Luisa'!$B$6:$B$300,$A147)+COUNTIF('Lui'!$B$6:$B$300,$A147)+COUNTIF('Thaís'!$B$6:$B$300,$A147)+COUNTIF('Daniel'!$B$6:$B$300,$A147)+COUNTIF('Fernando'!$B$6:$B$300,$A147)+COUNTIF('Stephanie'!$B$6:$B$300,$A147)+COUNTIF('Fox'!$B$6:$B$300,$A147)+COUNTIF('Bruna'!$B$6:$B$300,$A147)+COUNTIF('Stella'!$B$6:$B$300,$A147)+COUNTIF('Igor'!$B$6:$B$300,$A147)))</f>
        <v/>
      </c>
      <c r="K147" s="18" t="n">
        <v>46216</v>
      </c>
      <c r="L147" s="18" t="n">
        <v>46220</v>
      </c>
      <c r="M147" s="19" t="n"/>
      <c r="N147" s="19" t="n"/>
      <c r="O147" s="19" t="n"/>
      <c r="P147" s="20">
        <f>IF($A147="","",IF(M147&lt;&gt;"",M147,IF(K147&lt;&gt;"",K147,"")))</f>
        <v/>
      </c>
      <c r="Q147" s="20">
        <f>IF($A147="","",IF(N147&lt;&gt;"",N147,IF(L147&lt;&gt;"",L147,"")))</f>
        <v/>
      </c>
      <c r="R147" s="15" t="n"/>
      <c r="S147" s="16">
        <f t="array" ref="S147">IF($A147="","",_xlfn.TEXTJOIN(CHAR(10),TRUE,IF('Clarice'!$B$6:$B$300=$A147,"Clarice"&amp;IF('Clarice'!$E$6:$E$300="",""," : "&amp;'Clarice'!$E$6:$E$300)&amp;" ["&amp;'Clarice'!$F$6:$F$300&amp;"]",""),IF('Luisa'!$B$6:$B$300=$A147,"Luisa"&amp;IF('Luisa'!$E$6:$E$300="",""," : "&amp;'Luisa'!$E$6:$E$300)&amp;" ["&amp;'Luisa'!$F$6:$F$300&amp;"]",""),IF('Lui'!$B$6:$B$300=$A147,"Lui"&amp;IF('Lui'!$E$6:$E$300="",""," : "&amp;'Lui'!$E$6:$E$300)&amp;" ["&amp;'Lui'!$F$6:$F$300&amp;"]",""),IF('Thaís'!$B$6:$B$300=$A147,"Thaís"&amp;IF('Thaís'!$E$6:$E$300="",""," : "&amp;'Thaís'!$E$6:$E$300)&amp;" ["&amp;'Thaís'!$F$6:$F$300&amp;"]",""),IF('Daniel'!$B$6:$B$300=$A147,"Daniel"&amp;IF('Daniel'!$E$6:$E$300="",""," : "&amp;'Daniel'!$E$6:$E$300)&amp;" ["&amp;'Daniel'!$F$6:$F$300&amp;"]",""),IF('Fernando'!$B$6:$B$300=$A147,"Fernando"&amp;IF('Fernando'!$E$6:$E$300="",""," : "&amp;'Fernando'!$E$6:$E$300)&amp;" ["&amp;'Fernando'!$F$6:$F$300&amp;"]",""),IF('Stephanie'!$B$6:$B$300=$A147,"Stephanie"&amp;IF('Stephanie'!$E$6:$E$300="",""," : "&amp;'Stephanie'!$E$6:$E$300)&amp;" ["&amp;'Stephanie'!$F$6:$F$300&amp;"]",""),IF('Fox'!$B$6:$B$300=$A147,"Fox"&amp;IF('Fox'!$E$6:$E$300="",""," : "&amp;'Fox'!$E$6:$E$300)&amp;" ["&amp;'Fox'!$F$6:$F$300&amp;"]",""),IF('Bruna'!$B$6:$B$300=$A147,"Bruna"&amp;IF('Bruna'!$E$6:$E$300="",""," : "&amp;'Bruna'!$E$6:$E$300)&amp;" ["&amp;'Bruna'!$F$6:$F$300&amp;"]",""),IF('Stella'!$B$6:$B$300=$A147,"Stella"&amp;IF('Stella'!$E$6:$E$300="",""," : "&amp;'Stella'!$E$6:$E$300)&amp;" ["&amp;'Stella'!$F$6:$F$300&amp;"]",""),IF('Igor'!$B$6:$B$300=$A147,"Igor"&amp;IF('Igor'!$E$6:$E$300="",""," : "&amp;'Igor'!$E$6:$E$300)&amp;" ["&amp;'Igor'!$F$6:$F$300&amp;"]","")))</f>
        <v/>
      </c>
    </row>
    <row r="148" ht="40.5" customHeight="1">
      <c r="A148" s="13" t="inlineStr">
        <is>
          <t>DM-083</t>
        </is>
      </c>
      <c r="B148" s="14" t="inlineStr">
        <is>
          <t>Etapa 2: Construção das métricas | Atividade 7: Operacionalização das métricas | Atividade 8: Aplicação das métricas</t>
        </is>
      </c>
      <c r="C148" s="14" t="inlineStr">
        <is>
          <t>3. Aplicação da DM</t>
        </is>
      </c>
      <c r="D148" s="14" t="inlineStr">
        <is>
          <t>GR3</t>
        </is>
      </c>
      <c r="E148" s="15" t="inlineStr">
        <is>
          <t>Definir a estratégia de aplicação - fauna (GR3)</t>
        </is>
      </c>
      <c r="F148" s="13" t="inlineStr">
        <is>
          <t>Daniel</t>
        </is>
      </c>
      <c r="G148" s="16">
        <f>IF($A148="","",_xlfn.TEXTJOIN("; ",TRUE,IF(COUNTIF('Clarice'!$B$6:$B$300,$A148)&gt;0,"Clarice",""),IF(COUNTIF('Luisa'!$B$6:$B$300,$A148)&gt;0,"Luisa",""),IF(COUNTIF('Lui'!$B$6:$B$300,$A148)&gt;0,"Lui",""),IF(COUNTIF('Thaís'!$B$6:$B$300,$A148)&gt;0,"Thaís",""),IF(COUNTIF('Daniel'!$B$6:$B$300,$A148)&gt;0,"Daniel",""),IF(COUNTIF('Fernando'!$B$6:$B$300,$A148)&gt;0,"Fernando",""),IF(COUNTIF('Stephanie'!$B$6:$B$300,$A148)&gt;0,"Stephanie",""),IF(COUNTIF('Fox'!$B$6:$B$300,$A148)&gt;0,"Fox",""),IF(COUNTIF('Bruna'!$B$6:$B$300,$A148)&gt;0,"Bruna",""),IF(COUNTIF('Stella'!$B$6:$B$300,$A148)&gt;0,"Stella",""),IF(COUNTIF('Igor'!$B$6:$B$300,$A148)&gt;0,"Igor","")))</f>
        <v/>
      </c>
      <c r="H148" s="13" t="n"/>
      <c r="I148" s="13" t="inlineStr">
        <is>
          <t>Não iniciado</t>
        </is>
      </c>
      <c r="J148" s="17">
        <f>IF(OR($A148="",(COUNTIF('Clarice'!$B$6:$B$300,$A148)+COUNTIF('Luisa'!$B$6:$B$300,$A148)+COUNTIF('Lui'!$B$6:$B$300,$A148)+COUNTIF('Thaís'!$B$6:$B$300,$A148)+COUNTIF('Daniel'!$B$6:$B$300,$A148)+COUNTIF('Fernando'!$B$6:$B$300,$A148)+COUNTIF('Stephanie'!$B$6:$B$300,$A148)+COUNTIF('Fox'!$B$6:$B$300,$A148)+COUNTIF('Bruna'!$B$6:$B$300,$A148)+COUNTIF('Stella'!$B$6:$B$300,$A148)+COUNTIF('Igor'!$B$6:$B$300,$A148))=0),"",(COUNTIFS('Clarice'!$B$6:$B$300,$A148,'Clarice'!$F$6:$F$300,"Concluído")+COUNTIFS('Luisa'!$B$6:$B$300,$A148,'Luisa'!$F$6:$F$300,"Concluído")+COUNTIFS('Lui'!$B$6:$B$300,$A148,'Lui'!$F$6:$F$300,"Concluído")+COUNTIFS('Thaís'!$B$6:$B$300,$A148,'Thaís'!$F$6:$F$300,"Concluído")+COUNTIFS('Daniel'!$B$6:$B$300,$A148,'Daniel'!$F$6:$F$300,"Concluído")+COUNTIFS('Fernando'!$B$6:$B$300,$A148,'Fernando'!$F$6:$F$300,"Concluído")+COUNTIFS('Stephanie'!$B$6:$B$300,$A148,'Stephanie'!$F$6:$F$300,"Concluído")+COUNTIFS('Fox'!$B$6:$B$300,$A148,'Fox'!$F$6:$F$300,"Concluído")+COUNTIFS('Bruna'!$B$6:$B$300,$A148,'Bruna'!$F$6:$F$300,"Concluído")+COUNTIFS('Stella'!$B$6:$B$300,$A148,'Stella'!$F$6:$F$300,"Concluído")+COUNTIFS('Igor'!$B$6:$B$300,$A148,'Igor'!$F$6:$F$300,"Concluído"))&amp;" / "&amp;(COUNTIF('Clarice'!$B$6:$B$300,$A148)+COUNTIF('Luisa'!$B$6:$B$300,$A148)+COUNTIF('Lui'!$B$6:$B$300,$A148)+COUNTIF('Thaís'!$B$6:$B$300,$A148)+COUNTIF('Daniel'!$B$6:$B$300,$A148)+COUNTIF('Fernando'!$B$6:$B$300,$A148)+COUNTIF('Stephanie'!$B$6:$B$300,$A148)+COUNTIF('Fox'!$B$6:$B$300,$A148)+COUNTIF('Bruna'!$B$6:$B$300,$A148)+COUNTIF('Stella'!$B$6:$B$300,$A148)+COUNTIF('Igor'!$B$6:$B$300,$A148)))</f>
        <v/>
      </c>
      <c r="K148" s="18" t="n">
        <v>46223</v>
      </c>
      <c r="L148" s="18" t="n">
        <v>46227</v>
      </c>
      <c r="M148" s="19" t="n"/>
      <c r="N148" s="19" t="n"/>
      <c r="O148" s="19" t="n"/>
      <c r="P148" s="20">
        <f>IF($A148="","",IF(M148&lt;&gt;"",M148,IF(K148&lt;&gt;"",K148,"")))</f>
        <v/>
      </c>
      <c r="Q148" s="20">
        <f>IF($A148="","",IF(N148&lt;&gt;"",N148,IF(L148&lt;&gt;"",L148,"")))</f>
        <v/>
      </c>
      <c r="R148" s="15" t="n"/>
      <c r="S148" s="16">
        <f t="array" ref="S148">IF($A148="","",_xlfn.TEXTJOIN(CHAR(10),TRUE,IF('Clarice'!$B$6:$B$300=$A148,"Clarice"&amp;IF('Clarice'!$E$6:$E$300="",""," : "&amp;'Clarice'!$E$6:$E$300)&amp;" ["&amp;'Clarice'!$F$6:$F$300&amp;"]",""),IF('Luisa'!$B$6:$B$300=$A148,"Luisa"&amp;IF('Luisa'!$E$6:$E$300="",""," : "&amp;'Luisa'!$E$6:$E$300)&amp;" ["&amp;'Luisa'!$F$6:$F$300&amp;"]",""),IF('Lui'!$B$6:$B$300=$A148,"Lui"&amp;IF('Lui'!$E$6:$E$300="",""," : "&amp;'Lui'!$E$6:$E$300)&amp;" ["&amp;'Lui'!$F$6:$F$300&amp;"]",""),IF('Thaís'!$B$6:$B$300=$A148,"Thaís"&amp;IF('Thaís'!$E$6:$E$300="",""," : "&amp;'Thaís'!$E$6:$E$300)&amp;" ["&amp;'Thaís'!$F$6:$F$300&amp;"]",""),IF('Daniel'!$B$6:$B$300=$A148,"Daniel"&amp;IF('Daniel'!$E$6:$E$300="",""," : "&amp;'Daniel'!$E$6:$E$300)&amp;" ["&amp;'Daniel'!$F$6:$F$300&amp;"]",""),IF('Fernando'!$B$6:$B$300=$A148,"Fernando"&amp;IF('Fernando'!$E$6:$E$300="",""," : "&amp;'Fernando'!$E$6:$E$300)&amp;" ["&amp;'Fernando'!$F$6:$F$300&amp;"]",""),IF('Stephanie'!$B$6:$B$300=$A148,"Stephanie"&amp;IF('Stephanie'!$E$6:$E$300="",""," : "&amp;'Stephanie'!$E$6:$E$300)&amp;" ["&amp;'Stephanie'!$F$6:$F$300&amp;"]",""),IF('Fox'!$B$6:$B$300=$A148,"Fox"&amp;IF('Fox'!$E$6:$E$300="",""," : "&amp;'Fox'!$E$6:$E$300)&amp;" ["&amp;'Fox'!$F$6:$F$300&amp;"]",""),IF('Bruna'!$B$6:$B$300=$A148,"Bruna"&amp;IF('Bruna'!$E$6:$E$300="",""," : "&amp;'Bruna'!$E$6:$E$300)&amp;" ["&amp;'Bruna'!$F$6:$F$300&amp;"]",""),IF('Stella'!$B$6:$B$300=$A148,"Stella"&amp;IF('Stella'!$E$6:$E$300="",""," : "&amp;'Stella'!$E$6:$E$300)&amp;" ["&amp;'Stella'!$F$6:$F$300&amp;"]",""),IF('Igor'!$B$6:$B$300=$A148,"Igor"&amp;IF('Igor'!$E$6:$E$300="",""," : "&amp;'Igor'!$E$6:$E$300)&amp;" ["&amp;'Igor'!$F$6:$F$300&amp;"]","")))</f>
        <v/>
      </c>
    </row>
    <row r="149" ht="40.5" customHeight="1">
      <c r="A149" s="13" t="inlineStr">
        <is>
          <t>DM-084</t>
        </is>
      </c>
      <c r="B149" s="14" t="inlineStr">
        <is>
          <t>Etapa 2: Construção das métricas | Atividade 7: Operacionalização das métricas | Atividade 8: Aplicação das métricas</t>
        </is>
      </c>
      <c r="C149" s="14" t="inlineStr">
        <is>
          <t>3. Aplicação da DM</t>
        </is>
      </c>
      <c r="D149" s="14" t="inlineStr">
        <is>
          <t>GR3</t>
        </is>
      </c>
      <c r="E149" s="15" t="inlineStr">
        <is>
          <t>Avaliar disponibilidade de informação temporal e espacial para aplicação da métrica - fauna (GR3)</t>
        </is>
      </c>
      <c r="F149" s="13" t="inlineStr">
        <is>
          <t>Daniel</t>
        </is>
      </c>
      <c r="G149" s="16">
        <f>IF($A149="","",_xlfn.TEXTJOIN("; ",TRUE,IF(COUNTIF('Clarice'!$B$6:$B$300,$A149)&gt;0,"Clarice",""),IF(COUNTIF('Luisa'!$B$6:$B$300,$A149)&gt;0,"Luisa",""),IF(COUNTIF('Lui'!$B$6:$B$300,$A149)&gt;0,"Lui",""),IF(COUNTIF('Thaís'!$B$6:$B$300,$A149)&gt;0,"Thaís",""),IF(COUNTIF('Daniel'!$B$6:$B$300,$A149)&gt;0,"Daniel",""),IF(COUNTIF('Fernando'!$B$6:$B$300,$A149)&gt;0,"Fernando",""),IF(COUNTIF('Stephanie'!$B$6:$B$300,$A149)&gt;0,"Stephanie",""),IF(COUNTIF('Fox'!$B$6:$B$300,$A149)&gt;0,"Fox",""),IF(COUNTIF('Bruna'!$B$6:$B$300,$A149)&gt;0,"Bruna",""),IF(COUNTIF('Stella'!$B$6:$B$300,$A149)&gt;0,"Stella",""),IF(COUNTIF('Igor'!$B$6:$B$300,$A149)&gt;0,"Igor","")))</f>
        <v/>
      </c>
      <c r="H149" s="13" t="n"/>
      <c r="I149" s="13" t="inlineStr">
        <is>
          <t>Não iniciado</t>
        </is>
      </c>
      <c r="J149" s="17">
        <f>IF(OR($A149="",(COUNTIF('Clarice'!$B$6:$B$300,$A149)+COUNTIF('Luisa'!$B$6:$B$300,$A149)+COUNTIF('Lui'!$B$6:$B$300,$A149)+COUNTIF('Thaís'!$B$6:$B$300,$A149)+COUNTIF('Daniel'!$B$6:$B$300,$A149)+COUNTIF('Fernando'!$B$6:$B$300,$A149)+COUNTIF('Stephanie'!$B$6:$B$300,$A149)+COUNTIF('Fox'!$B$6:$B$300,$A149)+COUNTIF('Bruna'!$B$6:$B$300,$A149)+COUNTIF('Stella'!$B$6:$B$300,$A149)+COUNTIF('Igor'!$B$6:$B$300,$A149))=0),"",(COUNTIFS('Clarice'!$B$6:$B$300,$A149,'Clarice'!$F$6:$F$300,"Concluído")+COUNTIFS('Luisa'!$B$6:$B$300,$A149,'Luisa'!$F$6:$F$300,"Concluído")+COUNTIFS('Lui'!$B$6:$B$300,$A149,'Lui'!$F$6:$F$300,"Concluído")+COUNTIFS('Thaís'!$B$6:$B$300,$A149,'Thaís'!$F$6:$F$300,"Concluído")+COUNTIFS('Daniel'!$B$6:$B$300,$A149,'Daniel'!$F$6:$F$300,"Concluído")+COUNTIFS('Fernando'!$B$6:$B$300,$A149,'Fernando'!$F$6:$F$300,"Concluído")+COUNTIFS('Stephanie'!$B$6:$B$300,$A149,'Stephanie'!$F$6:$F$300,"Concluído")+COUNTIFS('Fox'!$B$6:$B$300,$A149,'Fox'!$F$6:$F$300,"Concluído")+COUNTIFS('Bruna'!$B$6:$B$300,$A149,'Bruna'!$F$6:$F$300,"Concluído")+COUNTIFS('Stella'!$B$6:$B$300,$A149,'Stella'!$F$6:$F$300,"Concluído")+COUNTIFS('Igor'!$B$6:$B$300,$A149,'Igor'!$F$6:$F$300,"Concluído"))&amp;" / "&amp;(COUNTIF('Clarice'!$B$6:$B$300,$A149)+COUNTIF('Luisa'!$B$6:$B$300,$A149)+COUNTIF('Lui'!$B$6:$B$300,$A149)+COUNTIF('Thaís'!$B$6:$B$300,$A149)+COUNTIF('Daniel'!$B$6:$B$300,$A149)+COUNTIF('Fernando'!$B$6:$B$300,$A149)+COUNTIF('Stephanie'!$B$6:$B$300,$A149)+COUNTIF('Fox'!$B$6:$B$300,$A149)+COUNTIF('Bruna'!$B$6:$B$300,$A149)+COUNTIF('Stella'!$B$6:$B$300,$A149)+COUNTIF('Igor'!$B$6:$B$300,$A149)))</f>
        <v/>
      </c>
      <c r="K149" s="18" t="n">
        <v>46223</v>
      </c>
      <c r="L149" s="18" t="n">
        <v>46227</v>
      </c>
      <c r="M149" s="19" t="n"/>
      <c r="N149" s="19" t="n"/>
      <c r="O149" s="19" t="n"/>
      <c r="P149" s="20">
        <f>IF($A149="","",IF(M149&lt;&gt;"",M149,IF(K149&lt;&gt;"",K149,"")))</f>
        <v/>
      </c>
      <c r="Q149" s="20">
        <f>IF($A149="","",IF(N149&lt;&gt;"",N149,IF(L149&lt;&gt;"",L149,"")))</f>
        <v/>
      </c>
      <c r="R149" s="15" t="n"/>
      <c r="S149" s="16">
        <f t="array" ref="S149">IF($A149="","",_xlfn.TEXTJOIN(CHAR(10),TRUE,IF('Clarice'!$B$6:$B$300=$A149,"Clarice"&amp;IF('Clarice'!$E$6:$E$300="",""," : "&amp;'Clarice'!$E$6:$E$300)&amp;" ["&amp;'Clarice'!$F$6:$F$300&amp;"]",""),IF('Luisa'!$B$6:$B$300=$A149,"Luisa"&amp;IF('Luisa'!$E$6:$E$300="",""," : "&amp;'Luisa'!$E$6:$E$300)&amp;" ["&amp;'Luisa'!$F$6:$F$300&amp;"]",""),IF('Lui'!$B$6:$B$300=$A149,"Lui"&amp;IF('Lui'!$E$6:$E$300="",""," : "&amp;'Lui'!$E$6:$E$300)&amp;" ["&amp;'Lui'!$F$6:$F$300&amp;"]",""),IF('Thaís'!$B$6:$B$300=$A149,"Thaís"&amp;IF('Thaís'!$E$6:$E$300="",""," : "&amp;'Thaís'!$E$6:$E$300)&amp;" ["&amp;'Thaís'!$F$6:$F$300&amp;"]",""),IF('Daniel'!$B$6:$B$300=$A149,"Daniel"&amp;IF('Daniel'!$E$6:$E$300="",""," : "&amp;'Daniel'!$E$6:$E$300)&amp;" ["&amp;'Daniel'!$F$6:$F$300&amp;"]",""),IF('Fernando'!$B$6:$B$300=$A149,"Fernando"&amp;IF('Fernando'!$E$6:$E$300="",""," : "&amp;'Fernando'!$E$6:$E$300)&amp;" ["&amp;'Fernando'!$F$6:$F$300&amp;"]",""),IF('Stephanie'!$B$6:$B$300=$A149,"Stephanie"&amp;IF('Stephanie'!$E$6:$E$300="",""," : "&amp;'Stephanie'!$E$6:$E$300)&amp;" ["&amp;'Stephanie'!$F$6:$F$300&amp;"]",""),IF('Fox'!$B$6:$B$300=$A149,"Fox"&amp;IF('Fox'!$E$6:$E$300="",""," : "&amp;'Fox'!$E$6:$E$300)&amp;" ["&amp;'Fox'!$F$6:$F$300&amp;"]",""),IF('Bruna'!$B$6:$B$300=$A149,"Bruna"&amp;IF('Bruna'!$E$6:$E$300="",""," : "&amp;'Bruna'!$E$6:$E$300)&amp;" ["&amp;'Bruna'!$F$6:$F$300&amp;"]",""),IF('Stella'!$B$6:$B$300=$A149,"Stella"&amp;IF('Stella'!$E$6:$E$300="",""," : "&amp;'Stella'!$E$6:$E$300)&amp;" ["&amp;'Stella'!$F$6:$F$300&amp;"]",""),IF('Igor'!$B$6:$B$300=$A149,"Igor"&amp;IF('Igor'!$E$6:$E$300="",""," : "&amp;'Igor'!$E$6:$E$300)&amp;" ["&amp;'Igor'!$F$6:$F$300&amp;"]","")))</f>
        <v/>
      </c>
    </row>
    <row r="150" ht="40.5" customHeight="1">
      <c r="A150" s="13" t="inlineStr">
        <is>
          <t>DM-085</t>
        </is>
      </c>
      <c r="B150" s="14" t="inlineStr">
        <is>
          <t>Etapa 2: Construção das métricas | Atividade 7: Operacionalização das métricas | Atividade 8: Aplicação das métricas</t>
        </is>
      </c>
      <c r="C150" s="14" t="inlineStr">
        <is>
          <t>3. Aplicação da DM</t>
        </is>
      </c>
      <c r="D150" s="14" t="inlineStr">
        <is>
          <t>GR3</t>
        </is>
      </c>
      <c r="E150" s="15" t="inlineStr">
        <is>
          <t>Definir tipo, componente e atributos - fauna (GR3)</t>
        </is>
      </c>
      <c r="F150" s="13" t="inlineStr">
        <is>
          <t>Daniel</t>
        </is>
      </c>
      <c r="G150" s="16">
        <f>IF($A150="","",_xlfn.TEXTJOIN("; ",TRUE,IF(COUNTIF('Clarice'!$B$6:$B$300,$A150)&gt;0,"Clarice",""),IF(COUNTIF('Luisa'!$B$6:$B$300,$A150)&gt;0,"Luisa",""),IF(COUNTIF('Lui'!$B$6:$B$300,$A150)&gt;0,"Lui",""),IF(COUNTIF('Thaís'!$B$6:$B$300,$A150)&gt;0,"Thaís",""),IF(COUNTIF('Daniel'!$B$6:$B$300,$A150)&gt;0,"Daniel",""),IF(COUNTIF('Fernando'!$B$6:$B$300,$A150)&gt;0,"Fernando",""),IF(COUNTIF('Stephanie'!$B$6:$B$300,$A150)&gt;0,"Stephanie",""),IF(COUNTIF('Fox'!$B$6:$B$300,$A150)&gt;0,"Fox",""),IF(COUNTIF('Bruna'!$B$6:$B$300,$A150)&gt;0,"Bruna",""),IF(COUNTIF('Stella'!$B$6:$B$300,$A150)&gt;0,"Stella",""),IF(COUNTIF('Igor'!$B$6:$B$300,$A150)&gt;0,"Igor","")))</f>
        <v/>
      </c>
      <c r="H150" s="13" t="n"/>
      <c r="I150" s="13" t="inlineStr">
        <is>
          <t>Não iniciado</t>
        </is>
      </c>
      <c r="J150" s="17">
        <f>IF(OR($A150="",(COUNTIF('Clarice'!$B$6:$B$300,$A150)+COUNTIF('Luisa'!$B$6:$B$300,$A150)+COUNTIF('Lui'!$B$6:$B$300,$A150)+COUNTIF('Thaís'!$B$6:$B$300,$A150)+COUNTIF('Daniel'!$B$6:$B$300,$A150)+COUNTIF('Fernando'!$B$6:$B$300,$A150)+COUNTIF('Stephanie'!$B$6:$B$300,$A150)+COUNTIF('Fox'!$B$6:$B$300,$A150)+COUNTIF('Bruna'!$B$6:$B$300,$A150)+COUNTIF('Stella'!$B$6:$B$300,$A150)+COUNTIF('Igor'!$B$6:$B$300,$A150))=0),"",(COUNTIFS('Clarice'!$B$6:$B$300,$A150,'Clarice'!$F$6:$F$300,"Concluído")+COUNTIFS('Luisa'!$B$6:$B$300,$A150,'Luisa'!$F$6:$F$300,"Concluído")+COUNTIFS('Lui'!$B$6:$B$300,$A150,'Lui'!$F$6:$F$300,"Concluído")+COUNTIFS('Thaís'!$B$6:$B$300,$A150,'Thaís'!$F$6:$F$300,"Concluído")+COUNTIFS('Daniel'!$B$6:$B$300,$A150,'Daniel'!$F$6:$F$300,"Concluído")+COUNTIFS('Fernando'!$B$6:$B$300,$A150,'Fernando'!$F$6:$F$300,"Concluído")+COUNTIFS('Stephanie'!$B$6:$B$300,$A150,'Stephanie'!$F$6:$F$300,"Concluído")+COUNTIFS('Fox'!$B$6:$B$300,$A150,'Fox'!$F$6:$F$300,"Concluído")+COUNTIFS('Bruna'!$B$6:$B$300,$A150,'Bruna'!$F$6:$F$300,"Concluído")+COUNTIFS('Stella'!$B$6:$B$300,$A150,'Stella'!$F$6:$F$300,"Concluído")+COUNTIFS('Igor'!$B$6:$B$300,$A150,'Igor'!$F$6:$F$300,"Concluído"))&amp;" / "&amp;(COUNTIF('Clarice'!$B$6:$B$300,$A150)+COUNTIF('Luisa'!$B$6:$B$300,$A150)+COUNTIF('Lui'!$B$6:$B$300,$A150)+COUNTIF('Thaís'!$B$6:$B$300,$A150)+COUNTIF('Daniel'!$B$6:$B$300,$A150)+COUNTIF('Fernando'!$B$6:$B$300,$A150)+COUNTIF('Stephanie'!$B$6:$B$300,$A150)+COUNTIF('Fox'!$B$6:$B$300,$A150)+COUNTIF('Bruna'!$B$6:$B$300,$A150)+COUNTIF('Stella'!$B$6:$B$300,$A150)+COUNTIF('Igor'!$B$6:$B$300,$A150)))</f>
        <v/>
      </c>
      <c r="K150" s="18" t="n">
        <v>46223</v>
      </c>
      <c r="L150" s="18" t="n">
        <v>46227</v>
      </c>
      <c r="M150" s="19" t="n"/>
      <c r="N150" s="19" t="n"/>
      <c r="O150" s="19" t="n"/>
      <c r="P150" s="20">
        <f>IF($A150="","",IF(M150&lt;&gt;"",M150,IF(K150&lt;&gt;"",K150,"")))</f>
        <v/>
      </c>
      <c r="Q150" s="20">
        <f>IF($A150="","",IF(N150&lt;&gt;"",N150,IF(L150&lt;&gt;"",L150,"")))</f>
        <v/>
      </c>
      <c r="R150" s="15" t="n"/>
      <c r="S150" s="16">
        <f t="array" ref="S150">IF($A150="","",_xlfn.TEXTJOIN(CHAR(10),TRUE,IF('Clarice'!$B$6:$B$300=$A150,"Clarice"&amp;IF('Clarice'!$E$6:$E$300="",""," : "&amp;'Clarice'!$E$6:$E$300)&amp;" ["&amp;'Clarice'!$F$6:$F$300&amp;"]",""),IF('Luisa'!$B$6:$B$300=$A150,"Luisa"&amp;IF('Luisa'!$E$6:$E$300="",""," : "&amp;'Luisa'!$E$6:$E$300)&amp;" ["&amp;'Luisa'!$F$6:$F$300&amp;"]",""),IF('Lui'!$B$6:$B$300=$A150,"Lui"&amp;IF('Lui'!$E$6:$E$300="",""," : "&amp;'Lui'!$E$6:$E$300)&amp;" ["&amp;'Lui'!$F$6:$F$300&amp;"]",""),IF('Thaís'!$B$6:$B$300=$A150,"Thaís"&amp;IF('Thaís'!$E$6:$E$300="",""," : "&amp;'Thaís'!$E$6:$E$300)&amp;" ["&amp;'Thaís'!$F$6:$F$300&amp;"]",""),IF('Daniel'!$B$6:$B$300=$A150,"Daniel"&amp;IF('Daniel'!$E$6:$E$300="",""," : "&amp;'Daniel'!$E$6:$E$300)&amp;" ["&amp;'Daniel'!$F$6:$F$300&amp;"]",""),IF('Fernando'!$B$6:$B$300=$A150,"Fernando"&amp;IF('Fernando'!$E$6:$E$300="",""," : "&amp;'Fernando'!$E$6:$E$300)&amp;" ["&amp;'Fernando'!$F$6:$F$300&amp;"]",""),IF('Stephanie'!$B$6:$B$300=$A150,"Stephanie"&amp;IF('Stephanie'!$E$6:$E$300="",""," : "&amp;'Stephanie'!$E$6:$E$300)&amp;" ["&amp;'Stephanie'!$F$6:$F$300&amp;"]",""),IF('Fox'!$B$6:$B$300=$A150,"Fox"&amp;IF('Fox'!$E$6:$E$300="",""," : "&amp;'Fox'!$E$6:$E$300)&amp;" ["&amp;'Fox'!$F$6:$F$300&amp;"]",""),IF('Bruna'!$B$6:$B$300=$A150,"Bruna"&amp;IF('Bruna'!$E$6:$E$300="",""," : "&amp;'Bruna'!$E$6:$E$300)&amp;" ["&amp;'Bruna'!$F$6:$F$300&amp;"]",""),IF('Stella'!$B$6:$B$300=$A150,"Stella"&amp;IF('Stella'!$E$6:$E$300="",""," : "&amp;'Stella'!$E$6:$E$300)&amp;" ["&amp;'Stella'!$F$6:$F$300&amp;"]",""),IF('Igor'!$B$6:$B$300=$A150,"Igor"&amp;IF('Igor'!$E$6:$E$300="",""," : "&amp;'Igor'!$E$6:$E$300)&amp;" ["&amp;'Igor'!$F$6:$F$300&amp;"]","")))</f>
        <v/>
      </c>
    </row>
    <row r="151" ht="40.5" customHeight="1">
      <c r="A151" s="13" t="inlineStr">
        <is>
          <t>DM-086</t>
        </is>
      </c>
      <c r="B151" s="14" t="inlineStr">
        <is>
          <t>Etapa 2: Construção das métricas | Atividade 7: Operacionalização das métricas | Atividade 8: Aplicação das métricas</t>
        </is>
      </c>
      <c r="C151" s="14" t="inlineStr">
        <is>
          <t>3. Aplicação da DM</t>
        </is>
      </c>
      <c r="D151" s="14" t="inlineStr">
        <is>
          <t>GR3</t>
        </is>
      </c>
      <c r="E151" s="15" t="inlineStr">
        <is>
          <t>Definir quais dados serão usados para cálcular perdas e ganhos - fauna (GR3)</t>
        </is>
      </c>
      <c r="F151" s="13" t="inlineStr">
        <is>
          <t>Daniel</t>
        </is>
      </c>
      <c r="G151" s="16">
        <f>IF($A151="","",_xlfn.TEXTJOIN("; ",TRUE,IF(COUNTIF('Clarice'!$B$6:$B$300,$A151)&gt;0,"Clarice",""),IF(COUNTIF('Luisa'!$B$6:$B$300,$A151)&gt;0,"Luisa",""),IF(COUNTIF('Lui'!$B$6:$B$300,$A151)&gt;0,"Lui",""),IF(COUNTIF('Thaís'!$B$6:$B$300,$A151)&gt;0,"Thaís",""),IF(COUNTIF('Daniel'!$B$6:$B$300,$A151)&gt;0,"Daniel",""),IF(COUNTIF('Fernando'!$B$6:$B$300,$A151)&gt;0,"Fernando",""),IF(COUNTIF('Stephanie'!$B$6:$B$300,$A151)&gt;0,"Stephanie",""),IF(COUNTIF('Fox'!$B$6:$B$300,$A151)&gt;0,"Fox",""),IF(COUNTIF('Bruna'!$B$6:$B$300,$A151)&gt;0,"Bruna",""),IF(COUNTIF('Stella'!$B$6:$B$300,$A151)&gt;0,"Stella",""),IF(COUNTIF('Igor'!$B$6:$B$300,$A151)&gt;0,"Igor","")))</f>
        <v/>
      </c>
      <c r="H151" s="13" t="n"/>
      <c r="I151" s="13" t="inlineStr">
        <is>
          <t>Não iniciado</t>
        </is>
      </c>
      <c r="J151" s="17">
        <f>IF(OR($A151="",(COUNTIF('Clarice'!$B$6:$B$300,$A151)+COUNTIF('Luisa'!$B$6:$B$300,$A151)+COUNTIF('Lui'!$B$6:$B$300,$A151)+COUNTIF('Thaís'!$B$6:$B$300,$A151)+COUNTIF('Daniel'!$B$6:$B$300,$A151)+COUNTIF('Fernando'!$B$6:$B$300,$A151)+COUNTIF('Stephanie'!$B$6:$B$300,$A151)+COUNTIF('Fox'!$B$6:$B$300,$A151)+COUNTIF('Bruna'!$B$6:$B$300,$A151)+COUNTIF('Stella'!$B$6:$B$300,$A151)+COUNTIF('Igor'!$B$6:$B$300,$A151))=0),"",(COUNTIFS('Clarice'!$B$6:$B$300,$A151,'Clarice'!$F$6:$F$300,"Concluído")+COUNTIFS('Luisa'!$B$6:$B$300,$A151,'Luisa'!$F$6:$F$300,"Concluído")+COUNTIFS('Lui'!$B$6:$B$300,$A151,'Lui'!$F$6:$F$300,"Concluído")+COUNTIFS('Thaís'!$B$6:$B$300,$A151,'Thaís'!$F$6:$F$300,"Concluído")+COUNTIFS('Daniel'!$B$6:$B$300,$A151,'Daniel'!$F$6:$F$300,"Concluído")+COUNTIFS('Fernando'!$B$6:$B$300,$A151,'Fernando'!$F$6:$F$300,"Concluído")+COUNTIFS('Stephanie'!$B$6:$B$300,$A151,'Stephanie'!$F$6:$F$300,"Concluído")+COUNTIFS('Fox'!$B$6:$B$300,$A151,'Fox'!$F$6:$F$300,"Concluído")+COUNTIFS('Bruna'!$B$6:$B$300,$A151,'Bruna'!$F$6:$F$300,"Concluído")+COUNTIFS('Stella'!$B$6:$B$300,$A151,'Stella'!$F$6:$F$300,"Concluído")+COUNTIFS('Igor'!$B$6:$B$300,$A151,'Igor'!$F$6:$F$300,"Concluído"))&amp;" / "&amp;(COUNTIF('Clarice'!$B$6:$B$300,$A151)+COUNTIF('Luisa'!$B$6:$B$300,$A151)+COUNTIF('Lui'!$B$6:$B$300,$A151)+COUNTIF('Thaís'!$B$6:$B$300,$A151)+COUNTIF('Daniel'!$B$6:$B$300,$A151)+COUNTIF('Fernando'!$B$6:$B$300,$A151)+COUNTIF('Stephanie'!$B$6:$B$300,$A151)+COUNTIF('Fox'!$B$6:$B$300,$A151)+COUNTIF('Bruna'!$B$6:$B$300,$A151)+COUNTIF('Stella'!$B$6:$B$300,$A151)+COUNTIF('Igor'!$B$6:$B$300,$A151)))</f>
        <v/>
      </c>
      <c r="K151" s="18" t="n">
        <v>46230</v>
      </c>
      <c r="L151" s="18" t="n">
        <v>46234</v>
      </c>
      <c r="M151" s="19" t="n"/>
      <c r="N151" s="19" t="n"/>
      <c r="O151" s="19" t="n"/>
      <c r="P151" s="20">
        <f>IF($A151="","",IF(M151&lt;&gt;"",M151,IF(K151&lt;&gt;"",K151,"")))</f>
        <v/>
      </c>
      <c r="Q151" s="20">
        <f>IF($A151="","",IF(N151&lt;&gt;"",N151,IF(L151&lt;&gt;"",L151,"")))</f>
        <v/>
      </c>
      <c r="R151" s="15" t="n"/>
      <c r="S151" s="16">
        <f t="array" ref="S151">IF($A151="","",_xlfn.TEXTJOIN(CHAR(10),TRUE,IF('Clarice'!$B$6:$B$300=$A151,"Clarice"&amp;IF('Clarice'!$E$6:$E$300="",""," : "&amp;'Clarice'!$E$6:$E$300)&amp;" ["&amp;'Clarice'!$F$6:$F$300&amp;"]",""),IF('Luisa'!$B$6:$B$300=$A151,"Luisa"&amp;IF('Luisa'!$E$6:$E$300="",""," : "&amp;'Luisa'!$E$6:$E$300)&amp;" ["&amp;'Luisa'!$F$6:$F$300&amp;"]",""),IF('Lui'!$B$6:$B$300=$A151,"Lui"&amp;IF('Lui'!$E$6:$E$300="",""," : "&amp;'Lui'!$E$6:$E$300)&amp;" ["&amp;'Lui'!$F$6:$F$300&amp;"]",""),IF('Thaís'!$B$6:$B$300=$A151,"Thaís"&amp;IF('Thaís'!$E$6:$E$300="",""," : "&amp;'Thaís'!$E$6:$E$300)&amp;" ["&amp;'Thaís'!$F$6:$F$300&amp;"]",""),IF('Daniel'!$B$6:$B$300=$A151,"Daniel"&amp;IF('Daniel'!$E$6:$E$300="",""," : "&amp;'Daniel'!$E$6:$E$300)&amp;" ["&amp;'Daniel'!$F$6:$F$300&amp;"]",""),IF('Fernando'!$B$6:$B$300=$A151,"Fernando"&amp;IF('Fernando'!$E$6:$E$300="",""," : "&amp;'Fernando'!$E$6:$E$300)&amp;" ["&amp;'Fernando'!$F$6:$F$300&amp;"]",""),IF('Stephanie'!$B$6:$B$300=$A151,"Stephanie"&amp;IF('Stephanie'!$E$6:$E$300="",""," : "&amp;'Stephanie'!$E$6:$E$300)&amp;" ["&amp;'Stephanie'!$F$6:$F$300&amp;"]",""),IF('Fox'!$B$6:$B$300=$A151,"Fox"&amp;IF('Fox'!$E$6:$E$300="",""," : "&amp;'Fox'!$E$6:$E$300)&amp;" ["&amp;'Fox'!$F$6:$F$300&amp;"]",""),IF('Bruna'!$B$6:$B$300=$A151,"Bruna"&amp;IF('Bruna'!$E$6:$E$300="",""," : "&amp;'Bruna'!$E$6:$E$300)&amp;" ["&amp;'Bruna'!$F$6:$F$300&amp;"]",""),IF('Stella'!$B$6:$B$300=$A151,"Stella"&amp;IF('Stella'!$E$6:$E$300="",""," : "&amp;'Stella'!$E$6:$E$300)&amp;" ["&amp;'Stella'!$F$6:$F$300&amp;"]",""),IF('Igor'!$B$6:$B$300=$A151,"Igor"&amp;IF('Igor'!$E$6:$E$300="",""," : "&amp;'Igor'!$E$6:$E$300)&amp;" ["&amp;'Igor'!$F$6:$F$300&amp;"]","")))</f>
        <v/>
      </c>
    </row>
    <row r="152" ht="40.5" customHeight="1">
      <c r="A152" s="13" t="inlineStr">
        <is>
          <t>DM-087</t>
        </is>
      </c>
      <c r="B152" s="14" t="inlineStr">
        <is>
          <t>Etapa 2: Construção das métricas | Atividade 7: Operacionalização das métricas | Atividade 8: Aplicação das métricas</t>
        </is>
      </c>
      <c r="C152" s="14" t="inlineStr">
        <is>
          <t>3. Aplicação da DM</t>
        </is>
      </c>
      <c r="D152" s="14" t="inlineStr">
        <is>
          <t>GR3</t>
        </is>
      </c>
      <c r="E152" s="15" t="inlineStr">
        <is>
          <t>Definir parâmetros e fatores de ajuste - fauna (GR3)</t>
        </is>
      </c>
      <c r="F152" s="13" t="inlineStr">
        <is>
          <t>Daniel</t>
        </is>
      </c>
      <c r="G152" s="16">
        <f>IF($A152="","",_xlfn.TEXTJOIN("; ",TRUE,IF(COUNTIF('Clarice'!$B$6:$B$300,$A152)&gt;0,"Clarice",""),IF(COUNTIF('Luisa'!$B$6:$B$300,$A152)&gt;0,"Luisa",""),IF(COUNTIF('Lui'!$B$6:$B$300,$A152)&gt;0,"Lui",""),IF(COUNTIF('Thaís'!$B$6:$B$300,$A152)&gt;0,"Thaís",""),IF(COUNTIF('Daniel'!$B$6:$B$300,$A152)&gt;0,"Daniel",""),IF(COUNTIF('Fernando'!$B$6:$B$300,$A152)&gt;0,"Fernando",""),IF(COUNTIF('Stephanie'!$B$6:$B$300,$A152)&gt;0,"Stephanie",""),IF(COUNTIF('Fox'!$B$6:$B$300,$A152)&gt;0,"Fox",""),IF(COUNTIF('Bruna'!$B$6:$B$300,$A152)&gt;0,"Bruna",""),IF(COUNTIF('Stella'!$B$6:$B$300,$A152)&gt;0,"Stella",""),IF(COUNTIF('Igor'!$B$6:$B$300,$A152)&gt;0,"Igor","")))</f>
        <v/>
      </c>
      <c r="H152" s="13" t="n"/>
      <c r="I152" s="13" t="inlineStr">
        <is>
          <t>Não iniciado</t>
        </is>
      </c>
      <c r="J152" s="17">
        <f>IF(OR($A152="",(COUNTIF('Clarice'!$B$6:$B$300,$A152)+COUNTIF('Luisa'!$B$6:$B$300,$A152)+COUNTIF('Lui'!$B$6:$B$300,$A152)+COUNTIF('Thaís'!$B$6:$B$300,$A152)+COUNTIF('Daniel'!$B$6:$B$300,$A152)+COUNTIF('Fernando'!$B$6:$B$300,$A152)+COUNTIF('Stephanie'!$B$6:$B$300,$A152)+COUNTIF('Fox'!$B$6:$B$300,$A152)+COUNTIF('Bruna'!$B$6:$B$300,$A152)+COUNTIF('Stella'!$B$6:$B$300,$A152)+COUNTIF('Igor'!$B$6:$B$300,$A152))=0),"",(COUNTIFS('Clarice'!$B$6:$B$300,$A152,'Clarice'!$F$6:$F$300,"Concluído")+COUNTIFS('Luisa'!$B$6:$B$300,$A152,'Luisa'!$F$6:$F$300,"Concluído")+COUNTIFS('Lui'!$B$6:$B$300,$A152,'Lui'!$F$6:$F$300,"Concluído")+COUNTIFS('Thaís'!$B$6:$B$300,$A152,'Thaís'!$F$6:$F$300,"Concluído")+COUNTIFS('Daniel'!$B$6:$B$300,$A152,'Daniel'!$F$6:$F$300,"Concluído")+COUNTIFS('Fernando'!$B$6:$B$300,$A152,'Fernando'!$F$6:$F$300,"Concluído")+COUNTIFS('Stephanie'!$B$6:$B$300,$A152,'Stephanie'!$F$6:$F$300,"Concluído")+COUNTIFS('Fox'!$B$6:$B$300,$A152,'Fox'!$F$6:$F$300,"Concluído")+COUNTIFS('Bruna'!$B$6:$B$300,$A152,'Bruna'!$F$6:$F$300,"Concluído")+COUNTIFS('Stella'!$B$6:$B$300,$A152,'Stella'!$F$6:$F$300,"Concluído")+COUNTIFS('Igor'!$B$6:$B$300,$A152,'Igor'!$F$6:$F$300,"Concluído"))&amp;" / "&amp;(COUNTIF('Clarice'!$B$6:$B$300,$A152)+COUNTIF('Luisa'!$B$6:$B$300,$A152)+COUNTIF('Lui'!$B$6:$B$300,$A152)+COUNTIF('Thaís'!$B$6:$B$300,$A152)+COUNTIF('Daniel'!$B$6:$B$300,$A152)+COUNTIF('Fernando'!$B$6:$B$300,$A152)+COUNTIF('Stephanie'!$B$6:$B$300,$A152)+COUNTIF('Fox'!$B$6:$B$300,$A152)+COUNTIF('Bruna'!$B$6:$B$300,$A152)+COUNTIF('Stella'!$B$6:$B$300,$A152)+COUNTIF('Igor'!$B$6:$B$300,$A152)))</f>
        <v/>
      </c>
      <c r="K152" s="18" t="n">
        <v>46230</v>
      </c>
      <c r="L152" s="18" t="n">
        <v>46234</v>
      </c>
      <c r="M152" s="19" t="n"/>
      <c r="N152" s="19" t="n"/>
      <c r="O152" s="19" t="n"/>
      <c r="P152" s="20">
        <f>IF($A152="","",IF(M152&lt;&gt;"",M152,IF(K152&lt;&gt;"",K152,"")))</f>
        <v/>
      </c>
      <c r="Q152" s="20">
        <f>IF($A152="","",IF(N152&lt;&gt;"",N152,IF(L152&lt;&gt;"",L152,"")))</f>
        <v/>
      </c>
      <c r="R152" s="15" t="n"/>
      <c r="S152" s="16">
        <f t="array" ref="S152">IF($A152="","",_xlfn.TEXTJOIN(CHAR(10),TRUE,IF('Clarice'!$B$6:$B$300=$A152,"Clarice"&amp;IF('Clarice'!$E$6:$E$300="",""," : "&amp;'Clarice'!$E$6:$E$300)&amp;" ["&amp;'Clarice'!$F$6:$F$300&amp;"]",""),IF('Luisa'!$B$6:$B$300=$A152,"Luisa"&amp;IF('Luisa'!$E$6:$E$300="",""," : "&amp;'Luisa'!$E$6:$E$300)&amp;" ["&amp;'Luisa'!$F$6:$F$300&amp;"]",""),IF('Lui'!$B$6:$B$300=$A152,"Lui"&amp;IF('Lui'!$E$6:$E$300="",""," : "&amp;'Lui'!$E$6:$E$300)&amp;" ["&amp;'Lui'!$F$6:$F$300&amp;"]",""),IF('Thaís'!$B$6:$B$300=$A152,"Thaís"&amp;IF('Thaís'!$E$6:$E$300="",""," : "&amp;'Thaís'!$E$6:$E$300)&amp;" ["&amp;'Thaís'!$F$6:$F$300&amp;"]",""),IF('Daniel'!$B$6:$B$300=$A152,"Daniel"&amp;IF('Daniel'!$E$6:$E$300="",""," : "&amp;'Daniel'!$E$6:$E$300)&amp;" ["&amp;'Daniel'!$F$6:$F$300&amp;"]",""),IF('Fernando'!$B$6:$B$300=$A152,"Fernando"&amp;IF('Fernando'!$E$6:$E$300="",""," : "&amp;'Fernando'!$E$6:$E$300)&amp;" ["&amp;'Fernando'!$F$6:$F$300&amp;"]",""),IF('Stephanie'!$B$6:$B$300=$A152,"Stephanie"&amp;IF('Stephanie'!$E$6:$E$300="",""," : "&amp;'Stephanie'!$E$6:$E$300)&amp;" ["&amp;'Stephanie'!$F$6:$F$300&amp;"]",""),IF('Fox'!$B$6:$B$300=$A152,"Fox"&amp;IF('Fox'!$E$6:$E$300="",""," : "&amp;'Fox'!$E$6:$E$300)&amp;" ["&amp;'Fox'!$F$6:$F$300&amp;"]",""),IF('Bruna'!$B$6:$B$300=$A152,"Bruna"&amp;IF('Bruna'!$E$6:$E$300="",""," : "&amp;'Bruna'!$E$6:$E$300)&amp;" ["&amp;'Bruna'!$F$6:$F$300&amp;"]",""),IF('Stella'!$B$6:$B$300=$A152,"Stella"&amp;IF('Stella'!$E$6:$E$300="",""," : "&amp;'Stella'!$E$6:$E$300)&amp;" ["&amp;'Stella'!$F$6:$F$300&amp;"]",""),IF('Igor'!$B$6:$B$300=$A152,"Igor"&amp;IF('Igor'!$E$6:$E$300="",""," : "&amp;'Igor'!$E$6:$E$300)&amp;" ["&amp;'Igor'!$F$6:$F$300&amp;"]","")))</f>
        <v/>
      </c>
    </row>
    <row r="153" ht="40.5" customHeight="1">
      <c r="A153" s="13" t="inlineStr">
        <is>
          <t>DM-088</t>
        </is>
      </c>
      <c r="B153" s="14" t="inlineStr">
        <is>
          <t>Etapa 2: Construção das métricas | Atividade 7: Operacionalização das métricas | Atividade 8: Aplicação das métricas</t>
        </is>
      </c>
      <c r="C153" s="14" t="inlineStr">
        <is>
          <t>3. Aplicação da DM</t>
        </is>
      </c>
      <c r="D153" s="14" t="inlineStr">
        <is>
          <t>GR3</t>
        </is>
      </c>
      <c r="E153" s="15" t="inlineStr">
        <is>
          <t>Estruturação dos cálculos no excel - fauna (GR3)</t>
        </is>
      </c>
      <c r="F153" s="13" t="inlineStr">
        <is>
          <t>Daniel</t>
        </is>
      </c>
      <c r="G153" s="16">
        <f>IF($A153="","",_xlfn.TEXTJOIN("; ",TRUE,IF(COUNTIF('Clarice'!$B$6:$B$300,$A153)&gt;0,"Clarice",""),IF(COUNTIF('Luisa'!$B$6:$B$300,$A153)&gt;0,"Luisa",""),IF(COUNTIF('Lui'!$B$6:$B$300,$A153)&gt;0,"Lui",""),IF(COUNTIF('Thaís'!$B$6:$B$300,$A153)&gt;0,"Thaís",""),IF(COUNTIF('Daniel'!$B$6:$B$300,$A153)&gt;0,"Daniel",""),IF(COUNTIF('Fernando'!$B$6:$B$300,$A153)&gt;0,"Fernando",""),IF(COUNTIF('Stephanie'!$B$6:$B$300,$A153)&gt;0,"Stephanie",""),IF(COUNTIF('Fox'!$B$6:$B$300,$A153)&gt;0,"Fox",""),IF(COUNTIF('Bruna'!$B$6:$B$300,$A153)&gt;0,"Bruna",""),IF(COUNTIF('Stella'!$B$6:$B$300,$A153)&gt;0,"Stella",""),IF(COUNTIF('Igor'!$B$6:$B$300,$A153)&gt;0,"Igor","")))</f>
        <v/>
      </c>
      <c r="H153" s="13" t="n"/>
      <c r="I153" s="13" t="inlineStr">
        <is>
          <t>Não iniciado</t>
        </is>
      </c>
      <c r="J153" s="17">
        <f>IF(OR($A153="",(COUNTIF('Clarice'!$B$6:$B$300,$A153)+COUNTIF('Luisa'!$B$6:$B$300,$A153)+COUNTIF('Lui'!$B$6:$B$300,$A153)+COUNTIF('Thaís'!$B$6:$B$300,$A153)+COUNTIF('Daniel'!$B$6:$B$300,$A153)+COUNTIF('Fernando'!$B$6:$B$300,$A153)+COUNTIF('Stephanie'!$B$6:$B$300,$A153)+COUNTIF('Fox'!$B$6:$B$300,$A153)+COUNTIF('Bruna'!$B$6:$B$300,$A153)+COUNTIF('Stella'!$B$6:$B$300,$A153)+COUNTIF('Igor'!$B$6:$B$300,$A153))=0),"",(COUNTIFS('Clarice'!$B$6:$B$300,$A153,'Clarice'!$F$6:$F$300,"Concluído")+COUNTIFS('Luisa'!$B$6:$B$300,$A153,'Luisa'!$F$6:$F$300,"Concluído")+COUNTIFS('Lui'!$B$6:$B$300,$A153,'Lui'!$F$6:$F$300,"Concluído")+COUNTIFS('Thaís'!$B$6:$B$300,$A153,'Thaís'!$F$6:$F$300,"Concluído")+COUNTIFS('Daniel'!$B$6:$B$300,$A153,'Daniel'!$F$6:$F$300,"Concluído")+COUNTIFS('Fernando'!$B$6:$B$300,$A153,'Fernando'!$F$6:$F$300,"Concluído")+COUNTIFS('Stephanie'!$B$6:$B$300,$A153,'Stephanie'!$F$6:$F$300,"Concluído")+COUNTIFS('Fox'!$B$6:$B$300,$A153,'Fox'!$F$6:$F$300,"Concluído")+COUNTIFS('Bruna'!$B$6:$B$300,$A153,'Bruna'!$F$6:$F$300,"Concluído")+COUNTIFS('Stella'!$B$6:$B$300,$A153,'Stella'!$F$6:$F$300,"Concluído")+COUNTIFS('Igor'!$B$6:$B$300,$A153,'Igor'!$F$6:$F$300,"Concluído"))&amp;" / "&amp;(COUNTIF('Clarice'!$B$6:$B$300,$A153)+COUNTIF('Luisa'!$B$6:$B$300,$A153)+COUNTIF('Lui'!$B$6:$B$300,$A153)+COUNTIF('Thaís'!$B$6:$B$300,$A153)+COUNTIF('Daniel'!$B$6:$B$300,$A153)+COUNTIF('Fernando'!$B$6:$B$300,$A153)+COUNTIF('Stephanie'!$B$6:$B$300,$A153)+COUNTIF('Fox'!$B$6:$B$300,$A153)+COUNTIF('Bruna'!$B$6:$B$300,$A153)+COUNTIF('Stella'!$B$6:$B$300,$A153)+COUNTIF('Igor'!$B$6:$B$300,$A153)))</f>
        <v/>
      </c>
      <c r="K153" s="18" t="n">
        <v>46237</v>
      </c>
      <c r="L153" s="18" t="n">
        <v>46241</v>
      </c>
      <c r="M153" s="19" t="n"/>
      <c r="N153" s="19" t="n"/>
      <c r="O153" s="19" t="n"/>
      <c r="P153" s="20">
        <f>IF($A153="","",IF(M153&lt;&gt;"",M153,IF(K153&lt;&gt;"",K153,"")))</f>
        <v/>
      </c>
      <c r="Q153" s="20">
        <f>IF($A153="","",IF(N153&lt;&gt;"",N153,IF(L153&lt;&gt;"",L153,"")))</f>
        <v/>
      </c>
      <c r="R153" s="15" t="n"/>
      <c r="S153" s="16">
        <f t="array" ref="S153">IF($A153="","",_xlfn.TEXTJOIN(CHAR(10),TRUE,IF('Clarice'!$B$6:$B$300=$A153,"Clarice"&amp;IF('Clarice'!$E$6:$E$300="",""," : "&amp;'Clarice'!$E$6:$E$300)&amp;" ["&amp;'Clarice'!$F$6:$F$300&amp;"]",""),IF('Luisa'!$B$6:$B$300=$A153,"Luisa"&amp;IF('Luisa'!$E$6:$E$300="",""," : "&amp;'Luisa'!$E$6:$E$300)&amp;" ["&amp;'Luisa'!$F$6:$F$300&amp;"]",""),IF('Lui'!$B$6:$B$300=$A153,"Lui"&amp;IF('Lui'!$E$6:$E$300="",""," : "&amp;'Lui'!$E$6:$E$300)&amp;" ["&amp;'Lui'!$F$6:$F$300&amp;"]",""),IF('Thaís'!$B$6:$B$300=$A153,"Thaís"&amp;IF('Thaís'!$E$6:$E$300="",""," : "&amp;'Thaís'!$E$6:$E$300)&amp;" ["&amp;'Thaís'!$F$6:$F$300&amp;"]",""),IF('Daniel'!$B$6:$B$300=$A153,"Daniel"&amp;IF('Daniel'!$E$6:$E$300="",""," : "&amp;'Daniel'!$E$6:$E$300)&amp;" ["&amp;'Daniel'!$F$6:$F$300&amp;"]",""),IF('Fernando'!$B$6:$B$300=$A153,"Fernando"&amp;IF('Fernando'!$E$6:$E$300="",""," : "&amp;'Fernando'!$E$6:$E$300)&amp;" ["&amp;'Fernando'!$F$6:$F$300&amp;"]",""),IF('Stephanie'!$B$6:$B$300=$A153,"Stephanie"&amp;IF('Stephanie'!$E$6:$E$300="",""," : "&amp;'Stephanie'!$E$6:$E$300)&amp;" ["&amp;'Stephanie'!$F$6:$F$300&amp;"]",""),IF('Fox'!$B$6:$B$300=$A153,"Fox"&amp;IF('Fox'!$E$6:$E$300="",""," : "&amp;'Fox'!$E$6:$E$300)&amp;" ["&amp;'Fox'!$F$6:$F$300&amp;"]",""),IF('Bruna'!$B$6:$B$300=$A153,"Bruna"&amp;IF('Bruna'!$E$6:$E$300="",""," : "&amp;'Bruna'!$E$6:$E$300)&amp;" ["&amp;'Bruna'!$F$6:$F$300&amp;"]",""),IF('Stella'!$B$6:$B$300=$A153,"Stella"&amp;IF('Stella'!$E$6:$E$300="",""," : "&amp;'Stella'!$E$6:$E$300)&amp;" ["&amp;'Stella'!$F$6:$F$300&amp;"]",""),IF('Igor'!$B$6:$B$300=$A153,"Igor"&amp;IF('Igor'!$E$6:$E$300="",""," : "&amp;'Igor'!$E$6:$E$300)&amp;" ["&amp;'Igor'!$F$6:$F$300&amp;"]","")))</f>
        <v/>
      </c>
    </row>
    <row r="154" ht="15.5" customHeight="1">
      <c r="A154" s="13" t="inlineStr">
        <is>
          <t>DM-089</t>
        </is>
      </c>
      <c r="B154" s="14" t="inlineStr">
        <is>
          <t>Etapa 2: Construção das métricas | Atividade 7: Operacionalização das métricas | Atividade 8: Aplicação das métricas</t>
        </is>
      </c>
      <c r="C154" s="14" t="inlineStr">
        <is>
          <t>3. Aplicação da DM</t>
        </is>
      </c>
      <c r="D154" s="14" t="inlineStr">
        <is>
          <t>GR3</t>
        </is>
      </c>
      <c r="E154" s="15" t="inlineStr">
        <is>
          <t>Escrever código R e analisar métrica - fauna (GR3)</t>
        </is>
      </c>
      <c r="F154" s="13" t="inlineStr">
        <is>
          <t>Daniel</t>
        </is>
      </c>
      <c r="G154" s="16">
        <f>IF($A154="","",_xlfn.TEXTJOIN("; ",TRUE,IF(COUNTIF('Clarice'!$B$6:$B$300,$A154)&gt;0,"Clarice",""),IF(COUNTIF('Luisa'!$B$6:$B$300,$A154)&gt;0,"Luisa",""),IF(COUNTIF('Lui'!$B$6:$B$300,$A154)&gt;0,"Lui",""),IF(COUNTIF('Thaís'!$B$6:$B$300,$A154)&gt;0,"Thaís",""),IF(COUNTIF('Daniel'!$B$6:$B$300,$A154)&gt;0,"Daniel",""),IF(COUNTIF('Fernando'!$B$6:$B$300,$A154)&gt;0,"Fernando",""),IF(COUNTIF('Stephanie'!$B$6:$B$300,$A154)&gt;0,"Stephanie",""),IF(COUNTIF('Fox'!$B$6:$B$300,$A154)&gt;0,"Fox",""),IF(COUNTIF('Bruna'!$B$6:$B$300,$A154)&gt;0,"Bruna",""),IF(COUNTIF('Stella'!$B$6:$B$300,$A154)&gt;0,"Stella",""),IF(COUNTIF('Igor'!$B$6:$B$300,$A154)&gt;0,"Igor","")))</f>
        <v/>
      </c>
      <c r="H154" s="13" t="n"/>
      <c r="I154" s="13" t="inlineStr">
        <is>
          <t>Não iniciado</t>
        </is>
      </c>
      <c r="J154" s="17">
        <f>IF(OR($A154="",(COUNTIF('Clarice'!$B$6:$B$300,$A154)+COUNTIF('Luisa'!$B$6:$B$300,$A154)+COUNTIF('Lui'!$B$6:$B$300,$A154)+COUNTIF('Thaís'!$B$6:$B$300,$A154)+COUNTIF('Daniel'!$B$6:$B$300,$A154)+COUNTIF('Fernando'!$B$6:$B$300,$A154)+COUNTIF('Stephanie'!$B$6:$B$300,$A154)+COUNTIF('Fox'!$B$6:$B$300,$A154)+COUNTIF('Bruna'!$B$6:$B$300,$A154)+COUNTIF('Stella'!$B$6:$B$300,$A154)+COUNTIF('Igor'!$B$6:$B$300,$A154))=0),"",(COUNTIFS('Clarice'!$B$6:$B$300,$A154,'Clarice'!$F$6:$F$300,"Concluído")+COUNTIFS('Luisa'!$B$6:$B$300,$A154,'Luisa'!$F$6:$F$300,"Concluído")+COUNTIFS('Lui'!$B$6:$B$300,$A154,'Lui'!$F$6:$F$300,"Concluído")+COUNTIFS('Thaís'!$B$6:$B$300,$A154,'Thaís'!$F$6:$F$300,"Concluído")+COUNTIFS('Daniel'!$B$6:$B$300,$A154,'Daniel'!$F$6:$F$300,"Concluído")+COUNTIFS('Fernando'!$B$6:$B$300,$A154,'Fernando'!$F$6:$F$300,"Concluído")+COUNTIFS('Stephanie'!$B$6:$B$300,$A154,'Stephanie'!$F$6:$F$300,"Concluído")+COUNTIFS('Fox'!$B$6:$B$300,$A154,'Fox'!$F$6:$F$300,"Concluído")+COUNTIFS('Bruna'!$B$6:$B$300,$A154,'Bruna'!$F$6:$F$300,"Concluído")+COUNTIFS('Stella'!$B$6:$B$300,$A154,'Stella'!$F$6:$F$300,"Concluído")+COUNTIFS('Igor'!$B$6:$B$300,$A154,'Igor'!$F$6:$F$300,"Concluído"))&amp;" / "&amp;(COUNTIF('Clarice'!$B$6:$B$300,$A154)+COUNTIF('Luisa'!$B$6:$B$300,$A154)+COUNTIF('Lui'!$B$6:$B$300,$A154)+COUNTIF('Thaís'!$B$6:$B$300,$A154)+COUNTIF('Daniel'!$B$6:$B$300,$A154)+COUNTIF('Fernando'!$B$6:$B$300,$A154)+COUNTIF('Stephanie'!$B$6:$B$300,$A154)+COUNTIF('Fox'!$B$6:$B$300,$A154)+COUNTIF('Bruna'!$B$6:$B$300,$A154)+COUNTIF('Stella'!$B$6:$B$300,$A154)+COUNTIF('Igor'!$B$6:$B$300,$A154)))</f>
        <v/>
      </c>
      <c r="K154" s="18" t="n">
        <v>46237</v>
      </c>
      <c r="L154" s="18" t="n">
        <v>46241</v>
      </c>
      <c r="M154" s="19" t="n"/>
      <c r="N154" s="19" t="n"/>
      <c r="O154" s="19" t="n"/>
      <c r="P154" s="20">
        <f>IF($A154="","",IF(M154&lt;&gt;"",M154,IF(K154&lt;&gt;"",K154,"")))</f>
        <v/>
      </c>
      <c r="Q154" s="20">
        <f>IF($A154="","",IF(N154&lt;&gt;"",N154,IF(L154&lt;&gt;"",L154,"")))</f>
        <v/>
      </c>
      <c r="R154" s="15" t="n"/>
      <c r="S154" s="16">
        <f t="array" ref="S154">IF($A154="","",_xlfn.TEXTJOIN(CHAR(10),TRUE,IF('Clarice'!$B$6:$B$300=$A154,"Clarice"&amp;IF('Clarice'!$E$6:$E$300="",""," : "&amp;'Clarice'!$E$6:$E$300)&amp;" ["&amp;'Clarice'!$F$6:$F$300&amp;"]",""),IF('Luisa'!$B$6:$B$300=$A154,"Luisa"&amp;IF('Luisa'!$E$6:$E$300="",""," : "&amp;'Luisa'!$E$6:$E$300)&amp;" ["&amp;'Luisa'!$F$6:$F$300&amp;"]",""),IF('Lui'!$B$6:$B$300=$A154,"Lui"&amp;IF('Lui'!$E$6:$E$300="",""," : "&amp;'Lui'!$E$6:$E$300)&amp;" ["&amp;'Lui'!$F$6:$F$300&amp;"]",""),IF('Thaís'!$B$6:$B$300=$A154,"Thaís"&amp;IF('Thaís'!$E$6:$E$300="",""," : "&amp;'Thaís'!$E$6:$E$300)&amp;" ["&amp;'Thaís'!$F$6:$F$300&amp;"]",""),IF('Daniel'!$B$6:$B$300=$A154,"Daniel"&amp;IF('Daniel'!$E$6:$E$300="",""," : "&amp;'Daniel'!$E$6:$E$300)&amp;" ["&amp;'Daniel'!$F$6:$F$300&amp;"]",""),IF('Fernando'!$B$6:$B$300=$A154,"Fernando"&amp;IF('Fernando'!$E$6:$E$300="",""," : "&amp;'Fernando'!$E$6:$E$300)&amp;" ["&amp;'Fernando'!$F$6:$F$300&amp;"]",""),IF('Stephanie'!$B$6:$B$300=$A154,"Stephanie"&amp;IF('Stephanie'!$E$6:$E$300="",""," : "&amp;'Stephanie'!$E$6:$E$300)&amp;" ["&amp;'Stephanie'!$F$6:$F$300&amp;"]",""),IF('Fox'!$B$6:$B$300=$A154,"Fox"&amp;IF('Fox'!$E$6:$E$300="",""," : "&amp;'Fox'!$E$6:$E$300)&amp;" ["&amp;'Fox'!$F$6:$F$300&amp;"]",""),IF('Bruna'!$B$6:$B$300=$A154,"Bruna"&amp;IF('Bruna'!$E$6:$E$300="",""," : "&amp;'Bruna'!$E$6:$E$300)&amp;" ["&amp;'Bruna'!$F$6:$F$300&amp;"]",""),IF('Stella'!$B$6:$B$300=$A154,"Stella"&amp;IF('Stella'!$E$6:$E$300="",""," : "&amp;'Stella'!$E$6:$E$300)&amp;" ["&amp;'Stella'!$F$6:$F$300&amp;"]",""),IF('Igor'!$B$6:$B$300=$A154,"Igor"&amp;IF('Igor'!$E$6:$E$300="",""," : "&amp;'Igor'!$E$6:$E$300)&amp;" ["&amp;'Igor'!$F$6:$F$300&amp;"]","")))</f>
        <v/>
      </c>
    </row>
    <row r="155" ht="40.5" customHeight="1">
      <c r="A155" s="13" t="inlineStr">
        <is>
          <t>DM-090</t>
        </is>
      </c>
      <c r="B155" s="14" t="inlineStr">
        <is>
          <t>Etapa 2: Construção das métricas | Atividade 7: Operacionalização das métricas | Atividade 8: Aplicação das métricas</t>
        </is>
      </c>
      <c r="C155" s="14" t="inlineStr">
        <is>
          <t>3. Aplicação da DM</t>
        </is>
      </c>
      <c r="D155" s="14" t="inlineStr">
        <is>
          <t>GR3</t>
        </is>
      </c>
      <c r="E155" s="15" t="inlineStr">
        <is>
          <t>Apresentar e consolidar os resultados internamente - fauna (GR3)</t>
        </is>
      </c>
      <c r="F155" s="13" t="inlineStr">
        <is>
          <t>Daniel</t>
        </is>
      </c>
      <c r="G155" s="16">
        <f>IF($A155="","",_xlfn.TEXTJOIN("; ",TRUE,IF(COUNTIF('Clarice'!$B$6:$B$300,$A155)&gt;0,"Clarice",""),IF(COUNTIF('Luisa'!$B$6:$B$300,$A155)&gt;0,"Luisa",""),IF(COUNTIF('Lui'!$B$6:$B$300,$A155)&gt;0,"Lui",""),IF(COUNTIF('Thaís'!$B$6:$B$300,$A155)&gt;0,"Thaís",""),IF(COUNTIF('Daniel'!$B$6:$B$300,$A155)&gt;0,"Daniel",""),IF(COUNTIF('Fernando'!$B$6:$B$300,$A155)&gt;0,"Fernando",""),IF(COUNTIF('Stephanie'!$B$6:$B$300,$A155)&gt;0,"Stephanie",""),IF(COUNTIF('Fox'!$B$6:$B$300,$A155)&gt;0,"Fox",""),IF(COUNTIF('Bruna'!$B$6:$B$300,$A155)&gt;0,"Bruna",""),IF(COUNTIF('Stella'!$B$6:$B$300,$A155)&gt;0,"Stella",""),IF(COUNTIF('Igor'!$B$6:$B$300,$A155)&gt;0,"Igor","")))</f>
        <v/>
      </c>
      <c r="H155" s="13" t="n"/>
      <c r="I155" s="13" t="inlineStr">
        <is>
          <t>Não iniciado</t>
        </is>
      </c>
      <c r="J155" s="17">
        <f>IF(OR($A155="",(COUNTIF('Clarice'!$B$6:$B$300,$A155)+COUNTIF('Luisa'!$B$6:$B$300,$A155)+COUNTIF('Lui'!$B$6:$B$300,$A155)+COUNTIF('Thaís'!$B$6:$B$300,$A155)+COUNTIF('Daniel'!$B$6:$B$300,$A155)+COUNTIF('Fernando'!$B$6:$B$300,$A155)+COUNTIF('Stephanie'!$B$6:$B$300,$A155)+COUNTIF('Fox'!$B$6:$B$300,$A155)+COUNTIF('Bruna'!$B$6:$B$300,$A155)+COUNTIF('Stella'!$B$6:$B$300,$A155)+COUNTIF('Igor'!$B$6:$B$300,$A155))=0),"",(COUNTIFS('Clarice'!$B$6:$B$300,$A155,'Clarice'!$F$6:$F$300,"Concluído")+COUNTIFS('Luisa'!$B$6:$B$300,$A155,'Luisa'!$F$6:$F$300,"Concluído")+COUNTIFS('Lui'!$B$6:$B$300,$A155,'Lui'!$F$6:$F$300,"Concluído")+COUNTIFS('Thaís'!$B$6:$B$300,$A155,'Thaís'!$F$6:$F$300,"Concluído")+COUNTIFS('Daniel'!$B$6:$B$300,$A155,'Daniel'!$F$6:$F$300,"Concluído")+COUNTIFS('Fernando'!$B$6:$B$300,$A155,'Fernando'!$F$6:$F$300,"Concluído")+COUNTIFS('Stephanie'!$B$6:$B$300,$A155,'Stephanie'!$F$6:$F$300,"Concluído")+COUNTIFS('Fox'!$B$6:$B$300,$A155,'Fox'!$F$6:$F$300,"Concluído")+COUNTIFS('Bruna'!$B$6:$B$300,$A155,'Bruna'!$F$6:$F$300,"Concluído")+COUNTIFS('Stella'!$B$6:$B$300,$A155,'Stella'!$F$6:$F$300,"Concluído")+COUNTIFS('Igor'!$B$6:$B$300,$A155,'Igor'!$F$6:$F$300,"Concluído"))&amp;" / "&amp;(COUNTIF('Clarice'!$B$6:$B$300,$A155)+COUNTIF('Luisa'!$B$6:$B$300,$A155)+COUNTIF('Lui'!$B$6:$B$300,$A155)+COUNTIF('Thaís'!$B$6:$B$300,$A155)+COUNTIF('Daniel'!$B$6:$B$300,$A155)+COUNTIF('Fernando'!$B$6:$B$300,$A155)+COUNTIF('Stephanie'!$B$6:$B$300,$A155)+COUNTIF('Fox'!$B$6:$B$300,$A155)+COUNTIF('Bruna'!$B$6:$B$300,$A155)+COUNTIF('Stella'!$B$6:$B$300,$A155)+COUNTIF('Igor'!$B$6:$B$300,$A155)))</f>
        <v/>
      </c>
      <c r="K155" s="18" t="n">
        <v>46237</v>
      </c>
      <c r="L155" s="18" t="n">
        <v>46241</v>
      </c>
      <c r="M155" s="19" t="n"/>
      <c r="N155" s="19" t="n"/>
      <c r="O155" s="19" t="n"/>
      <c r="P155" s="20">
        <f>IF($A155="","",IF(M155&lt;&gt;"",M155,IF(K155&lt;&gt;"",K155,"")))</f>
        <v/>
      </c>
      <c r="Q155" s="20">
        <f>IF($A155="","",IF(N155&lt;&gt;"",N155,IF(L155&lt;&gt;"",L155,"")))</f>
        <v/>
      </c>
      <c r="R155" s="15" t="n"/>
      <c r="S155" s="16">
        <f t="array" ref="S155">IF($A155="","",_xlfn.TEXTJOIN(CHAR(10),TRUE,IF('Clarice'!$B$6:$B$300=$A155,"Clarice"&amp;IF('Clarice'!$E$6:$E$300="",""," : "&amp;'Clarice'!$E$6:$E$300)&amp;" ["&amp;'Clarice'!$F$6:$F$300&amp;"]",""),IF('Luisa'!$B$6:$B$300=$A155,"Luisa"&amp;IF('Luisa'!$E$6:$E$300="",""," : "&amp;'Luisa'!$E$6:$E$300)&amp;" ["&amp;'Luisa'!$F$6:$F$300&amp;"]",""),IF('Lui'!$B$6:$B$300=$A155,"Lui"&amp;IF('Lui'!$E$6:$E$300="",""," : "&amp;'Lui'!$E$6:$E$300)&amp;" ["&amp;'Lui'!$F$6:$F$300&amp;"]",""),IF('Thaís'!$B$6:$B$300=$A155,"Thaís"&amp;IF('Thaís'!$E$6:$E$300="",""," : "&amp;'Thaís'!$E$6:$E$300)&amp;" ["&amp;'Thaís'!$F$6:$F$300&amp;"]",""),IF('Daniel'!$B$6:$B$300=$A155,"Daniel"&amp;IF('Daniel'!$E$6:$E$300="",""," : "&amp;'Daniel'!$E$6:$E$300)&amp;" ["&amp;'Daniel'!$F$6:$F$300&amp;"]",""),IF('Fernando'!$B$6:$B$300=$A155,"Fernando"&amp;IF('Fernando'!$E$6:$E$300="",""," : "&amp;'Fernando'!$E$6:$E$300)&amp;" ["&amp;'Fernando'!$F$6:$F$300&amp;"]",""),IF('Stephanie'!$B$6:$B$300=$A155,"Stephanie"&amp;IF('Stephanie'!$E$6:$E$300="",""," : "&amp;'Stephanie'!$E$6:$E$300)&amp;" ["&amp;'Stephanie'!$F$6:$F$300&amp;"]",""),IF('Fox'!$B$6:$B$300=$A155,"Fox"&amp;IF('Fox'!$E$6:$E$300="",""," : "&amp;'Fox'!$E$6:$E$300)&amp;" ["&amp;'Fox'!$F$6:$F$300&amp;"]",""),IF('Bruna'!$B$6:$B$300=$A155,"Bruna"&amp;IF('Bruna'!$E$6:$E$300="",""," : "&amp;'Bruna'!$E$6:$E$300)&amp;" ["&amp;'Bruna'!$F$6:$F$300&amp;"]",""),IF('Stella'!$B$6:$B$300=$A155,"Stella"&amp;IF('Stella'!$E$6:$E$300="",""," : "&amp;'Stella'!$E$6:$E$300)&amp;" ["&amp;'Stella'!$F$6:$F$300&amp;"]",""),IF('Igor'!$B$6:$B$300=$A155,"Igor"&amp;IF('Igor'!$E$6:$E$300="",""," : "&amp;'Igor'!$E$6:$E$300)&amp;" ["&amp;'Igor'!$F$6:$F$300&amp;"]","")))</f>
        <v/>
      </c>
    </row>
    <row r="156" ht="40.5" customHeight="1">
      <c r="A156" s="13" t="inlineStr">
        <is>
          <t>DM-091</t>
        </is>
      </c>
      <c r="B156" s="14" t="inlineStr">
        <is>
          <t>Etapa 2: Construção das métricas | Atividade 7: Operacionalização das métricas | Atividade 8: Aplicação das métricas</t>
        </is>
      </c>
      <c r="C156" s="14" t="inlineStr">
        <is>
          <t>3. Aplicação da DM</t>
        </is>
      </c>
      <c r="D156" s="14" t="inlineStr">
        <is>
          <t>GR3</t>
        </is>
      </c>
      <c r="E156" s="15" t="inlineStr">
        <is>
          <t>Identificar lacunas de dados para recomendar para a Petrobras - fauna (GR3)</t>
        </is>
      </c>
      <c r="F156" s="13" t="inlineStr">
        <is>
          <t>Daniel</t>
        </is>
      </c>
      <c r="G156" s="16">
        <f>IF($A156="","",_xlfn.TEXTJOIN("; ",TRUE,IF(COUNTIF('Clarice'!$B$6:$B$300,$A156)&gt;0,"Clarice",""),IF(COUNTIF('Luisa'!$B$6:$B$300,$A156)&gt;0,"Luisa",""),IF(COUNTIF('Lui'!$B$6:$B$300,$A156)&gt;0,"Lui",""),IF(COUNTIF('Thaís'!$B$6:$B$300,$A156)&gt;0,"Thaís",""),IF(COUNTIF('Daniel'!$B$6:$B$300,$A156)&gt;0,"Daniel",""),IF(COUNTIF('Fernando'!$B$6:$B$300,$A156)&gt;0,"Fernando",""),IF(COUNTIF('Stephanie'!$B$6:$B$300,$A156)&gt;0,"Stephanie",""),IF(COUNTIF('Fox'!$B$6:$B$300,$A156)&gt;0,"Fox",""),IF(COUNTIF('Bruna'!$B$6:$B$300,$A156)&gt;0,"Bruna",""),IF(COUNTIF('Stella'!$B$6:$B$300,$A156)&gt;0,"Stella",""),IF(COUNTIF('Igor'!$B$6:$B$300,$A156)&gt;0,"Igor","")))</f>
        <v/>
      </c>
      <c r="H156" s="13" t="n"/>
      <c r="I156" s="13" t="inlineStr">
        <is>
          <t>Não iniciado</t>
        </is>
      </c>
      <c r="J156" s="17">
        <f>IF(OR($A156="",(COUNTIF('Clarice'!$B$6:$B$300,$A156)+COUNTIF('Luisa'!$B$6:$B$300,$A156)+COUNTIF('Lui'!$B$6:$B$300,$A156)+COUNTIF('Thaís'!$B$6:$B$300,$A156)+COUNTIF('Daniel'!$B$6:$B$300,$A156)+COUNTIF('Fernando'!$B$6:$B$300,$A156)+COUNTIF('Stephanie'!$B$6:$B$300,$A156)+COUNTIF('Fox'!$B$6:$B$300,$A156)+COUNTIF('Bruna'!$B$6:$B$300,$A156)+COUNTIF('Stella'!$B$6:$B$300,$A156)+COUNTIF('Igor'!$B$6:$B$300,$A156))=0),"",(COUNTIFS('Clarice'!$B$6:$B$300,$A156,'Clarice'!$F$6:$F$300,"Concluído")+COUNTIFS('Luisa'!$B$6:$B$300,$A156,'Luisa'!$F$6:$F$300,"Concluído")+COUNTIFS('Lui'!$B$6:$B$300,$A156,'Lui'!$F$6:$F$300,"Concluído")+COUNTIFS('Thaís'!$B$6:$B$300,$A156,'Thaís'!$F$6:$F$300,"Concluído")+COUNTIFS('Daniel'!$B$6:$B$300,$A156,'Daniel'!$F$6:$F$300,"Concluído")+COUNTIFS('Fernando'!$B$6:$B$300,$A156,'Fernando'!$F$6:$F$300,"Concluído")+COUNTIFS('Stephanie'!$B$6:$B$300,$A156,'Stephanie'!$F$6:$F$300,"Concluído")+COUNTIFS('Fox'!$B$6:$B$300,$A156,'Fox'!$F$6:$F$300,"Concluído")+COUNTIFS('Bruna'!$B$6:$B$300,$A156,'Bruna'!$F$6:$F$300,"Concluído")+COUNTIFS('Stella'!$B$6:$B$300,$A156,'Stella'!$F$6:$F$300,"Concluído")+COUNTIFS('Igor'!$B$6:$B$300,$A156,'Igor'!$F$6:$F$300,"Concluído"))&amp;" / "&amp;(COUNTIF('Clarice'!$B$6:$B$300,$A156)+COUNTIF('Luisa'!$B$6:$B$300,$A156)+COUNTIF('Lui'!$B$6:$B$300,$A156)+COUNTIF('Thaís'!$B$6:$B$300,$A156)+COUNTIF('Daniel'!$B$6:$B$300,$A156)+COUNTIF('Fernando'!$B$6:$B$300,$A156)+COUNTIF('Stephanie'!$B$6:$B$300,$A156)+COUNTIF('Fox'!$B$6:$B$300,$A156)+COUNTIF('Bruna'!$B$6:$B$300,$A156)+COUNTIF('Stella'!$B$6:$B$300,$A156)+COUNTIF('Igor'!$B$6:$B$300,$A156)))</f>
        <v/>
      </c>
      <c r="K156" s="18" t="n">
        <v>46237</v>
      </c>
      <c r="L156" s="18" t="n">
        <v>46241</v>
      </c>
      <c r="M156" s="19" t="n"/>
      <c r="N156" s="19" t="n"/>
      <c r="O156" s="19" t="n"/>
      <c r="P156" s="20">
        <f>IF($A156="","",IF(M156&lt;&gt;"",M156,IF(K156&lt;&gt;"",K156,"")))</f>
        <v/>
      </c>
      <c r="Q156" s="20">
        <f>IF($A156="","",IF(N156&lt;&gt;"",N156,IF(L156&lt;&gt;"",L156,"")))</f>
        <v/>
      </c>
      <c r="R156" s="15" t="n"/>
      <c r="S156" s="16">
        <f t="array" ref="S156">IF($A156="","",_xlfn.TEXTJOIN(CHAR(10),TRUE,IF('Clarice'!$B$6:$B$300=$A156,"Clarice"&amp;IF('Clarice'!$E$6:$E$300="",""," : "&amp;'Clarice'!$E$6:$E$300)&amp;" ["&amp;'Clarice'!$F$6:$F$300&amp;"]",""),IF('Luisa'!$B$6:$B$300=$A156,"Luisa"&amp;IF('Luisa'!$E$6:$E$300="",""," : "&amp;'Luisa'!$E$6:$E$300)&amp;" ["&amp;'Luisa'!$F$6:$F$300&amp;"]",""),IF('Lui'!$B$6:$B$300=$A156,"Lui"&amp;IF('Lui'!$E$6:$E$300="",""," : "&amp;'Lui'!$E$6:$E$300)&amp;" ["&amp;'Lui'!$F$6:$F$300&amp;"]",""),IF('Thaís'!$B$6:$B$300=$A156,"Thaís"&amp;IF('Thaís'!$E$6:$E$300="",""," : "&amp;'Thaís'!$E$6:$E$300)&amp;" ["&amp;'Thaís'!$F$6:$F$300&amp;"]",""),IF('Daniel'!$B$6:$B$300=$A156,"Daniel"&amp;IF('Daniel'!$E$6:$E$300="",""," : "&amp;'Daniel'!$E$6:$E$300)&amp;" ["&amp;'Daniel'!$F$6:$F$300&amp;"]",""),IF('Fernando'!$B$6:$B$300=$A156,"Fernando"&amp;IF('Fernando'!$E$6:$E$300="",""," : "&amp;'Fernando'!$E$6:$E$300)&amp;" ["&amp;'Fernando'!$F$6:$F$300&amp;"]",""),IF('Stephanie'!$B$6:$B$300=$A156,"Stephanie"&amp;IF('Stephanie'!$E$6:$E$300="",""," : "&amp;'Stephanie'!$E$6:$E$300)&amp;" ["&amp;'Stephanie'!$F$6:$F$300&amp;"]",""),IF('Fox'!$B$6:$B$300=$A156,"Fox"&amp;IF('Fox'!$E$6:$E$300="",""," : "&amp;'Fox'!$E$6:$E$300)&amp;" ["&amp;'Fox'!$F$6:$F$300&amp;"]",""),IF('Bruna'!$B$6:$B$300=$A156,"Bruna"&amp;IF('Bruna'!$E$6:$E$300="",""," : "&amp;'Bruna'!$E$6:$E$300)&amp;" ["&amp;'Bruna'!$F$6:$F$300&amp;"]",""),IF('Stella'!$B$6:$B$300=$A156,"Stella"&amp;IF('Stella'!$E$6:$E$300="",""," : "&amp;'Stella'!$E$6:$E$300)&amp;" ["&amp;'Stella'!$F$6:$F$300&amp;"]",""),IF('Igor'!$B$6:$B$300=$A156,"Igor"&amp;IF('Igor'!$E$6:$E$300="",""," : "&amp;'Igor'!$E$6:$E$300)&amp;" ["&amp;'Igor'!$F$6:$F$300&amp;"]","")))</f>
        <v/>
      </c>
    </row>
    <row r="157" ht="40.5" customHeight="1">
      <c r="A157" s="13" t="inlineStr">
        <is>
          <t>DM-092</t>
        </is>
      </c>
      <c r="B157" s="14" t="inlineStr">
        <is>
          <t>Etapa 2: Construção das métricas | Atividade 7: Operacionalização das métricas | Atividade 8: Aplicação das métricas</t>
        </is>
      </c>
      <c r="C157" s="14" t="inlineStr">
        <is>
          <t>3. Aplicação da DM</t>
        </is>
      </c>
      <c r="D157" s="14" t="inlineStr">
        <is>
          <t>GR3</t>
        </is>
      </c>
      <c r="E157" s="15" t="inlineStr">
        <is>
          <t>Definir a estratégia de aplicação - fauna aquática (GR3)</t>
        </is>
      </c>
      <c r="F157" s="13" t="inlineStr">
        <is>
          <t>Daniel</t>
        </is>
      </c>
      <c r="G157" s="16">
        <f>IF($A157="","",_xlfn.TEXTJOIN("; ",TRUE,IF(COUNTIF('Clarice'!$B$6:$B$300,$A157)&gt;0,"Clarice",""),IF(COUNTIF('Luisa'!$B$6:$B$300,$A157)&gt;0,"Luisa",""),IF(COUNTIF('Lui'!$B$6:$B$300,$A157)&gt;0,"Lui",""),IF(COUNTIF('Thaís'!$B$6:$B$300,$A157)&gt;0,"Thaís",""),IF(COUNTIF('Daniel'!$B$6:$B$300,$A157)&gt;0,"Daniel",""),IF(COUNTIF('Fernando'!$B$6:$B$300,$A157)&gt;0,"Fernando",""),IF(COUNTIF('Stephanie'!$B$6:$B$300,$A157)&gt;0,"Stephanie",""),IF(COUNTIF('Fox'!$B$6:$B$300,$A157)&gt;0,"Fox",""),IF(COUNTIF('Bruna'!$B$6:$B$300,$A157)&gt;0,"Bruna",""),IF(COUNTIF('Stella'!$B$6:$B$300,$A157)&gt;0,"Stella",""),IF(COUNTIF('Igor'!$B$6:$B$300,$A157)&gt;0,"Igor","")))</f>
        <v/>
      </c>
      <c r="H157" s="13" t="n"/>
      <c r="I157" s="13" t="inlineStr">
        <is>
          <t>Pausado</t>
        </is>
      </c>
      <c r="J157" s="17">
        <f>IF(OR($A157="",(COUNTIF('Clarice'!$B$6:$B$300,$A157)+COUNTIF('Luisa'!$B$6:$B$300,$A157)+COUNTIF('Lui'!$B$6:$B$300,$A157)+COUNTIF('Thaís'!$B$6:$B$300,$A157)+COUNTIF('Daniel'!$B$6:$B$300,$A157)+COUNTIF('Fernando'!$B$6:$B$300,$A157)+COUNTIF('Stephanie'!$B$6:$B$300,$A157)+COUNTIF('Fox'!$B$6:$B$300,$A157)+COUNTIF('Bruna'!$B$6:$B$300,$A157)+COUNTIF('Stella'!$B$6:$B$300,$A157)+COUNTIF('Igor'!$B$6:$B$300,$A157))=0),"",(COUNTIFS('Clarice'!$B$6:$B$300,$A157,'Clarice'!$F$6:$F$300,"Concluído")+COUNTIFS('Luisa'!$B$6:$B$300,$A157,'Luisa'!$F$6:$F$300,"Concluído")+COUNTIFS('Lui'!$B$6:$B$300,$A157,'Lui'!$F$6:$F$300,"Concluído")+COUNTIFS('Thaís'!$B$6:$B$300,$A157,'Thaís'!$F$6:$F$300,"Concluído")+COUNTIFS('Daniel'!$B$6:$B$300,$A157,'Daniel'!$F$6:$F$300,"Concluído")+COUNTIFS('Fernando'!$B$6:$B$300,$A157,'Fernando'!$F$6:$F$300,"Concluído")+COUNTIFS('Stephanie'!$B$6:$B$300,$A157,'Stephanie'!$F$6:$F$300,"Concluído")+COUNTIFS('Fox'!$B$6:$B$300,$A157,'Fox'!$F$6:$F$300,"Concluído")+COUNTIFS('Bruna'!$B$6:$B$300,$A157,'Bruna'!$F$6:$F$300,"Concluído")+COUNTIFS('Stella'!$B$6:$B$300,$A157,'Stella'!$F$6:$F$300,"Concluído")+COUNTIFS('Igor'!$B$6:$B$300,$A157,'Igor'!$F$6:$F$300,"Concluído"))&amp;" / "&amp;(COUNTIF('Clarice'!$B$6:$B$300,$A157)+COUNTIF('Luisa'!$B$6:$B$300,$A157)+COUNTIF('Lui'!$B$6:$B$300,$A157)+COUNTIF('Thaís'!$B$6:$B$300,$A157)+COUNTIF('Daniel'!$B$6:$B$300,$A157)+COUNTIF('Fernando'!$B$6:$B$300,$A157)+COUNTIF('Stephanie'!$B$6:$B$300,$A157)+COUNTIF('Fox'!$B$6:$B$300,$A157)+COUNTIF('Bruna'!$B$6:$B$300,$A157)+COUNTIF('Stella'!$B$6:$B$300,$A157)+COUNTIF('Igor'!$B$6:$B$300,$A157)))</f>
        <v/>
      </c>
      <c r="K157" s="19" t="n"/>
      <c r="L157" s="19" t="n"/>
      <c r="M157" s="19" t="n"/>
      <c r="N157" s="19" t="n"/>
      <c r="O157" s="19" t="n"/>
      <c r="P157" s="20">
        <f>IF($A157="","",IF(M157&lt;&gt;"",M157,IF(K157&lt;&gt;"",K157,"")))</f>
        <v/>
      </c>
      <c r="Q157" s="20">
        <f>IF($A157="","",IF(N157&lt;&gt;"",N157,IF(L157&lt;&gt;"",L157,"")))</f>
        <v/>
      </c>
      <c r="R157" s="15" t="n"/>
      <c r="S157" s="16">
        <f t="array" ref="S157">IF($A157="","",_xlfn.TEXTJOIN(CHAR(10),TRUE,IF('Clarice'!$B$6:$B$300=$A157,"Clarice"&amp;IF('Clarice'!$E$6:$E$300="",""," : "&amp;'Clarice'!$E$6:$E$300)&amp;" ["&amp;'Clarice'!$F$6:$F$300&amp;"]",""),IF('Luisa'!$B$6:$B$300=$A157,"Luisa"&amp;IF('Luisa'!$E$6:$E$300="",""," : "&amp;'Luisa'!$E$6:$E$300)&amp;" ["&amp;'Luisa'!$F$6:$F$300&amp;"]",""),IF('Lui'!$B$6:$B$300=$A157,"Lui"&amp;IF('Lui'!$E$6:$E$300="",""," : "&amp;'Lui'!$E$6:$E$300)&amp;" ["&amp;'Lui'!$F$6:$F$300&amp;"]",""),IF('Thaís'!$B$6:$B$300=$A157,"Thaís"&amp;IF('Thaís'!$E$6:$E$300="",""," : "&amp;'Thaís'!$E$6:$E$300)&amp;" ["&amp;'Thaís'!$F$6:$F$300&amp;"]",""),IF('Daniel'!$B$6:$B$300=$A157,"Daniel"&amp;IF('Daniel'!$E$6:$E$300="",""," : "&amp;'Daniel'!$E$6:$E$300)&amp;" ["&amp;'Daniel'!$F$6:$F$300&amp;"]",""),IF('Fernando'!$B$6:$B$300=$A157,"Fernando"&amp;IF('Fernando'!$E$6:$E$300="",""," : "&amp;'Fernando'!$E$6:$E$300)&amp;" ["&amp;'Fernando'!$F$6:$F$300&amp;"]",""),IF('Stephanie'!$B$6:$B$300=$A157,"Stephanie"&amp;IF('Stephanie'!$E$6:$E$300="",""," : "&amp;'Stephanie'!$E$6:$E$300)&amp;" ["&amp;'Stephanie'!$F$6:$F$300&amp;"]",""),IF('Fox'!$B$6:$B$300=$A157,"Fox"&amp;IF('Fox'!$E$6:$E$300="",""," : "&amp;'Fox'!$E$6:$E$300)&amp;" ["&amp;'Fox'!$F$6:$F$300&amp;"]",""),IF('Bruna'!$B$6:$B$300=$A157,"Bruna"&amp;IF('Bruna'!$E$6:$E$300="",""," : "&amp;'Bruna'!$E$6:$E$300)&amp;" ["&amp;'Bruna'!$F$6:$F$300&amp;"]",""),IF('Stella'!$B$6:$B$300=$A157,"Stella"&amp;IF('Stella'!$E$6:$E$300="",""," : "&amp;'Stella'!$E$6:$E$300)&amp;" ["&amp;'Stella'!$F$6:$F$300&amp;"]",""),IF('Igor'!$B$6:$B$300=$A157,"Igor"&amp;IF('Igor'!$E$6:$E$300="",""," : "&amp;'Igor'!$E$6:$E$300)&amp;" ["&amp;'Igor'!$F$6:$F$300&amp;"]","")))</f>
        <v/>
      </c>
    </row>
    <row r="158" ht="40.5" customHeight="1">
      <c r="A158" s="13" t="inlineStr">
        <is>
          <t>DM-093</t>
        </is>
      </c>
      <c r="B158" s="14" t="inlineStr">
        <is>
          <t>Etapa 2: Construção das métricas | Atividade 7: Operacionalização das métricas | Atividade 8: Aplicação das métricas</t>
        </is>
      </c>
      <c r="C158" s="14" t="inlineStr">
        <is>
          <t>3. Aplicação da DM</t>
        </is>
      </c>
      <c r="D158" s="14" t="inlineStr">
        <is>
          <t>GR3</t>
        </is>
      </c>
      <c r="E158" s="15" t="inlineStr">
        <is>
          <t>Avaliar disponibilidade de informação temporal e espacial para aplicação da métrica - fauna aquática (GR3)</t>
        </is>
      </c>
      <c r="F158" s="13" t="inlineStr">
        <is>
          <t>Daniel</t>
        </is>
      </c>
      <c r="G158" s="16">
        <f>IF($A158="","",_xlfn.TEXTJOIN("; ",TRUE,IF(COUNTIF('Clarice'!$B$6:$B$300,$A158)&gt;0,"Clarice",""),IF(COUNTIF('Luisa'!$B$6:$B$300,$A158)&gt;0,"Luisa",""),IF(COUNTIF('Lui'!$B$6:$B$300,$A158)&gt;0,"Lui",""),IF(COUNTIF('Thaís'!$B$6:$B$300,$A158)&gt;0,"Thaís",""),IF(COUNTIF('Daniel'!$B$6:$B$300,$A158)&gt;0,"Daniel",""),IF(COUNTIF('Fernando'!$B$6:$B$300,$A158)&gt;0,"Fernando",""),IF(COUNTIF('Stephanie'!$B$6:$B$300,$A158)&gt;0,"Stephanie",""),IF(COUNTIF('Fox'!$B$6:$B$300,$A158)&gt;0,"Fox",""),IF(COUNTIF('Bruna'!$B$6:$B$300,$A158)&gt;0,"Bruna",""),IF(COUNTIF('Stella'!$B$6:$B$300,$A158)&gt;0,"Stella",""),IF(COUNTIF('Igor'!$B$6:$B$300,$A158)&gt;0,"Igor","")))</f>
        <v/>
      </c>
      <c r="H158" s="13" t="n"/>
      <c r="I158" s="13" t="inlineStr">
        <is>
          <t>Pausado</t>
        </is>
      </c>
      <c r="J158" s="17">
        <f>IF(OR($A158="",(COUNTIF('Clarice'!$B$6:$B$300,$A158)+COUNTIF('Luisa'!$B$6:$B$300,$A158)+COUNTIF('Lui'!$B$6:$B$300,$A158)+COUNTIF('Thaís'!$B$6:$B$300,$A158)+COUNTIF('Daniel'!$B$6:$B$300,$A158)+COUNTIF('Fernando'!$B$6:$B$300,$A158)+COUNTIF('Stephanie'!$B$6:$B$300,$A158)+COUNTIF('Fox'!$B$6:$B$300,$A158)+COUNTIF('Bruna'!$B$6:$B$300,$A158)+COUNTIF('Stella'!$B$6:$B$300,$A158)+COUNTIF('Igor'!$B$6:$B$300,$A158))=0),"",(COUNTIFS('Clarice'!$B$6:$B$300,$A158,'Clarice'!$F$6:$F$300,"Concluído")+COUNTIFS('Luisa'!$B$6:$B$300,$A158,'Luisa'!$F$6:$F$300,"Concluído")+COUNTIFS('Lui'!$B$6:$B$300,$A158,'Lui'!$F$6:$F$300,"Concluído")+COUNTIFS('Thaís'!$B$6:$B$300,$A158,'Thaís'!$F$6:$F$300,"Concluído")+COUNTIFS('Daniel'!$B$6:$B$300,$A158,'Daniel'!$F$6:$F$300,"Concluído")+COUNTIFS('Fernando'!$B$6:$B$300,$A158,'Fernando'!$F$6:$F$300,"Concluído")+COUNTIFS('Stephanie'!$B$6:$B$300,$A158,'Stephanie'!$F$6:$F$300,"Concluído")+COUNTIFS('Fox'!$B$6:$B$300,$A158,'Fox'!$F$6:$F$300,"Concluído")+COUNTIFS('Bruna'!$B$6:$B$300,$A158,'Bruna'!$F$6:$F$300,"Concluído")+COUNTIFS('Stella'!$B$6:$B$300,$A158,'Stella'!$F$6:$F$300,"Concluído")+COUNTIFS('Igor'!$B$6:$B$300,$A158,'Igor'!$F$6:$F$300,"Concluído"))&amp;" / "&amp;(COUNTIF('Clarice'!$B$6:$B$300,$A158)+COUNTIF('Luisa'!$B$6:$B$300,$A158)+COUNTIF('Lui'!$B$6:$B$300,$A158)+COUNTIF('Thaís'!$B$6:$B$300,$A158)+COUNTIF('Daniel'!$B$6:$B$300,$A158)+COUNTIF('Fernando'!$B$6:$B$300,$A158)+COUNTIF('Stephanie'!$B$6:$B$300,$A158)+COUNTIF('Fox'!$B$6:$B$300,$A158)+COUNTIF('Bruna'!$B$6:$B$300,$A158)+COUNTIF('Stella'!$B$6:$B$300,$A158)+COUNTIF('Igor'!$B$6:$B$300,$A158)))</f>
        <v/>
      </c>
      <c r="K158" s="19" t="n"/>
      <c r="L158" s="19" t="n"/>
      <c r="M158" s="19" t="n"/>
      <c r="N158" s="19" t="n"/>
      <c r="O158" s="19" t="n"/>
      <c r="P158" s="20">
        <f>IF($A158="","",IF(M158&lt;&gt;"",M158,IF(K158&lt;&gt;"",K158,"")))</f>
        <v/>
      </c>
      <c r="Q158" s="20">
        <f>IF($A158="","",IF(N158&lt;&gt;"",N158,IF(L158&lt;&gt;"",L158,"")))</f>
        <v/>
      </c>
      <c r="R158" s="15" t="n"/>
      <c r="S158" s="16">
        <f t="array" ref="S158">IF($A158="","",_xlfn.TEXTJOIN(CHAR(10),TRUE,IF('Clarice'!$B$6:$B$300=$A158,"Clarice"&amp;IF('Clarice'!$E$6:$E$300="",""," : "&amp;'Clarice'!$E$6:$E$300)&amp;" ["&amp;'Clarice'!$F$6:$F$300&amp;"]",""),IF('Luisa'!$B$6:$B$300=$A158,"Luisa"&amp;IF('Luisa'!$E$6:$E$300="",""," : "&amp;'Luisa'!$E$6:$E$300)&amp;" ["&amp;'Luisa'!$F$6:$F$300&amp;"]",""),IF('Lui'!$B$6:$B$300=$A158,"Lui"&amp;IF('Lui'!$E$6:$E$300="",""," : "&amp;'Lui'!$E$6:$E$300)&amp;" ["&amp;'Lui'!$F$6:$F$300&amp;"]",""),IF('Thaís'!$B$6:$B$300=$A158,"Thaís"&amp;IF('Thaís'!$E$6:$E$300="",""," : "&amp;'Thaís'!$E$6:$E$300)&amp;" ["&amp;'Thaís'!$F$6:$F$300&amp;"]",""),IF('Daniel'!$B$6:$B$300=$A158,"Daniel"&amp;IF('Daniel'!$E$6:$E$300="",""," : "&amp;'Daniel'!$E$6:$E$300)&amp;" ["&amp;'Daniel'!$F$6:$F$300&amp;"]",""),IF('Fernando'!$B$6:$B$300=$A158,"Fernando"&amp;IF('Fernando'!$E$6:$E$300="",""," : "&amp;'Fernando'!$E$6:$E$300)&amp;" ["&amp;'Fernando'!$F$6:$F$300&amp;"]",""),IF('Stephanie'!$B$6:$B$300=$A158,"Stephanie"&amp;IF('Stephanie'!$E$6:$E$300="",""," : "&amp;'Stephanie'!$E$6:$E$300)&amp;" ["&amp;'Stephanie'!$F$6:$F$300&amp;"]",""),IF('Fox'!$B$6:$B$300=$A158,"Fox"&amp;IF('Fox'!$E$6:$E$300="",""," : "&amp;'Fox'!$E$6:$E$300)&amp;" ["&amp;'Fox'!$F$6:$F$300&amp;"]",""),IF('Bruna'!$B$6:$B$300=$A158,"Bruna"&amp;IF('Bruna'!$E$6:$E$300="",""," : "&amp;'Bruna'!$E$6:$E$300)&amp;" ["&amp;'Bruna'!$F$6:$F$300&amp;"]",""),IF('Stella'!$B$6:$B$300=$A158,"Stella"&amp;IF('Stella'!$E$6:$E$300="",""," : "&amp;'Stella'!$E$6:$E$300)&amp;" ["&amp;'Stella'!$F$6:$F$300&amp;"]",""),IF('Igor'!$B$6:$B$300=$A158,"Igor"&amp;IF('Igor'!$E$6:$E$300="",""," : "&amp;'Igor'!$E$6:$E$300)&amp;" ["&amp;'Igor'!$F$6:$F$300&amp;"]","")))</f>
        <v/>
      </c>
    </row>
    <row r="159" ht="40.5" customHeight="1">
      <c r="A159" s="13" t="inlineStr">
        <is>
          <t>DM-094</t>
        </is>
      </c>
      <c r="B159" s="14" t="inlineStr">
        <is>
          <t>Etapa 2: Construção das métricas | Atividade 7: Operacionalização das métricas | Atividade 8: Aplicação das métricas</t>
        </is>
      </c>
      <c r="C159" s="14" t="inlineStr">
        <is>
          <t>3. Aplicação da DM</t>
        </is>
      </c>
      <c r="D159" s="14" t="inlineStr">
        <is>
          <t>GR3</t>
        </is>
      </c>
      <c r="E159" s="15" t="inlineStr">
        <is>
          <t>Definir tipo, componente e atributos - fauna aquática  (GR3)</t>
        </is>
      </c>
      <c r="F159" s="13" t="inlineStr">
        <is>
          <t>Daniel</t>
        </is>
      </c>
      <c r="G159" s="16">
        <f>IF($A159="","",_xlfn.TEXTJOIN("; ",TRUE,IF(COUNTIF('Clarice'!$B$6:$B$300,$A159)&gt;0,"Clarice",""),IF(COUNTIF('Luisa'!$B$6:$B$300,$A159)&gt;0,"Luisa",""),IF(COUNTIF('Lui'!$B$6:$B$300,$A159)&gt;0,"Lui",""),IF(COUNTIF('Thaís'!$B$6:$B$300,$A159)&gt;0,"Thaís",""),IF(COUNTIF('Daniel'!$B$6:$B$300,$A159)&gt;0,"Daniel",""),IF(COUNTIF('Fernando'!$B$6:$B$300,$A159)&gt;0,"Fernando",""),IF(COUNTIF('Stephanie'!$B$6:$B$300,$A159)&gt;0,"Stephanie",""),IF(COUNTIF('Fox'!$B$6:$B$300,$A159)&gt;0,"Fox",""),IF(COUNTIF('Bruna'!$B$6:$B$300,$A159)&gt;0,"Bruna",""),IF(COUNTIF('Stella'!$B$6:$B$300,$A159)&gt;0,"Stella",""),IF(COUNTIF('Igor'!$B$6:$B$300,$A159)&gt;0,"Igor","")))</f>
        <v/>
      </c>
      <c r="H159" s="13" t="n"/>
      <c r="I159" s="13" t="inlineStr">
        <is>
          <t>Pausado</t>
        </is>
      </c>
      <c r="J159" s="17">
        <f>IF(OR($A159="",(COUNTIF('Clarice'!$B$6:$B$300,$A159)+COUNTIF('Luisa'!$B$6:$B$300,$A159)+COUNTIF('Lui'!$B$6:$B$300,$A159)+COUNTIF('Thaís'!$B$6:$B$300,$A159)+COUNTIF('Daniel'!$B$6:$B$300,$A159)+COUNTIF('Fernando'!$B$6:$B$300,$A159)+COUNTIF('Stephanie'!$B$6:$B$300,$A159)+COUNTIF('Fox'!$B$6:$B$300,$A159)+COUNTIF('Bruna'!$B$6:$B$300,$A159)+COUNTIF('Stella'!$B$6:$B$300,$A159)+COUNTIF('Igor'!$B$6:$B$300,$A159))=0),"",(COUNTIFS('Clarice'!$B$6:$B$300,$A159,'Clarice'!$F$6:$F$300,"Concluído")+COUNTIFS('Luisa'!$B$6:$B$300,$A159,'Luisa'!$F$6:$F$300,"Concluído")+COUNTIFS('Lui'!$B$6:$B$300,$A159,'Lui'!$F$6:$F$300,"Concluído")+COUNTIFS('Thaís'!$B$6:$B$300,$A159,'Thaís'!$F$6:$F$300,"Concluído")+COUNTIFS('Daniel'!$B$6:$B$300,$A159,'Daniel'!$F$6:$F$300,"Concluído")+COUNTIFS('Fernando'!$B$6:$B$300,$A159,'Fernando'!$F$6:$F$300,"Concluído")+COUNTIFS('Stephanie'!$B$6:$B$300,$A159,'Stephanie'!$F$6:$F$300,"Concluído")+COUNTIFS('Fox'!$B$6:$B$300,$A159,'Fox'!$F$6:$F$300,"Concluído")+COUNTIFS('Bruna'!$B$6:$B$300,$A159,'Bruna'!$F$6:$F$300,"Concluído")+COUNTIFS('Stella'!$B$6:$B$300,$A159,'Stella'!$F$6:$F$300,"Concluído")+COUNTIFS('Igor'!$B$6:$B$300,$A159,'Igor'!$F$6:$F$300,"Concluído"))&amp;" / "&amp;(COUNTIF('Clarice'!$B$6:$B$300,$A159)+COUNTIF('Luisa'!$B$6:$B$300,$A159)+COUNTIF('Lui'!$B$6:$B$300,$A159)+COUNTIF('Thaís'!$B$6:$B$300,$A159)+COUNTIF('Daniel'!$B$6:$B$300,$A159)+COUNTIF('Fernando'!$B$6:$B$300,$A159)+COUNTIF('Stephanie'!$B$6:$B$300,$A159)+COUNTIF('Fox'!$B$6:$B$300,$A159)+COUNTIF('Bruna'!$B$6:$B$300,$A159)+COUNTIF('Stella'!$B$6:$B$300,$A159)+COUNTIF('Igor'!$B$6:$B$300,$A159)))</f>
        <v/>
      </c>
      <c r="K159" s="19" t="n"/>
      <c r="L159" s="19" t="n"/>
      <c r="M159" s="19" t="n"/>
      <c r="N159" s="19" t="n"/>
      <c r="O159" s="19" t="n"/>
      <c r="P159" s="20">
        <f>IF($A159="","",IF(M159&lt;&gt;"",M159,IF(K159&lt;&gt;"",K159,"")))</f>
        <v/>
      </c>
      <c r="Q159" s="20">
        <f>IF($A159="","",IF(N159&lt;&gt;"",N159,IF(L159&lt;&gt;"",L159,"")))</f>
        <v/>
      </c>
      <c r="R159" s="15" t="n"/>
      <c r="S159" s="16">
        <f t="array" ref="S159">IF($A159="","",_xlfn.TEXTJOIN(CHAR(10),TRUE,IF('Clarice'!$B$6:$B$300=$A159,"Clarice"&amp;IF('Clarice'!$E$6:$E$300="",""," : "&amp;'Clarice'!$E$6:$E$300)&amp;" ["&amp;'Clarice'!$F$6:$F$300&amp;"]",""),IF('Luisa'!$B$6:$B$300=$A159,"Luisa"&amp;IF('Luisa'!$E$6:$E$300="",""," : "&amp;'Luisa'!$E$6:$E$300)&amp;" ["&amp;'Luisa'!$F$6:$F$300&amp;"]",""),IF('Lui'!$B$6:$B$300=$A159,"Lui"&amp;IF('Lui'!$E$6:$E$300="",""," : "&amp;'Lui'!$E$6:$E$300)&amp;" ["&amp;'Lui'!$F$6:$F$300&amp;"]",""),IF('Thaís'!$B$6:$B$300=$A159,"Thaís"&amp;IF('Thaís'!$E$6:$E$300="",""," : "&amp;'Thaís'!$E$6:$E$300)&amp;" ["&amp;'Thaís'!$F$6:$F$300&amp;"]",""),IF('Daniel'!$B$6:$B$300=$A159,"Daniel"&amp;IF('Daniel'!$E$6:$E$300="",""," : "&amp;'Daniel'!$E$6:$E$300)&amp;" ["&amp;'Daniel'!$F$6:$F$300&amp;"]",""),IF('Fernando'!$B$6:$B$300=$A159,"Fernando"&amp;IF('Fernando'!$E$6:$E$300="",""," : "&amp;'Fernando'!$E$6:$E$300)&amp;" ["&amp;'Fernando'!$F$6:$F$300&amp;"]",""),IF('Stephanie'!$B$6:$B$300=$A159,"Stephanie"&amp;IF('Stephanie'!$E$6:$E$300="",""," : "&amp;'Stephanie'!$E$6:$E$300)&amp;" ["&amp;'Stephanie'!$F$6:$F$300&amp;"]",""),IF('Fox'!$B$6:$B$300=$A159,"Fox"&amp;IF('Fox'!$E$6:$E$300="",""," : "&amp;'Fox'!$E$6:$E$300)&amp;" ["&amp;'Fox'!$F$6:$F$300&amp;"]",""),IF('Bruna'!$B$6:$B$300=$A159,"Bruna"&amp;IF('Bruna'!$E$6:$E$300="",""," : "&amp;'Bruna'!$E$6:$E$300)&amp;" ["&amp;'Bruna'!$F$6:$F$300&amp;"]",""),IF('Stella'!$B$6:$B$300=$A159,"Stella"&amp;IF('Stella'!$E$6:$E$300="",""," : "&amp;'Stella'!$E$6:$E$300)&amp;" ["&amp;'Stella'!$F$6:$F$300&amp;"]",""),IF('Igor'!$B$6:$B$300=$A159,"Igor"&amp;IF('Igor'!$E$6:$E$300="",""," : "&amp;'Igor'!$E$6:$E$300)&amp;" ["&amp;'Igor'!$F$6:$F$300&amp;"]","")))</f>
        <v/>
      </c>
    </row>
    <row r="160" ht="40.5" customHeight="1">
      <c r="A160" s="13" t="inlineStr">
        <is>
          <t>DM-095</t>
        </is>
      </c>
      <c r="B160" s="14" t="inlineStr">
        <is>
          <t>Etapa 2: Construção das métricas | Atividade 7: Operacionalização das métricas | Atividade 8: Aplicação das métricas</t>
        </is>
      </c>
      <c r="C160" s="14" t="inlineStr">
        <is>
          <t>3. Aplicação da DM</t>
        </is>
      </c>
      <c r="D160" s="14" t="inlineStr">
        <is>
          <t>GR3</t>
        </is>
      </c>
      <c r="E160" s="15" t="inlineStr">
        <is>
          <t>Definir dados serão usados para cálcular perdas e ganhos - fauna aquática (GR3)</t>
        </is>
      </c>
      <c r="F160" s="13" t="inlineStr">
        <is>
          <t>Daniel</t>
        </is>
      </c>
      <c r="G160" s="16">
        <f>IF($A160="","",_xlfn.TEXTJOIN("; ",TRUE,IF(COUNTIF('Clarice'!$B$6:$B$300,$A160)&gt;0,"Clarice",""),IF(COUNTIF('Luisa'!$B$6:$B$300,$A160)&gt;0,"Luisa",""),IF(COUNTIF('Lui'!$B$6:$B$300,$A160)&gt;0,"Lui",""),IF(COUNTIF('Thaís'!$B$6:$B$300,$A160)&gt;0,"Thaís",""),IF(COUNTIF('Daniel'!$B$6:$B$300,$A160)&gt;0,"Daniel",""),IF(COUNTIF('Fernando'!$B$6:$B$300,$A160)&gt;0,"Fernando",""),IF(COUNTIF('Stephanie'!$B$6:$B$300,$A160)&gt;0,"Stephanie",""),IF(COUNTIF('Fox'!$B$6:$B$300,$A160)&gt;0,"Fox",""),IF(COUNTIF('Bruna'!$B$6:$B$300,$A160)&gt;0,"Bruna",""),IF(COUNTIF('Stella'!$B$6:$B$300,$A160)&gt;0,"Stella",""),IF(COUNTIF('Igor'!$B$6:$B$300,$A160)&gt;0,"Igor","")))</f>
        <v/>
      </c>
      <c r="H160" s="13" t="n"/>
      <c r="I160" s="13" t="inlineStr">
        <is>
          <t>Pausado</t>
        </is>
      </c>
      <c r="J160" s="17">
        <f>IF(OR($A160="",(COUNTIF('Clarice'!$B$6:$B$300,$A160)+COUNTIF('Luisa'!$B$6:$B$300,$A160)+COUNTIF('Lui'!$B$6:$B$300,$A160)+COUNTIF('Thaís'!$B$6:$B$300,$A160)+COUNTIF('Daniel'!$B$6:$B$300,$A160)+COUNTIF('Fernando'!$B$6:$B$300,$A160)+COUNTIF('Stephanie'!$B$6:$B$300,$A160)+COUNTIF('Fox'!$B$6:$B$300,$A160)+COUNTIF('Bruna'!$B$6:$B$300,$A160)+COUNTIF('Stella'!$B$6:$B$300,$A160)+COUNTIF('Igor'!$B$6:$B$300,$A160))=0),"",(COUNTIFS('Clarice'!$B$6:$B$300,$A160,'Clarice'!$F$6:$F$300,"Concluído")+COUNTIFS('Luisa'!$B$6:$B$300,$A160,'Luisa'!$F$6:$F$300,"Concluído")+COUNTIFS('Lui'!$B$6:$B$300,$A160,'Lui'!$F$6:$F$300,"Concluído")+COUNTIFS('Thaís'!$B$6:$B$300,$A160,'Thaís'!$F$6:$F$300,"Concluído")+COUNTIFS('Daniel'!$B$6:$B$300,$A160,'Daniel'!$F$6:$F$300,"Concluído")+COUNTIFS('Fernando'!$B$6:$B$300,$A160,'Fernando'!$F$6:$F$300,"Concluído")+COUNTIFS('Stephanie'!$B$6:$B$300,$A160,'Stephanie'!$F$6:$F$300,"Concluído")+COUNTIFS('Fox'!$B$6:$B$300,$A160,'Fox'!$F$6:$F$300,"Concluído")+COUNTIFS('Bruna'!$B$6:$B$300,$A160,'Bruna'!$F$6:$F$300,"Concluído")+COUNTIFS('Stella'!$B$6:$B$300,$A160,'Stella'!$F$6:$F$300,"Concluído")+COUNTIFS('Igor'!$B$6:$B$300,$A160,'Igor'!$F$6:$F$300,"Concluído"))&amp;" / "&amp;(COUNTIF('Clarice'!$B$6:$B$300,$A160)+COUNTIF('Luisa'!$B$6:$B$300,$A160)+COUNTIF('Lui'!$B$6:$B$300,$A160)+COUNTIF('Thaís'!$B$6:$B$300,$A160)+COUNTIF('Daniel'!$B$6:$B$300,$A160)+COUNTIF('Fernando'!$B$6:$B$300,$A160)+COUNTIF('Stephanie'!$B$6:$B$300,$A160)+COUNTIF('Fox'!$B$6:$B$300,$A160)+COUNTIF('Bruna'!$B$6:$B$300,$A160)+COUNTIF('Stella'!$B$6:$B$300,$A160)+COUNTIF('Igor'!$B$6:$B$300,$A160)))</f>
        <v/>
      </c>
      <c r="K160" s="19" t="n"/>
      <c r="L160" s="19" t="n"/>
      <c r="M160" s="19" t="n"/>
      <c r="N160" s="19" t="n"/>
      <c r="O160" s="19" t="n"/>
      <c r="P160" s="20">
        <f>IF($A160="","",IF(M160&lt;&gt;"",M160,IF(K160&lt;&gt;"",K160,"")))</f>
        <v/>
      </c>
      <c r="Q160" s="20">
        <f>IF($A160="","",IF(N160&lt;&gt;"",N160,IF(L160&lt;&gt;"",L160,"")))</f>
        <v/>
      </c>
      <c r="R160" s="15" t="n"/>
      <c r="S160" s="16">
        <f t="array" ref="S160">IF($A160="","",_xlfn.TEXTJOIN(CHAR(10),TRUE,IF('Clarice'!$B$6:$B$300=$A160,"Clarice"&amp;IF('Clarice'!$E$6:$E$300="",""," : "&amp;'Clarice'!$E$6:$E$300)&amp;" ["&amp;'Clarice'!$F$6:$F$300&amp;"]",""),IF('Luisa'!$B$6:$B$300=$A160,"Luisa"&amp;IF('Luisa'!$E$6:$E$300="",""," : "&amp;'Luisa'!$E$6:$E$300)&amp;" ["&amp;'Luisa'!$F$6:$F$300&amp;"]",""),IF('Lui'!$B$6:$B$300=$A160,"Lui"&amp;IF('Lui'!$E$6:$E$300="",""," : "&amp;'Lui'!$E$6:$E$300)&amp;" ["&amp;'Lui'!$F$6:$F$300&amp;"]",""),IF('Thaís'!$B$6:$B$300=$A160,"Thaís"&amp;IF('Thaís'!$E$6:$E$300="",""," : "&amp;'Thaís'!$E$6:$E$300)&amp;" ["&amp;'Thaís'!$F$6:$F$300&amp;"]",""),IF('Daniel'!$B$6:$B$300=$A160,"Daniel"&amp;IF('Daniel'!$E$6:$E$300="",""," : "&amp;'Daniel'!$E$6:$E$300)&amp;" ["&amp;'Daniel'!$F$6:$F$300&amp;"]",""),IF('Fernando'!$B$6:$B$300=$A160,"Fernando"&amp;IF('Fernando'!$E$6:$E$300="",""," : "&amp;'Fernando'!$E$6:$E$300)&amp;" ["&amp;'Fernando'!$F$6:$F$300&amp;"]",""),IF('Stephanie'!$B$6:$B$300=$A160,"Stephanie"&amp;IF('Stephanie'!$E$6:$E$300="",""," : "&amp;'Stephanie'!$E$6:$E$300)&amp;" ["&amp;'Stephanie'!$F$6:$F$300&amp;"]",""),IF('Fox'!$B$6:$B$300=$A160,"Fox"&amp;IF('Fox'!$E$6:$E$300="",""," : "&amp;'Fox'!$E$6:$E$300)&amp;" ["&amp;'Fox'!$F$6:$F$300&amp;"]",""),IF('Bruna'!$B$6:$B$300=$A160,"Bruna"&amp;IF('Bruna'!$E$6:$E$300="",""," : "&amp;'Bruna'!$E$6:$E$300)&amp;" ["&amp;'Bruna'!$F$6:$F$300&amp;"]",""),IF('Stella'!$B$6:$B$300=$A160,"Stella"&amp;IF('Stella'!$E$6:$E$300="",""," : "&amp;'Stella'!$E$6:$E$300)&amp;" ["&amp;'Stella'!$F$6:$F$300&amp;"]",""),IF('Igor'!$B$6:$B$300=$A160,"Igor"&amp;IF('Igor'!$E$6:$E$300="",""," : "&amp;'Igor'!$E$6:$E$300)&amp;" ["&amp;'Igor'!$F$6:$F$300&amp;"]","")))</f>
        <v/>
      </c>
    </row>
    <row r="161" ht="40.5" customHeight="1">
      <c r="A161" s="13" t="inlineStr">
        <is>
          <t>DM-096</t>
        </is>
      </c>
      <c r="B161" s="14" t="inlineStr">
        <is>
          <t>Etapa 2: Construção das métricas | Atividade 7: Operacionalização das métricas | Atividade 8: Aplicação das métricas</t>
        </is>
      </c>
      <c r="C161" s="14" t="inlineStr">
        <is>
          <t>3. Aplicação da DM</t>
        </is>
      </c>
      <c r="D161" s="14" t="inlineStr">
        <is>
          <t>GR3</t>
        </is>
      </c>
      <c r="E161" s="15" t="inlineStr">
        <is>
          <t>Definir parâmetros e fatores de ajuste - fauna aquática (GR3)</t>
        </is>
      </c>
      <c r="F161" s="13" t="inlineStr">
        <is>
          <t>Daniel</t>
        </is>
      </c>
      <c r="G161" s="16">
        <f>IF($A161="","",_xlfn.TEXTJOIN("; ",TRUE,IF(COUNTIF('Clarice'!$B$6:$B$300,$A161)&gt;0,"Clarice",""),IF(COUNTIF('Luisa'!$B$6:$B$300,$A161)&gt;0,"Luisa",""),IF(COUNTIF('Lui'!$B$6:$B$300,$A161)&gt;0,"Lui",""),IF(COUNTIF('Thaís'!$B$6:$B$300,$A161)&gt;0,"Thaís",""),IF(COUNTIF('Daniel'!$B$6:$B$300,$A161)&gt;0,"Daniel",""),IF(COUNTIF('Fernando'!$B$6:$B$300,$A161)&gt;0,"Fernando",""),IF(COUNTIF('Stephanie'!$B$6:$B$300,$A161)&gt;0,"Stephanie",""),IF(COUNTIF('Fox'!$B$6:$B$300,$A161)&gt;0,"Fox",""),IF(COUNTIF('Bruna'!$B$6:$B$300,$A161)&gt;0,"Bruna",""),IF(COUNTIF('Stella'!$B$6:$B$300,$A161)&gt;0,"Stella",""),IF(COUNTIF('Igor'!$B$6:$B$300,$A161)&gt;0,"Igor","")))</f>
        <v/>
      </c>
      <c r="H161" s="13" t="n"/>
      <c r="I161" s="13" t="inlineStr">
        <is>
          <t>Pausado</t>
        </is>
      </c>
      <c r="J161" s="17">
        <f>IF(OR($A161="",(COUNTIF('Clarice'!$B$6:$B$300,$A161)+COUNTIF('Luisa'!$B$6:$B$300,$A161)+COUNTIF('Lui'!$B$6:$B$300,$A161)+COUNTIF('Thaís'!$B$6:$B$300,$A161)+COUNTIF('Daniel'!$B$6:$B$300,$A161)+COUNTIF('Fernando'!$B$6:$B$300,$A161)+COUNTIF('Stephanie'!$B$6:$B$300,$A161)+COUNTIF('Fox'!$B$6:$B$300,$A161)+COUNTIF('Bruna'!$B$6:$B$300,$A161)+COUNTIF('Stella'!$B$6:$B$300,$A161)+COUNTIF('Igor'!$B$6:$B$300,$A161))=0),"",(COUNTIFS('Clarice'!$B$6:$B$300,$A161,'Clarice'!$F$6:$F$300,"Concluído")+COUNTIFS('Luisa'!$B$6:$B$300,$A161,'Luisa'!$F$6:$F$300,"Concluído")+COUNTIFS('Lui'!$B$6:$B$300,$A161,'Lui'!$F$6:$F$300,"Concluído")+COUNTIFS('Thaís'!$B$6:$B$300,$A161,'Thaís'!$F$6:$F$300,"Concluído")+COUNTIFS('Daniel'!$B$6:$B$300,$A161,'Daniel'!$F$6:$F$300,"Concluído")+COUNTIFS('Fernando'!$B$6:$B$300,$A161,'Fernando'!$F$6:$F$300,"Concluído")+COUNTIFS('Stephanie'!$B$6:$B$300,$A161,'Stephanie'!$F$6:$F$300,"Concluído")+COUNTIFS('Fox'!$B$6:$B$300,$A161,'Fox'!$F$6:$F$300,"Concluído")+COUNTIFS('Bruna'!$B$6:$B$300,$A161,'Bruna'!$F$6:$F$300,"Concluído")+COUNTIFS('Stella'!$B$6:$B$300,$A161,'Stella'!$F$6:$F$300,"Concluído")+COUNTIFS('Igor'!$B$6:$B$300,$A161,'Igor'!$F$6:$F$300,"Concluído"))&amp;" / "&amp;(COUNTIF('Clarice'!$B$6:$B$300,$A161)+COUNTIF('Luisa'!$B$6:$B$300,$A161)+COUNTIF('Lui'!$B$6:$B$300,$A161)+COUNTIF('Thaís'!$B$6:$B$300,$A161)+COUNTIF('Daniel'!$B$6:$B$300,$A161)+COUNTIF('Fernando'!$B$6:$B$300,$A161)+COUNTIF('Stephanie'!$B$6:$B$300,$A161)+COUNTIF('Fox'!$B$6:$B$300,$A161)+COUNTIF('Bruna'!$B$6:$B$300,$A161)+COUNTIF('Stella'!$B$6:$B$300,$A161)+COUNTIF('Igor'!$B$6:$B$300,$A161)))</f>
        <v/>
      </c>
      <c r="K161" s="19" t="n"/>
      <c r="L161" s="19" t="n"/>
      <c r="M161" s="19" t="n"/>
      <c r="N161" s="19" t="n"/>
      <c r="O161" s="19" t="n"/>
      <c r="P161" s="20">
        <f>IF($A161="","",IF(M161&lt;&gt;"",M161,IF(K161&lt;&gt;"",K161,"")))</f>
        <v/>
      </c>
      <c r="Q161" s="20">
        <f>IF($A161="","",IF(N161&lt;&gt;"",N161,IF(L161&lt;&gt;"",L161,"")))</f>
        <v/>
      </c>
      <c r="R161" s="15" t="n"/>
      <c r="S161" s="16">
        <f t="array" ref="S161">IF($A161="","",_xlfn.TEXTJOIN(CHAR(10),TRUE,IF('Clarice'!$B$6:$B$300=$A161,"Clarice"&amp;IF('Clarice'!$E$6:$E$300="",""," : "&amp;'Clarice'!$E$6:$E$300)&amp;" ["&amp;'Clarice'!$F$6:$F$300&amp;"]",""),IF('Luisa'!$B$6:$B$300=$A161,"Luisa"&amp;IF('Luisa'!$E$6:$E$300="",""," : "&amp;'Luisa'!$E$6:$E$300)&amp;" ["&amp;'Luisa'!$F$6:$F$300&amp;"]",""),IF('Lui'!$B$6:$B$300=$A161,"Lui"&amp;IF('Lui'!$E$6:$E$300="",""," : "&amp;'Lui'!$E$6:$E$300)&amp;" ["&amp;'Lui'!$F$6:$F$300&amp;"]",""),IF('Thaís'!$B$6:$B$300=$A161,"Thaís"&amp;IF('Thaís'!$E$6:$E$300="",""," : "&amp;'Thaís'!$E$6:$E$300)&amp;" ["&amp;'Thaís'!$F$6:$F$300&amp;"]",""),IF('Daniel'!$B$6:$B$300=$A161,"Daniel"&amp;IF('Daniel'!$E$6:$E$300="",""," : "&amp;'Daniel'!$E$6:$E$300)&amp;" ["&amp;'Daniel'!$F$6:$F$300&amp;"]",""),IF('Fernando'!$B$6:$B$300=$A161,"Fernando"&amp;IF('Fernando'!$E$6:$E$300="",""," : "&amp;'Fernando'!$E$6:$E$300)&amp;" ["&amp;'Fernando'!$F$6:$F$300&amp;"]",""),IF('Stephanie'!$B$6:$B$300=$A161,"Stephanie"&amp;IF('Stephanie'!$E$6:$E$300="",""," : "&amp;'Stephanie'!$E$6:$E$300)&amp;" ["&amp;'Stephanie'!$F$6:$F$300&amp;"]",""),IF('Fox'!$B$6:$B$300=$A161,"Fox"&amp;IF('Fox'!$E$6:$E$300="",""," : "&amp;'Fox'!$E$6:$E$300)&amp;" ["&amp;'Fox'!$F$6:$F$300&amp;"]",""),IF('Bruna'!$B$6:$B$300=$A161,"Bruna"&amp;IF('Bruna'!$E$6:$E$300="",""," : "&amp;'Bruna'!$E$6:$E$300)&amp;" ["&amp;'Bruna'!$F$6:$F$300&amp;"]",""),IF('Stella'!$B$6:$B$300=$A161,"Stella"&amp;IF('Stella'!$E$6:$E$300="",""," : "&amp;'Stella'!$E$6:$E$300)&amp;" ["&amp;'Stella'!$F$6:$F$300&amp;"]",""),IF('Igor'!$B$6:$B$300=$A161,"Igor"&amp;IF('Igor'!$E$6:$E$300="",""," : "&amp;'Igor'!$E$6:$E$300)&amp;" ["&amp;'Igor'!$F$6:$F$300&amp;"]","")))</f>
        <v/>
      </c>
    </row>
    <row r="162" ht="40.5" customHeight="1">
      <c r="A162" s="13" t="inlineStr">
        <is>
          <t>DM-097</t>
        </is>
      </c>
      <c r="B162" s="14" t="inlineStr">
        <is>
          <t>Etapa 2: Construção das métricas | Atividade 7: Operacionalização das métricas | Atividade 8: Aplicação das métricas</t>
        </is>
      </c>
      <c r="C162" s="14" t="inlineStr">
        <is>
          <t>3. Aplicação da DM</t>
        </is>
      </c>
      <c r="D162" s="14" t="inlineStr">
        <is>
          <t>GR3</t>
        </is>
      </c>
      <c r="E162" s="15" t="inlineStr">
        <is>
          <t>Estruturação dos cálculos no excel - fauna aquática (GR3)</t>
        </is>
      </c>
      <c r="F162" s="13" t="inlineStr">
        <is>
          <t>Daniel</t>
        </is>
      </c>
      <c r="G162" s="16">
        <f>IF($A162="","",_xlfn.TEXTJOIN("; ",TRUE,IF(COUNTIF('Clarice'!$B$6:$B$300,$A162)&gt;0,"Clarice",""),IF(COUNTIF('Luisa'!$B$6:$B$300,$A162)&gt;0,"Luisa",""),IF(COUNTIF('Lui'!$B$6:$B$300,$A162)&gt;0,"Lui",""),IF(COUNTIF('Thaís'!$B$6:$B$300,$A162)&gt;0,"Thaís",""),IF(COUNTIF('Daniel'!$B$6:$B$300,$A162)&gt;0,"Daniel",""),IF(COUNTIF('Fernando'!$B$6:$B$300,$A162)&gt;0,"Fernando",""),IF(COUNTIF('Stephanie'!$B$6:$B$300,$A162)&gt;0,"Stephanie",""),IF(COUNTIF('Fox'!$B$6:$B$300,$A162)&gt;0,"Fox",""),IF(COUNTIF('Bruna'!$B$6:$B$300,$A162)&gt;0,"Bruna",""),IF(COUNTIF('Stella'!$B$6:$B$300,$A162)&gt;0,"Stella",""),IF(COUNTIF('Igor'!$B$6:$B$300,$A162)&gt;0,"Igor","")))</f>
        <v/>
      </c>
      <c r="H162" s="13" t="n"/>
      <c r="I162" s="13" t="inlineStr">
        <is>
          <t>Pausado</t>
        </is>
      </c>
      <c r="J162" s="17">
        <f>IF(OR($A162="",(COUNTIF('Clarice'!$B$6:$B$300,$A162)+COUNTIF('Luisa'!$B$6:$B$300,$A162)+COUNTIF('Lui'!$B$6:$B$300,$A162)+COUNTIF('Thaís'!$B$6:$B$300,$A162)+COUNTIF('Daniel'!$B$6:$B$300,$A162)+COUNTIF('Fernando'!$B$6:$B$300,$A162)+COUNTIF('Stephanie'!$B$6:$B$300,$A162)+COUNTIF('Fox'!$B$6:$B$300,$A162)+COUNTIF('Bruna'!$B$6:$B$300,$A162)+COUNTIF('Stella'!$B$6:$B$300,$A162)+COUNTIF('Igor'!$B$6:$B$300,$A162))=0),"",(COUNTIFS('Clarice'!$B$6:$B$300,$A162,'Clarice'!$F$6:$F$300,"Concluído")+COUNTIFS('Luisa'!$B$6:$B$300,$A162,'Luisa'!$F$6:$F$300,"Concluído")+COUNTIFS('Lui'!$B$6:$B$300,$A162,'Lui'!$F$6:$F$300,"Concluído")+COUNTIFS('Thaís'!$B$6:$B$300,$A162,'Thaís'!$F$6:$F$300,"Concluído")+COUNTIFS('Daniel'!$B$6:$B$300,$A162,'Daniel'!$F$6:$F$300,"Concluído")+COUNTIFS('Fernando'!$B$6:$B$300,$A162,'Fernando'!$F$6:$F$300,"Concluído")+COUNTIFS('Stephanie'!$B$6:$B$300,$A162,'Stephanie'!$F$6:$F$300,"Concluído")+COUNTIFS('Fox'!$B$6:$B$300,$A162,'Fox'!$F$6:$F$300,"Concluído")+COUNTIFS('Bruna'!$B$6:$B$300,$A162,'Bruna'!$F$6:$F$300,"Concluído")+COUNTIFS('Stella'!$B$6:$B$300,$A162,'Stella'!$F$6:$F$300,"Concluído")+COUNTIFS('Igor'!$B$6:$B$300,$A162,'Igor'!$F$6:$F$300,"Concluído"))&amp;" / "&amp;(COUNTIF('Clarice'!$B$6:$B$300,$A162)+COUNTIF('Luisa'!$B$6:$B$300,$A162)+COUNTIF('Lui'!$B$6:$B$300,$A162)+COUNTIF('Thaís'!$B$6:$B$300,$A162)+COUNTIF('Daniel'!$B$6:$B$300,$A162)+COUNTIF('Fernando'!$B$6:$B$300,$A162)+COUNTIF('Stephanie'!$B$6:$B$300,$A162)+COUNTIF('Fox'!$B$6:$B$300,$A162)+COUNTIF('Bruna'!$B$6:$B$300,$A162)+COUNTIF('Stella'!$B$6:$B$300,$A162)+COUNTIF('Igor'!$B$6:$B$300,$A162)))</f>
        <v/>
      </c>
      <c r="K162" s="19" t="n"/>
      <c r="L162" s="19" t="n"/>
      <c r="M162" s="19" t="n"/>
      <c r="N162" s="19" t="n"/>
      <c r="O162" s="19" t="n"/>
      <c r="P162" s="20">
        <f>IF($A162="","",IF(M162&lt;&gt;"",M162,IF(K162&lt;&gt;"",K162,"")))</f>
        <v/>
      </c>
      <c r="Q162" s="20">
        <f>IF($A162="","",IF(N162&lt;&gt;"",N162,IF(L162&lt;&gt;"",L162,"")))</f>
        <v/>
      </c>
      <c r="R162" s="15" t="n"/>
      <c r="S162" s="16">
        <f t="array" ref="S162">IF($A162="","",_xlfn.TEXTJOIN(CHAR(10),TRUE,IF('Clarice'!$B$6:$B$300=$A162,"Clarice"&amp;IF('Clarice'!$E$6:$E$300="",""," : "&amp;'Clarice'!$E$6:$E$300)&amp;" ["&amp;'Clarice'!$F$6:$F$300&amp;"]",""),IF('Luisa'!$B$6:$B$300=$A162,"Luisa"&amp;IF('Luisa'!$E$6:$E$300="",""," : "&amp;'Luisa'!$E$6:$E$300)&amp;" ["&amp;'Luisa'!$F$6:$F$300&amp;"]",""),IF('Lui'!$B$6:$B$300=$A162,"Lui"&amp;IF('Lui'!$E$6:$E$300="",""," : "&amp;'Lui'!$E$6:$E$300)&amp;" ["&amp;'Lui'!$F$6:$F$300&amp;"]",""),IF('Thaís'!$B$6:$B$300=$A162,"Thaís"&amp;IF('Thaís'!$E$6:$E$300="",""," : "&amp;'Thaís'!$E$6:$E$300)&amp;" ["&amp;'Thaís'!$F$6:$F$300&amp;"]",""),IF('Daniel'!$B$6:$B$300=$A162,"Daniel"&amp;IF('Daniel'!$E$6:$E$300="",""," : "&amp;'Daniel'!$E$6:$E$300)&amp;" ["&amp;'Daniel'!$F$6:$F$300&amp;"]",""),IF('Fernando'!$B$6:$B$300=$A162,"Fernando"&amp;IF('Fernando'!$E$6:$E$300="",""," : "&amp;'Fernando'!$E$6:$E$300)&amp;" ["&amp;'Fernando'!$F$6:$F$300&amp;"]",""),IF('Stephanie'!$B$6:$B$300=$A162,"Stephanie"&amp;IF('Stephanie'!$E$6:$E$300="",""," : "&amp;'Stephanie'!$E$6:$E$300)&amp;" ["&amp;'Stephanie'!$F$6:$F$300&amp;"]",""),IF('Fox'!$B$6:$B$300=$A162,"Fox"&amp;IF('Fox'!$E$6:$E$300="",""," : "&amp;'Fox'!$E$6:$E$300)&amp;" ["&amp;'Fox'!$F$6:$F$300&amp;"]",""),IF('Bruna'!$B$6:$B$300=$A162,"Bruna"&amp;IF('Bruna'!$E$6:$E$300="",""," : "&amp;'Bruna'!$E$6:$E$300)&amp;" ["&amp;'Bruna'!$F$6:$F$300&amp;"]",""),IF('Stella'!$B$6:$B$300=$A162,"Stella"&amp;IF('Stella'!$E$6:$E$300="",""," : "&amp;'Stella'!$E$6:$E$300)&amp;" ["&amp;'Stella'!$F$6:$F$300&amp;"]",""),IF('Igor'!$B$6:$B$300=$A162,"Igor"&amp;IF('Igor'!$E$6:$E$300="",""," : "&amp;'Igor'!$E$6:$E$300)&amp;" ["&amp;'Igor'!$F$6:$F$300&amp;"]","")))</f>
        <v/>
      </c>
    </row>
    <row r="163" ht="28" customHeight="1">
      <c r="A163" s="13" t="inlineStr">
        <is>
          <t>DM-098</t>
        </is>
      </c>
      <c r="B163" s="14" t="inlineStr">
        <is>
          <t>Etapa 2: Construção das métricas | Atividade 7: Operacionalização das métricas | Atividade 8: Aplicação das métricas</t>
        </is>
      </c>
      <c r="C163" s="14" t="inlineStr">
        <is>
          <t>3. Aplicação da DM</t>
        </is>
      </c>
      <c r="D163" s="14" t="inlineStr">
        <is>
          <t>GR3</t>
        </is>
      </c>
      <c r="E163" s="15" t="inlineStr">
        <is>
          <t>Escrever código R e analisar a metrica - fauna aquática  (GR3)</t>
        </is>
      </c>
      <c r="F163" s="13" t="inlineStr">
        <is>
          <t>Daniel</t>
        </is>
      </c>
      <c r="G163" s="16">
        <f>IF($A163="","",_xlfn.TEXTJOIN("; ",TRUE,IF(COUNTIF('Clarice'!$B$6:$B$300,$A163)&gt;0,"Clarice",""),IF(COUNTIF('Luisa'!$B$6:$B$300,$A163)&gt;0,"Luisa",""),IF(COUNTIF('Lui'!$B$6:$B$300,$A163)&gt;0,"Lui",""),IF(COUNTIF('Thaís'!$B$6:$B$300,$A163)&gt;0,"Thaís",""),IF(COUNTIF('Daniel'!$B$6:$B$300,$A163)&gt;0,"Daniel",""),IF(COUNTIF('Fernando'!$B$6:$B$300,$A163)&gt;0,"Fernando",""),IF(COUNTIF('Stephanie'!$B$6:$B$300,$A163)&gt;0,"Stephanie",""),IF(COUNTIF('Fox'!$B$6:$B$300,$A163)&gt;0,"Fox",""),IF(COUNTIF('Bruna'!$B$6:$B$300,$A163)&gt;0,"Bruna",""),IF(COUNTIF('Stella'!$B$6:$B$300,$A163)&gt;0,"Stella",""),IF(COUNTIF('Igor'!$B$6:$B$300,$A163)&gt;0,"Igor","")))</f>
        <v/>
      </c>
      <c r="H163" s="13" t="n"/>
      <c r="I163" s="13" t="inlineStr">
        <is>
          <t>Pausado</t>
        </is>
      </c>
      <c r="J163" s="17">
        <f>IF(OR($A163="",(COUNTIF('Clarice'!$B$6:$B$300,$A163)+COUNTIF('Luisa'!$B$6:$B$300,$A163)+COUNTIF('Lui'!$B$6:$B$300,$A163)+COUNTIF('Thaís'!$B$6:$B$300,$A163)+COUNTIF('Daniel'!$B$6:$B$300,$A163)+COUNTIF('Fernando'!$B$6:$B$300,$A163)+COUNTIF('Stephanie'!$B$6:$B$300,$A163)+COUNTIF('Fox'!$B$6:$B$300,$A163)+COUNTIF('Bruna'!$B$6:$B$300,$A163)+COUNTIF('Stella'!$B$6:$B$300,$A163)+COUNTIF('Igor'!$B$6:$B$300,$A163))=0),"",(COUNTIFS('Clarice'!$B$6:$B$300,$A163,'Clarice'!$F$6:$F$300,"Concluído")+COUNTIFS('Luisa'!$B$6:$B$300,$A163,'Luisa'!$F$6:$F$300,"Concluído")+COUNTIFS('Lui'!$B$6:$B$300,$A163,'Lui'!$F$6:$F$300,"Concluído")+COUNTIFS('Thaís'!$B$6:$B$300,$A163,'Thaís'!$F$6:$F$300,"Concluído")+COUNTIFS('Daniel'!$B$6:$B$300,$A163,'Daniel'!$F$6:$F$300,"Concluído")+COUNTIFS('Fernando'!$B$6:$B$300,$A163,'Fernando'!$F$6:$F$300,"Concluído")+COUNTIFS('Stephanie'!$B$6:$B$300,$A163,'Stephanie'!$F$6:$F$300,"Concluído")+COUNTIFS('Fox'!$B$6:$B$300,$A163,'Fox'!$F$6:$F$300,"Concluído")+COUNTIFS('Bruna'!$B$6:$B$300,$A163,'Bruna'!$F$6:$F$300,"Concluído")+COUNTIFS('Stella'!$B$6:$B$300,$A163,'Stella'!$F$6:$F$300,"Concluído")+COUNTIFS('Igor'!$B$6:$B$300,$A163,'Igor'!$F$6:$F$300,"Concluído"))&amp;" / "&amp;(COUNTIF('Clarice'!$B$6:$B$300,$A163)+COUNTIF('Luisa'!$B$6:$B$300,$A163)+COUNTIF('Lui'!$B$6:$B$300,$A163)+COUNTIF('Thaís'!$B$6:$B$300,$A163)+COUNTIF('Daniel'!$B$6:$B$300,$A163)+COUNTIF('Fernando'!$B$6:$B$300,$A163)+COUNTIF('Stephanie'!$B$6:$B$300,$A163)+COUNTIF('Fox'!$B$6:$B$300,$A163)+COUNTIF('Bruna'!$B$6:$B$300,$A163)+COUNTIF('Stella'!$B$6:$B$300,$A163)+COUNTIF('Igor'!$B$6:$B$300,$A163)))</f>
        <v/>
      </c>
      <c r="K163" s="19" t="n"/>
      <c r="L163" s="19" t="n"/>
      <c r="M163" s="19" t="n"/>
      <c r="N163" s="19" t="n"/>
      <c r="O163" s="19" t="n"/>
      <c r="P163" s="20">
        <f>IF($A163="","",IF(M163&lt;&gt;"",M163,IF(K163&lt;&gt;"",K163,"")))</f>
        <v/>
      </c>
      <c r="Q163" s="20">
        <f>IF($A163="","",IF(N163&lt;&gt;"",N163,IF(L163&lt;&gt;"",L163,"")))</f>
        <v/>
      </c>
      <c r="R163" s="15" t="n"/>
      <c r="S163" s="16">
        <f t="array" ref="S163">IF($A163="","",_xlfn.TEXTJOIN(CHAR(10),TRUE,IF('Clarice'!$B$6:$B$300=$A163,"Clarice"&amp;IF('Clarice'!$E$6:$E$300="",""," : "&amp;'Clarice'!$E$6:$E$300)&amp;" ["&amp;'Clarice'!$F$6:$F$300&amp;"]",""),IF('Luisa'!$B$6:$B$300=$A163,"Luisa"&amp;IF('Luisa'!$E$6:$E$300="",""," : "&amp;'Luisa'!$E$6:$E$300)&amp;" ["&amp;'Luisa'!$F$6:$F$300&amp;"]",""),IF('Lui'!$B$6:$B$300=$A163,"Lui"&amp;IF('Lui'!$E$6:$E$300="",""," : "&amp;'Lui'!$E$6:$E$300)&amp;" ["&amp;'Lui'!$F$6:$F$300&amp;"]",""),IF('Thaís'!$B$6:$B$300=$A163,"Thaís"&amp;IF('Thaís'!$E$6:$E$300="",""," : "&amp;'Thaís'!$E$6:$E$300)&amp;" ["&amp;'Thaís'!$F$6:$F$300&amp;"]",""),IF('Daniel'!$B$6:$B$300=$A163,"Daniel"&amp;IF('Daniel'!$E$6:$E$300="",""," : "&amp;'Daniel'!$E$6:$E$300)&amp;" ["&amp;'Daniel'!$F$6:$F$300&amp;"]",""),IF('Fernando'!$B$6:$B$300=$A163,"Fernando"&amp;IF('Fernando'!$E$6:$E$300="",""," : "&amp;'Fernando'!$E$6:$E$300)&amp;" ["&amp;'Fernando'!$F$6:$F$300&amp;"]",""),IF('Stephanie'!$B$6:$B$300=$A163,"Stephanie"&amp;IF('Stephanie'!$E$6:$E$300="",""," : "&amp;'Stephanie'!$E$6:$E$300)&amp;" ["&amp;'Stephanie'!$F$6:$F$300&amp;"]",""),IF('Fox'!$B$6:$B$300=$A163,"Fox"&amp;IF('Fox'!$E$6:$E$300="",""," : "&amp;'Fox'!$E$6:$E$300)&amp;" ["&amp;'Fox'!$F$6:$F$300&amp;"]",""),IF('Bruna'!$B$6:$B$300=$A163,"Bruna"&amp;IF('Bruna'!$E$6:$E$300="",""," : "&amp;'Bruna'!$E$6:$E$300)&amp;" ["&amp;'Bruna'!$F$6:$F$300&amp;"]",""),IF('Stella'!$B$6:$B$300=$A163,"Stella"&amp;IF('Stella'!$E$6:$E$300="",""," : "&amp;'Stella'!$E$6:$E$300)&amp;" ["&amp;'Stella'!$F$6:$F$300&amp;"]",""),IF('Igor'!$B$6:$B$300=$A163,"Igor"&amp;IF('Igor'!$E$6:$E$300="",""," : "&amp;'Igor'!$E$6:$E$300)&amp;" ["&amp;'Igor'!$F$6:$F$300&amp;"]","")))</f>
        <v/>
      </c>
    </row>
    <row r="164" ht="40.5" customHeight="1">
      <c r="A164" s="13" t="inlineStr">
        <is>
          <t>DM-099</t>
        </is>
      </c>
      <c r="B164" s="14" t="inlineStr">
        <is>
          <t>Etapa 2: Construção das métricas | Atividade 7: Operacionalização das métricas | Atividade 8: Aplicação das métricas</t>
        </is>
      </c>
      <c r="C164" s="14" t="inlineStr">
        <is>
          <t>3. Aplicação da DM</t>
        </is>
      </c>
      <c r="D164" s="14" t="inlineStr">
        <is>
          <t>GR3</t>
        </is>
      </c>
      <c r="E164" s="15" t="inlineStr">
        <is>
          <t>Apresentar e consolidar os resultados internamente - fauna aquática (GR3)</t>
        </is>
      </c>
      <c r="F164" s="13" t="inlineStr">
        <is>
          <t>Daniel</t>
        </is>
      </c>
      <c r="G164" s="16">
        <f>IF($A164="","",_xlfn.TEXTJOIN("; ",TRUE,IF(COUNTIF('Clarice'!$B$6:$B$300,$A164)&gt;0,"Clarice",""),IF(COUNTIF('Luisa'!$B$6:$B$300,$A164)&gt;0,"Luisa",""),IF(COUNTIF('Lui'!$B$6:$B$300,$A164)&gt;0,"Lui",""),IF(COUNTIF('Thaís'!$B$6:$B$300,$A164)&gt;0,"Thaís",""),IF(COUNTIF('Daniel'!$B$6:$B$300,$A164)&gt;0,"Daniel",""),IF(COUNTIF('Fernando'!$B$6:$B$300,$A164)&gt;0,"Fernando",""),IF(COUNTIF('Stephanie'!$B$6:$B$300,$A164)&gt;0,"Stephanie",""),IF(COUNTIF('Fox'!$B$6:$B$300,$A164)&gt;0,"Fox",""),IF(COUNTIF('Bruna'!$B$6:$B$300,$A164)&gt;0,"Bruna",""),IF(COUNTIF('Stella'!$B$6:$B$300,$A164)&gt;0,"Stella",""),IF(COUNTIF('Igor'!$B$6:$B$300,$A164)&gt;0,"Igor","")))</f>
        <v/>
      </c>
      <c r="H164" s="13" t="n"/>
      <c r="I164" s="13" t="inlineStr">
        <is>
          <t>Pausado</t>
        </is>
      </c>
      <c r="J164" s="17">
        <f>IF(OR($A164="",(COUNTIF('Clarice'!$B$6:$B$300,$A164)+COUNTIF('Luisa'!$B$6:$B$300,$A164)+COUNTIF('Lui'!$B$6:$B$300,$A164)+COUNTIF('Thaís'!$B$6:$B$300,$A164)+COUNTIF('Daniel'!$B$6:$B$300,$A164)+COUNTIF('Fernando'!$B$6:$B$300,$A164)+COUNTIF('Stephanie'!$B$6:$B$300,$A164)+COUNTIF('Fox'!$B$6:$B$300,$A164)+COUNTIF('Bruna'!$B$6:$B$300,$A164)+COUNTIF('Stella'!$B$6:$B$300,$A164)+COUNTIF('Igor'!$B$6:$B$300,$A164))=0),"",(COUNTIFS('Clarice'!$B$6:$B$300,$A164,'Clarice'!$F$6:$F$300,"Concluído")+COUNTIFS('Luisa'!$B$6:$B$300,$A164,'Luisa'!$F$6:$F$300,"Concluído")+COUNTIFS('Lui'!$B$6:$B$300,$A164,'Lui'!$F$6:$F$300,"Concluído")+COUNTIFS('Thaís'!$B$6:$B$300,$A164,'Thaís'!$F$6:$F$300,"Concluído")+COUNTIFS('Daniel'!$B$6:$B$300,$A164,'Daniel'!$F$6:$F$300,"Concluído")+COUNTIFS('Fernando'!$B$6:$B$300,$A164,'Fernando'!$F$6:$F$300,"Concluído")+COUNTIFS('Stephanie'!$B$6:$B$300,$A164,'Stephanie'!$F$6:$F$300,"Concluído")+COUNTIFS('Fox'!$B$6:$B$300,$A164,'Fox'!$F$6:$F$300,"Concluído")+COUNTIFS('Bruna'!$B$6:$B$300,$A164,'Bruna'!$F$6:$F$300,"Concluído")+COUNTIFS('Stella'!$B$6:$B$300,$A164,'Stella'!$F$6:$F$300,"Concluído")+COUNTIFS('Igor'!$B$6:$B$300,$A164,'Igor'!$F$6:$F$300,"Concluído"))&amp;" / "&amp;(COUNTIF('Clarice'!$B$6:$B$300,$A164)+COUNTIF('Luisa'!$B$6:$B$300,$A164)+COUNTIF('Lui'!$B$6:$B$300,$A164)+COUNTIF('Thaís'!$B$6:$B$300,$A164)+COUNTIF('Daniel'!$B$6:$B$300,$A164)+COUNTIF('Fernando'!$B$6:$B$300,$A164)+COUNTIF('Stephanie'!$B$6:$B$300,$A164)+COUNTIF('Fox'!$B$6:$B$300,$A164)+COUNTIF('Bruna'!$B$6:$B$300,$A164)+COUNTIF('Stella'!$B$6:$B$300,$A164)+COUNTIF('Igor'!$B$6:$B$300,$A164)))</f>
        <v/>
      </c>
      <c r="K164" s="19" t="n"/>
      <c r="L164" s="19" t="n"/>
      <c r="M164" s="19" t="n"/>
      <c r="N164" s="19" t="n"/>
      <c r="O164" s="19" t="n"/>
      <c r="P164" s="20">
        <f>IF($A164="","",IF(M164&lt;&gt;"",M164,IF(K164&lt;&gt;"",K164,"")))</f>
        <v/>
      </c>
      <c r="Q164" s="20">
        <f>IF($A164="","",IF(N164&lt;&gt;"",N164,IF(L164&lt;&gt;"",L164,"")))</f>
        <v/>
      </c>
      <c r="R164" s="15" t="n"/>
      <c r="S164" s="16">
        <f t="array" ref="S164">IF($A164="","",_xlfn.TEXTJOIN(CHAR(10),TRUE,IF('Clarice'!$B$6:$B$300=$A164,"Clarice"&amp;IF('Clarice'!$E$6:$E$300="",""," : "&amp;'Clarice'!$E$6:$E$300)&amp;" ["&amp;'Clarice'!$F$6:$F$300&amp;"]",""),IF('Luisa'!$B$6:$B$300=$A164,"Luisa"&amp;IF('Luisa'!$E$6:$E$300="",""," : "&amp;'Luisa'!$E$6:$E$300)&amp;" ["&amp;'Luisa'!$F$6:$F$300&amp;"]",""),IF('Lui'!$B$6:$B$300=$A164,"Lui"&amp;IF('Lui'!$E$6:$E$300="",""," : "&amp;'Lui'!$E$6:$E$300)&amp;" ["&amp;'Lui'!$F$6:$F$300&amp;"]",""),IF('Thaís'!$B$6:$B$300=$A164,"Thaís"&amp;IF('Thaís'!$E$6:$E$300="",""," : "&amp;'Thaís'!$E$6:$E$300)&amp;" ["&amp;'Thaís'!$F$6:$F$300&amp;"]",""),IF('Daniel'!$B$6:$B$300=$A164,"Daniel"&amp;IF('Daniel'!$E$6:$E$300="",""," : "&amp;'Daniel'!$E$6:$E$300)&amp;" ["&amp;'Daniel'!$F$6:$F$300&amp;"]",""),IF('Fernando'!$B$6:$B$300=$A164,"Fernando"&amp;IF('Fernando'!$E$6:$E$300="",""," : "&amp;'Fernando'!$E$6:$E$300)&amp;" ["&amp;'Fernando'!$F$6:$F$300&amp;"]",""),IF('Stephanie'!$B$6:$B$300=$A164,"Stephanie"&amp;IF('Stephanie'!$E$6:$E$300="",""," : "&amp;'Stephanie'!$E$6:$E$300)&amp;" ["&amp;'Stephanie'!$F$6:$F$300&amp;"]",""),IF('Fox'!$B$6:$B$300=$A164,"Fox"&amp;IF('Fox'!$E$6:$E$300="",""," : "&amp;'Fox'!$E$6:$E$300)&amp;" ["&amp;'Fox'!$F$6:$F$300&amp;"]",""),IF('Bruna'!$B$6:$B$300=$A164,"Bruna"&amp;IF('Bruna'!$E$6:$E$300="",""," : "&amp;'Bruna'!$E$6:$E$300)&amp;" ["&amp;'Bruna'!$F$6:$F$300&amp;"]",""),IF('Stella'!$B$6:$B$300=$A164,"Stella"&amp;IF('Stella'!$E$6:$E$300="",""," : "&amp;'Stella'!$E$6:$E$300)&amp;" ["&amp;'Stella'!$F$6:$F$300&amp;"]",""),IF('Igor'!$B$6:$B$300=$A164,"Igor"&amp;IF('Igor'!$E$6:$E$300="",""," : "&amp;'Igor'!$E$6:$E$300)&amp;" ["&amp;'Igor'!$F$6:$F$300&amp;"]","")))</f>
        <v/>
      </c>
    </row>
    <row r="165" ht="40.5" customHeight="1">
      <c r="A165" s="13" t="inlineStr">
        <is>
          <t>DM-100</t>
        </is>
      </c>
      <c r="B165" s="14" t="inlineStr">
        <is>
          <t>Etapa 2: Construção das métricas | Atividade 7: Operacionalização das métricas | Atividade 8: Aplicação das métricas</t>
        </is>
      </c>
      <c r="C165" s="14" t="inlineStr">
        <is>
          <t>3. Aplicação da DM</t>
        </is>
      </c>
      <c r="D165" s="14" t="inlineStr">
        <is>
          <t>GR3</t>
        </is>
      </c>
      <c r="E165" s="15" t="inlineStr">
        <is>
          <t>Identificar lacunas de dados para recomendar para a Petrobras - fauna aquática (GR3)</t>
        </is>
      </c>
      <c r="F165" s="13" t="inlineStr">
        <is>
          <t>Daniel</t>
        </is>
      </c>
      <c r="G165" s="16">
        <f>IF($A165="","",_xlfn.TEXTJOIN("; ",TRUE,IF(COUNTIF('Clarice'!$B$6:$B$300,$A165)&gt;0,"Clarice",""),IF(COUNTIF('Luisa'!$B$6:$B$300,$A165)&gt;0,"Luisa",""),IF(COUNTIF('Lui'!$B$6:$B$300,$A165)&gt;0,"Lui",""),IF(COUNTIF('Thaís'!$B$6:$B$300,$A165)&gt;0,"Thaís",""),IF(COUNTIF('Daniel'!$B$6:$B$300,$A165)&gt;0,"Daniel",""),IF(COUNTIF('Fernando'!$B$6:$B$300,$A165)&gt;0,"Fernando",""),IF(COUNTIF('Stephanie'!$B$6:$B$300,$A165)&gt;0,"Stephanie",""),IF(COUNTIF('Fox'!$B$6:$B$300,$A165)&gt;0,"Fox",""),IF(COUNTIF('Bruna'!$B$6:$B$300,$A165)&gt;0,"Bruna",""),IF(COUNTIF('Stella'!$B$6:$B$300,$A165)&gt;0,"Stella",""),IF(COUNTIF('Igor'!$B$6:$B$300,$A165)&gt;0,"Igor","")))</f>
        <v/>
      </c>
      <c r="H165" s="13" t="n"/>
      <c r="I165" s="13" t="inlineStr">
        <is>
          <t>Pausado</t>
        </is>
      </c>
      <c r="J165" s="17">
        <f>IF(OR($A165="",(COUNTIF('Clarice'!$B$6:$B$300,$A165)+COUNTIF('Luisa'!$B$6:$B$300,$A165)+COUNTIF('Lui'!$B$6:$B$300,$A165)+COUNTIF('Thaís'!$B$6:$B$300,$A165)+COUNTIF('Daniel'!$B$6:$B$300,$A165)+COUNTIF('Fernando'!$B$6:$B$300,$A165)+COUNTIF('Stephanie'!$B$6:$B$300,$A165)+COUNTIF('Fox'!$B$6:$B$300,$A165)+COUNTIF('Bruna'!$B$6:$B$300,$A165)+COUNTIF('Stella'!$B$6:$B$300,$A165)+COUNTIF('Igor'!$B$6:$B$300,$A165))=0),"",(COUNTIFS('Clarice'!$B$6:$B$300,$A165,'Clarice'!$F$6:$F$300,"Concluído")+COUNTIFS('Luisa'!$B$6:$B$300,$A165,'Luisa'!$F$6:$F$300,"Concluído")+COUNTIFS('Lui'!$B$6:$B$300,$A165,'Lui'!$F$6:$F$300,"Concluído")+COUNTIFS('Thaís'!$B$6:$B$300,$A165,'Thaís'!$F$6:$F$300,"Concluído")+COUNTIFS('Daniel'!$B$6:$B$300,$A165,'Daniel'!$F$6:$F$300,"Concluído")+COUNTIFS('Fernando'!$B$6:$B$300,$A165,'Fernando'!$F$6:$F$300,"Concluído")+COUNTIFS('Stephanie'!$B$6:$B$300,$A165,'Stephanie'!$F$6:$F$300,"Concluído")+COUNTIFS('Fox'!$B$6:$B$300,$A165,'Fox'!$F$6:$F$300,"Concluído")+COUNTIFS('Bruna'!$B$6:$B$300,$A165,'Bruna'!$F$6:$F$300,"Concluído")+COUNTIFS('Stella'!$B$6:$B$300,$A165,'Stella'!$F$6:$F$300,"Concluído")+COUNTIFS('Igor'!$B$6:$B$300,$A165,'Igor'!$F$6:$F$300,"Concluído"))&amp;" / "&amp;(COUNTIF('Clarice'!$B$6:$B$300,$A165)+COUNTIF('Luisa'!$B$6:$B$300,$A165)+COUNTIF('Lui'!$B$6:$B$300,$A165)+COUNTIF('Thaís'!$B$6:$B$300,$A165)+COUNTIF('Daniel'!$B$6:$B$300,$A165)+COUNTIF('Fernando'!$B$6:$B$300,$A165)+COUNTIF('Stephanie'!$B$6:$B$300,$A165)+COUNTIF('Fox'!$B$6:$B$300,$A165)+COUNTIF('Bruna'!$B$6:$B$300,$A165)+COUNTIF('Stella'!$B$6:$B$300,$A165)+COUNTIF('Igor'!$B$6:$B$300,$A165)))</f>
        <v/>
      </c>
      <c r="K165" s="19" t="n"/>
      <c r="L165" s="19" t="n"/>
      <c r="M165" s="19" t="n"/>
      <c r="N165" s="19" t="n"/>
      <c r="O165" s="19" t="n"/>
      <c r="P165" s="20">
        <f>IF($A165="","",IF(M165&lt;&gt;"",M165,IF(K165&lt;&gt;"",K165,"")))</f>
        <v/>
      </c>
      <c r="Q165" s="20">
        <f>IF($A165="","",IF(N165&lt;&gt;"",N165,IF(L165&lt;&gt;"",L165,"")))</f>
        <v/>
      </c>
      <c r="R165" s="15" t="n"/>
      <c r="S165" s="16">
        <f t="array" ref="S165">IF($A165="","",_xlfn.TEXTJOIN(CHAR(10),TRUE,IF('Clarice'!$B$6:$B$300=$A165,"Clarice"&amp;IF('Clarice'!$E$6:$E$300="",""," : "&amp;'Clarice'!$E$6:$E$300)&amp;" ["&amp;'Clarice'!$F$6:$F$300&amp;"]",""),IF('Luisa'!$B$6:$B$300=$A165,"Luisa"&amp;IF('Luisa'!$E$6:$E$300="",""," : "&amp;'Luisa'!$E$6:$E$300)&amp;" ["&amp;'Luisa'!$F$6:$F$300&amp;"]",""),IF('Lui'!$B$6:$B$300=$A165,"Lui"&amp;IF('Lui'!$E$6:$E$300="",""," : "&amp;'Lui'!$E$6:$E$300)&amp;" ["&amp;'Lui'!$F$6:$F$300&amp;"]",""),IF('Thaís'!$B$6:$B$300=$A165,"Thaís"&amp;IF('Thaís'!$E$6:$E$300="",""," : "&amp;'Thaís'!$E$6:$E$300)&amp;" ["&amp;'Thaís'!$F$6:$F$300&amp;"]",""),IF('Daniel'!$B$6:$B$300=$A165,"Daniel"&amp;IF('Daniel'!$E$6:$E$300="",""," : "&amp;'Daniel'!$E$6:$E$300)&amp;" ["&amp;'Daniel'!$F$6:$F$300&amp;"]",""),IF('Fernando'!$B$6:$B$300=$A165,"Fernando"&amp;IF('Fernando'!$E$6:$E$300="",""," : "&amp;'Fernando'!$E$6:$E$300)&amp;" ["&amp;'Fernando'!$F$6:$F$300&amp;"]",""),IF('Stephanie'!$B$6:$B$300=$A165,"Stephanie"&amp;IF('Stephanie'!$E$6:$E$300="",""," : "&amp;'Stephanie'!$E$6:$E$300)&amp;" ["&amp;'Stephanie'!$F$6:$F$300&amp;"]",""),IF('Fox'!$B$6:$B$300=$A165,"Fox"&amp;IF('Fox'!$E$6:$E$300="",""," : "&amp;'Fox'!$E$6:$E$300)&amp;" ["&amp;'Fox'!$F$6:$F$300&amp;"]",""),IF('Bruna'!$B$6:$B$300=$A165,"Bruna"&amp;IF('Bruna'!$E$6:$E$300="",""," : "&amp;'Bruna'!$E$6:$E$300)&amp;" ["&amp;'Bruna'!$F$6:$F$300&amp;"]",""),IF('Stella'!$B$6:$B$300=$A165,"Stella"&amp;IF('Stella'!$E$6:$E$300="",""," : "&amp;'Stella'!$E$6:$E$300)&amp;" ["&amp;'Stella'!$F$6:$F$300&amp;"]",""),IF('Igor'!$B$6:$B$300=$A165,"Igor"&amp;IF('Igor'!$E$6:$E$300="",""," : "&amp;'Igor'!$E$6:$E$300)&amp;" ["&amp;'Igor'!$F$6:$F$300&amp;"]","")))</f>
        <v/>
      </c>
    </row>
    <row r="166" ht="15.5" customHeight="1">
      <c r="A166" s="13" t="inlineStr">
        <is>
          <t>DM-101</t>
        </is>
      </c>
      <c r="B166" s="14" t="inlineStr">
        <is>
          <t>Etapa 2: Construção das métricas | Atividade 7: Operacionalização das métricas | Atividade 8: Aplicação das métricas</t>
        </is>
      </c>
      <c r="C166" s="14" t="inlineStr">
        <is>
          <t>3. Aplicação da DM</t>
        </is>
      </c>
      <c r="D166" s="14" t="inlineStr">
        <is>
          <t>GR3</t>
        </is>
      </c>
      <c r="E166" s="15" t="inlineStr">
        <is>
          <t>Apresentar os resultados para a Petrobras (GR3)</t>
        </is>
      </c>
      <c r="F166" s="13" t="inlineStr">
        <is>
          <t>Daniel</t>
        </is>
      </c>
      <c r="G166" s="16">
        <f>IF($A166="","",_xlfn.TEXTJOIN("; ",TRUE,IF(COUNTIF('Clarice'!$B$6:$B$300,$A166)&gt;0,"Clarice",""),IF(COUNTIF('Luisa'!$B$6:$B$300,$A166)&gt;0,"Luisa",""),IF(COUNTIF('Lui'!$B$6:$B$300,$A166)&gt;0,"Lui",""),IF(COUNTIF('Thaís'!$B$6:$B$300,$A166)&gt;0,"Thaís",""),IF(COUNTIF('Daniel'!$B$6:$B$300,$A166)&gt;0,"Daniel",""),IF(COUNTIF('Fernando'!$B$6:$B$300,$A166)&gt;0,"Fernando",""),IF(COUNTIF('Stephanie'!$B$6:$B$300,$A166)&gt;0,"Stephanie",""),IF(COUNTIF('Fox'!$B$6:$B$300,$A166)&gt;0,"Fox",""),IF(COUNTIF('Bruna'!$B$6:$B$300,$A166)&gt;0,"Bruna",""),IF(COUNTIF('Stella'!$B$6:$B$300,$A166)&gt;0,"Stella",""),IF(COUNTIF('Igor'!$B$6:$B$300,$A166)&gt;0,"Igor","")))</f>
        <v/>
      </c>
      <c r="H166" s="13" t="n"/>
      <c r="I166" s="13" t="inlineStr">
        <is>
          <t>Pausado</t>
        </is>
      </c>
      <c r="J166" s="17">
        <f>IF(OR($A166="",(COUNTIF('Clarice'!$B$6:$B$300,$A166)+COUNTIF('Luisa'!$B$6:$B$300,$A166)+COUNTIF('Lui'!$B$6:$B$300,$A166)+COUNTIF('Thaís'!$B$6:$B$300,$A166)+COUNTIF('Daniel'!$B$6:$B$300,$A166)+COUNTIF('Fernando'!$B$6:$B$300,$A166)+COUNTIF('Stephanie'!$B$6:$B$300,$A166)+COUNTIF('Fox'!$B$6:$B$300,$A166)+COUNTIF('Bruna'!$B$6:$B$300,$A166)+COUNTIF('Stella'!$B$6:$B$300,$A166)+COUNTIF('Igor'!$B$6:$B$300,$A166))=0),"",(COUNTIFS('Clarice'!$B$6:$B$300,$A166,'Clarice'!$F$6:$F$300,"Concluído")+COUNTIFS('Luisa'!$B$6:$B$300,$A166,'Luisa'!$F$6:$F$300,"Concluído")+COUNTIFS('Lui'!$B$6:$B$300,$A166,'Lui'!$F$6:$F$300,"Concluído")+COUNTIFS('Thaís'!$B$6:$B$300,$A166,'Thaís'!$F$6:$F$300,"Concluído")+COUNTIFS('Daniel'!$B$6:$B$300,$A166,'Daniel'!$F$6:$F$300,"Concluído")+COUNTIFS('Fernando'!$B$6:$B$300,$A166,'Fernando'!$F$6:$F$300,"Concluído")+COUNTIFS('Stephanie'!$B$6:$B$300,$A166,'Stephanie'!$F$6:$F$300,"Concluído")+COUNTIFS('Fox'!$B$6:$B$300,$A166,'Fox'!$F$6:$F$300,"Concluído")+COUNTIFS('Bruna'!$B$6:$B$300,$A166,'Bruna'!$F$6:$F$300,"Concluído")+COUNTIFS('Stella'!$B$6:$B$300,$A166,'Stella'!$F$6:$F$300,"Concluído")+COUNTIFS('Igor'!$B$6:$B$300,$A166,'Igor'!$F$6:$F$300,"Concluído"))&amp;" / "&amp;(COUNTIF('Clarice'!$B$6:$B$300,$A166)+COUNTIF('Luisa'!$B$6:$B$300,$A166)+COUNTIF('Lui'!$B$6:$B$300,$A166)+COUNTIF('Thaís'!$B$6:$B$300,$A166)+COUNTIF('Daniel'!$B$6:$B$300,$A166)+COUNTIF('Fernando'!$B$6:$B$300,$A166)+COUNTIF('Stephanie'!$B$6:$B$300,$A166)+COUNTIF('Fox'!$B$6:$B$300,$A166)+COUNTIF('Bruna'!$B$6:$B$300,$A166)+COUNTIF('Stella'!$B$6:$B$300,$A166)+COUNTIF('Igor'!$B$6:$B$300,$A166)))</f>
        <v/>
      </c>
      <c r="K166" s="19" t="n"/>
      <c r="L166" s="19" t="n"/>
      <c r="M166" s="19" t="n"/>
      <c r="N166" s="19" t="n"/>
      <c r="O166" s="19" t="n"/>
      <c r="P166" s="20">
        <f>IF($A166="","",IF(M166&lt;&gt;"",M166,IF(K166&lt;&gt;"",K166,"")))</f>
        <v/>
      </c>
      <c r="Q166" s="20">
        <f>IF($A166="","",IF(N166&lt;&gt;"",N166,IF(L166&lt;&gt;"",L166,"")))</f>
        <v/>
      </c>
      <c r="R166" s="15" t="n"/>
      <c r="S166" s="16">
        <f t="array" ref="S166">IF($A166="","",_xlfn.TEXTJOIN(CHAR(10),TRUE,IF('Clarice'!$B$6:$B$300=$A166,"Clarice"&amp;IF('Clarice'!$E$6:$E$300="",""," : "&amp;'Clarice'!$E$6:$E$300)&amp;" ["&amp;'Clarice'!$F$6:$F$300&amp;"]",""),IF('Luisa'!$B$6:$B$300=$A166,"Luisa"&amp;IF('Luisa'!$E$6:$E$300="",""," : "&amp;'Luisa'!$E$6:$E$300)&amp;" ["&amp;'Luisa'!$F$6:$F$300&amp;"]",""),IF('Lui'!$B$6:$B$300=$A166,"Lui"&amp;IF('Lui'!$E$6:$E$300="",""," : "&amp;'Lui'!$E$6:$E$300)&amp;" ["&amp;'Lui'!$F$6:$F$300&amp;"]",""),IF('Thaís'!$B$6:$B$300=$A166,"Thaís"&amp;IF('Thaís'!$E$6:$E$300="",""," : "&amp;'Thaís'!$E$6:$E$300)&amp;" ["&amp;'Thaís'!$F$6:$F$300&amp;"]",""),IF('Daniel'!$B$6:$B$300=$A166,"Daniel"&amp;IF('Daniel'!$E$6:$E$300="",""," : "&amp;'Daniel'!$E$6:$E$300)&amp;" ["&amp;'Daniel'!$F$6:$F$300&amp;"]",""),IF('Fernando'!$B$6:$B$300=$A166,"Fernando"&amp;IF('Fernando'!$E$6:$E$300="",""," : "&amp;'Fernando'!$E$6:$E$300)&amp;" ["&amp;'Fernando'!$F$6:$F$300&amp;"]",""),IF('Stephanie'!$B$6:$B$300=$A166,"Stephanie"&amp;IF('Stephanie'!$E$6:$E$300="",""," : "&amp;'Stephanie'!$E$6:$E$300)&amp;" ["&amp;'Stephanie'!$F$6:$F$300&amp;"]",""),IF('Fox'!$B$6:$B$300=$A166,"Fox"&amp;IF('Fox'!$E$6:$E$300="",""," : "&amp;'Fox'!$E$6:$E$300)&amp;" ["&amp;'Fox'!$F$6:$F$300&amp;"]",""),IF('Bruna'!$B$6:$B$300=$A166,"Bruna"&amp;IF('Bruna'!$E$6:$E$300="",""," : "&amp;'Bruna'!$E$6:$E$300)&amp;" ["&amp;'Bruna'!$F$6:$F$300&amp;"]",""),IF('Stella'!$B$6:$B$300=$A166,"Stella"&amp;IF('Stella'!$E$6:$E$300="",""," : "&amp;'Stella'!$E$6:$E$300)&amp;" ["&amp;'Stella'!$F$6:$F$300&amp;"]",""),IF('Igor'!$B$6:$B$300=$A166,"Igor"&amp;IF('Igor'!$E$6:$E$300="",""," : "&amp;'Igor'!$E$6:$E$300)&amp;" ["&amp;'Igor'!$F$6:$F$300&amp;"]","")))</f>
        <v/>
      </c>
    </row>
    <row r="167" ht="15.5" customHeight="1">
      <c r="A167" s="13" t="inlineStr">
        <is>
          <t>DM-102</t>
        </is>
      </c>
      <c r="B167" s="14" t="inlineStr">
        <is>
          <t>Etapa 2: Construção das métricas | Atividade 7: Operacionalização das métricas | Atividade 8: Aplicação das métricas</t>
        </is>
      </c>
      <c r="C167" s="14" t="inlineStr">
        <is>
          <t>3. Aplicação da DM</t>
        </is>
      </c>
      <c r="D167" s="14" t="inlineStr">
        <is>
          <t>GR3</t>
        </is>
      </c>
      <c r="E167" s="15" t="inlineStr">
        <is>
          <t>Fazer os ajustes necessários (GR3)</t>
        </is>
      </c>
      <c r="F167" s="13" t="inlineStr">
        <is>
          <t>Daniel</t>
        </is>
      </c>
      <c r="G167" s="16">
        <f>IF($A167="","",_xlfn.TEXTJOIN("; ",TRUE,IF(COUNTIF('Clarice'!$B$6:$B$300,$A167)&gt;0,"Clarice",""),IF(COUNTIF('Luisa'!$B$6:$B$300,$A167)&gt;0,"Luisa",""),IF(COUNTIF('Lui'!$B$6:$B$300,$A167)&gt;0,"Lui",""),IF(COUNTIF('Thaís'!$B$6:$B$300,$A167)&gt;0,"Thaís",""),IF(COUNTIF('Daniel'!$B$6:$B$300,$A167)&gt;0,"Daniel",""),IF(COUNTIF('Fernando'!$B$6:$B$300,$A167)&gt;0,"Fernando",""),IF(COUNTIF('Stephanie'!$B$6:$B$300,$A167)&gt;0,"Stephanie",""),IF(COUNTIF('Fox'!$B$6:$B$300,$A167)&gt;0,"Fox",""),IF(COUNTIF('Bruna'!$B$6:$B$300,$A167)&gt;0,"Bruna",""),IF(COUNTIF('Stella'!$B$6:$B$300,$A167)&gt;0,"Stella",""),IF(COUNTIF('Igor'!$B$6:$B$300,$A167)&gt;0,"Igor","")))</f>
        <v/>
      </c>
      <c r="H167" s="13" t="n"/>
      <c r="I167" s="13" t="inlineStr">
        <is>
          <t>Pausado</t>
        </is>
      </c>
      <c r="J167" s="17">
        <f>IF(OR($A167="",(COUNTIF('Clarice'!$B$6:$B$300,$A167)+COUNTIF('Luisa'!$B$6:$B$300,$A167)+COUNTIF('Lui'!$B$6:$B$300,$A167)+COUNTIF('Thaís'!$B$6:$B$300,$A167)+COUNTIF('Daniel'!$B$6:$B$300,$A167)+COUNTIF('Fernando'!$B$6:$B$300,$A167)+COUNTIF('Stephanie'!$B$6:$B$300,$A167)+COUNTIF('Fox'!$B$6:$B$300,$A167)+COUNTIF('Bruna'!$B$6:$B$300,$A167)+COUNTIF('Stella'!$B$6:$B$300,$A167)+COUNTIF('Igor'!$B$6:$B$300,$A167))=0),"",(COUNTIFS('Clarice'!$B$6:$B$300,$A167,'Clarice'!$F$6:$F$300,"Concluído")+COUNTIFS('Luisa'!$B$6:$B$300,$A167,'Luisa'!$F$6:$F$300,"Concluído")+COUNTIFS('Lui'!$B$6:$B$300,$A167,'Lui'!$F$6:$F$300,"Concluído")+COUNTIFS('Thaís'!$B$6:$B$300,$A167,'Thaís'!$F$6:$F$300,"Concluído")+COUNTIFS('Daniel'!$B$6:$B$300,$A167,'Daniel'!$F$6:$F$300,"Concluído")+COUNTIFS('Fernando'!$B$6:$B$300,$A167,'Fernando'!$F$6:$F$300,"Concluído")+COUNTIFS('Stephanie'!$B$6:$B$300,$A167,'Stephanie'!$F$6:$F$300,"Concluído")+COUNTIFS('Fox'!$B$6:$B$300,$A167,'Fox'!$F$6:$F$300,"Concluído")+COUNTIFS('Bruna'!$B$6:$B$300,$A167,'Bruna'!$F$6:$F$300,"Concluído")+COUNTIFS('Stella'!$B$6:$B$300,$A167,'Stella'!$F$6:$F$300,"Concluído")+COUNTIFS('Igor'!$B$6:$B$300,$A167,'Igor'!$F$6:$F$300,"Concluído"))&amp;" / "&amp;(COUNTIF('Clarice'!$B$6:$B$300,$A167)+COUNTIF('Luisa'!$B$6:$B$300,$A167)+COUNTIF('Lui'!$B$6:$B$300,$A167)+COUNTIF('Thaís'!$B$6:$B$300,$A167)+COUNTIF('Daniel'!$B$6:$B$300,$A167)+COUNTIF('Fernando'!$B$6:$B$300,$A167)+COUNTIF('Stephanie'!$B$6:$B$300,$A167)+COUNTIF('Fox'!$B$6:$B$300,$A167)+COUNTIF('Bruna'!$B$6:$B$300,$A167)+COUNTIF('Stella'!$B$6:$B$300,$A167)+COUNTIF('Igor'!$B$6:$B$300,$A167)))</f>
        <v/>
      </c>
      <c r="K167" s="19" t="n"/>
      <c r="L167" s="19" t="n"/>
      <c r="M167" s="19" t="n"/>
      <c r="N167" s="19" t="n"/>
      <c r="O167" s="19" t="n"/>
      <c r="P167" s="20">
        <f>IF($A167="","",IF(M167&lt;&gt;"",M167,IF(K167&lt;&gt;"",K167,"")))</f>
        <v/>
      </c>
      <c r="Q167" s="20">
        <f>IF($A167="","",IF(N167&lt;&gt;"",N167,IF(L167&lt;&gt;"",L167,"")))</f>
        <v/>
      </c>
      <c r="R167" s="15" t="n"/>
      <c r="S167" s="16">
        <f t="array" ref="S167">IF($A167="","",_xlfn.TEXTJOIN(CHAR(10),TRUE,IF('Clarice'!$B$6:$B$300=$A167,"Clarice"&amp;IF('Clarice'!$E$6:$E$300="",""," : "&amp;'Clarice'!$E$6:$E$300)&amp;" ["&amp;'Clarice'!$F$6:$F$300&amp;"]",""),IF('Luisa'!$B$6:$B$300=$A167,"Luisa"&amp;IF('Luisa'!$E$6:$E$300="",""," : "&amp;'Luisa'!$E$6:$E$300)&amp;" ["&amp;'Luisa'!$F$6:$F$300&amp;"]",""),IF('Lui'!$B$6:$B$300=$A167,"Lui"&amp;IF('Lui'!$E$6:$E$300="",""," : "&amp;'Lui'!$E$6:$E$300)&amp;" ["&amp;'Lui'!$F$6:$F$300&amp;"]",""),IF('Thaís'!$B$6:$B$300=$A167,"Thaís"&amp;IF('Thaís'!$E$6:$E$300="",""," : "&amp;'Thaís'!$E$6:$E$300)&amp;" ["&amp;'Thaís'!$F$6:$F$300&amp;"]",""),IF('Daniel'!$B$6:$B$300=$A167,"Daniel"&amp;IF('Daniel'!$E$6:$E$300="",""," : "&amp;'Daniel'!$E$6:$E$300)&amp;" ["&amp;'Daniel'!$F$6:$F$300&amp;"]",""),IF('Fernando'!$B$6:$B$300=$A167,"Fernando"&amp;IF('Fernando'!$E$6:$E$300="",""," : "&amp;'Fernando'!$E$6:$E$300)&amp;" ["&amp;'Fernando'!$F$6:$F$300&amp;"]",""),IF('Stephanie'!$B$6:$B$300=$A167,"Stephanie"&amp;IF('Stephanie'!$E$6:$E$300="",""," : "&amp;'Stephanie'!$E$6:$E$300)&amp;" ["&amp;'Stephanie'!$F$6:$F$300&amp;"]",""),IF('Fox'!$B$6:$B$300=$A167,"Fox"&amp;IF('Fox'!$E$6:$E$300="",""," : "&amp;'Fox'!$E$6:$E$300)&amp;" ["&amp;'Fox'!$F$6:$F$300&amp;"]",""),IF('Bruna'!$B$6:$B$300=$A167,"Bruna"&amp;IF('Bruna'!$E$6:$E$300="",""," : "&amp;'Bruna'!$E$6:$E$300)&amp;" ["&amp;'Bruna'!$F$6:$F$300&amp;"]",""),IF('Stella'!$B$6:$B$300=$A167,"Stella"&amp;IF('Stella'!$E$6:$E$300="",""," : "&amp;'Stella'!$E$6:$E$300)&amp;" ["&amp;'Stella'!$F$6:$F$300&amp;"]",""),IF('Igor'!$B$6:$B$300=$A167,"Igor"&amp;IF('Igor'!$E$6:$E$300="",""," : "&amp;'Igor'!$E$6:$E$300)&amp;" ["&amp;'Igor'!$F$6:$F$300&amp;"]","")))</f>
        <v/>
      </c>
    </row>
    <row r="168" ht="20" customHeight="1">
      <c r="A168" s="11" t="n"/>
      <c r="B168" s="11" t="inlineStr">
        <is>
          <t>Etapa 2: Construção das métricas | Atividade 7: Operacionalização das métricas | Atividade 8: Aplicação das métricas</t>
        </is>
      </c>
      <c r="C168" s="11" t="inlineStr">
        <is>
          <t>Aplicação da SBM</t>
        </is>
      </c>
      <c r="D168" s="11" t="n"/>
      <c r="E168" s="11" t="inlineStr">
        <is>
          <t>Aplicação da SBM</t>
        </is>
      </c>
      <c r="F168" s="11" t="n"/>
      <c r="G168" s="11">
        <f>IF($A168="","",_xlfn.TEXTJOIN("; ",TRUE,IF(COUNTIF('Clarice'!$B$6:$B$300,$A168)&gt;0,"Clarice",""),IF(COUNTIF('Luisa'!$B$6:$B$300,$A168)&gt;0,"Luisa",""),IF(COUNTIF('Lui'!$B$6:$B$300,$A168)&gt;0,"Lui",""),IF(COUNTIF('Thaís'!$B$6:$B$300,$A168)&gt;0,"Thaís",""),IF(COUNTIF('Daniel'!$B$6:$B$300,$A168)&gt;0,"Daniel",""),IF(COUNTIF('Fernando'!$B$6:$B$300,$A168)&gt;0,"Fernando",""),IF(COUNTIF('Stephanie'!$B$6:$B$300,$A168)&gt;0,"Stephanie",""),IF(COUNTIF('Fox'!$B$6:$B$300,$A168)&gt;0,"Fox",""),IF(COUNTIF('Bruna'!$B$6:$B$300,$A168)&gt;0,"Bruna",""),IF(COUNTIF('Stella'!$B$6:$B$300,$A168)&gt;0,"Stella",""),IF(COUNTIF('Igor'!$B$6:$B$300,$A168)&gt;0,"Igor","")))</f>
        <v/>
      </c>
      <c r="H168" s="11" t="n"/>
      <c r="I168" s="11" t="n"/>
      <c r="J168" s="11">
        <f>IF(OR($A168="",(COUNTIF('Clarice'!$B$6:$B$300,$A168)+COUNTIF('Luisa'!$B$6:$B$300,$A168)+COUNTIF('Lui'!$B$6:$B$300,$A168)+COUNTIF('Thaís'!$B$6:$B$300,$A168)+COUNTIF('Daniel'!$B$6:$B$300,$A168)+COUNTIF('Fernando'!$B$6:$B$300,$A168)+COUNTIF('Stephanie'!$B$6:$B$300,$A168)+COUNTIF('Fox'!$B$6:$B$300,$A168)+COUNTIF('Bruna'!$B$6:$B$300,$A168)+COUNTIF('Stella'!$B$6:$B$300,$A168)+COUNTIF('Igor'!$B$6:$B$300,$A168))=0),"",(COUNTIFS('Clarice'!$B$6:$B$300,$A168,'Clarice'!$F$6:$F$300,"Concluído")+COUNTIFS('Luisa'!$B$6:$B$300,$A168,'Luisa'!$F$6:$F$300,"Concluído")+COUNTIFS('Lui'!$B$6:$B$300,$A168,'Lui'!$F$6:$F$300,"Concluído")+COUNTIFS('Thaís'!$B$6:$B$300,$A168,'Thaís'!$F$6:$F$300,"Concluído")+COUNTIFS('Daniel'!$B$6:$B$300,$A168,'Daniel'!$F$6:$F$300,"Concluído")+COUNTIFS('Fernando'!$B$6:$B$300,$A168,'Fernando'!$F$6:$F$300,"Concluído")+COUNTIFS('Stephanie'!$B$6:$B$300,$A168,'Stephanie'!$F$6:$F$300,"Concluído")+COUNTIFS('Fox'!$B$6:$B$300,$A168,'Fox'!$F$6:$F$300,"Concluído")+COUNTIFS('Bruna'!$B$6:$B$300,$A168,'Bruna'!$F$6:$F$300,"Concluído")+COUNTIFS('Stella'!$B$6:$B$300,$A168,'Stella'!$F$6:$F$300,"Concluído")+COUNTIFS('Igor'!$B$6:$B$300,$A168,'Igor'!$F$6:$F$300,"Concluído"))&amp;" / "&amp;(COUNTIF('Clarice'!$B$6:$B$300,$A168)+COUNTIF('Luisa'!$B$6:$B$300,$A168)+COUNTIF('Lui'!$B$6:$B$300,$A168)+COUNTIF('Thaís'!$B$6:$B$300,$A168)+COUNTIF('Daniel'!$B$6:$B$300,$A168)+COUNTIF('Fernando'!$B$6:$B$300,$A168)+COUNTIF('Stephanie'!$B$6:$B$300,$A168)+COUNTIF('Fox'!$B$6:$B$300,$A168)+COUNTIF('Bruna'!$B$6:$B$300,$A168)+COUNTIF('Stella'!$B$6:$B$300,$A168)+COUNTIF('Igor'!$B$6:$B$300,$A168)))</f>
        <v/>
      </c>
      <c r="K168" s="11" t="n"/>
      <c r="L168" s="11" t="n"/>
      <c r="M168" s="11" t="n"/>
      <c r="N168" s="11" t="n"/>
      <c r="O168" s="11" t="n"/>
      <c r="P168" s="12">
        <f>IF($A168="","",IF(M168&lt;&gt;"",M168,IF(K168&lt;&gt;"",K168,"")))</f>
        <v/>
      </c>
      <c r="Q168" s="12">
        <f>IF($A168="","",IF(N168&lt;&gt;"",N168,IF(L168&lt;&gt;"",L168,"")))</f>
        <v/>
      </c>
      <c r="R168" s="11" t="n"/>
      <c r="S168" s="11">
        <f t="array" ref="S168">IF($A168="","",_xlfn.TEXTJOIN(CHAR(10),TRUE,IF('Clarice'!$B$6:$B$300=$A168,"Clarice"&amp;IF('Clarice'!$E$6:$E$300="",""," : "&amp;'Clarice'!$E$6:$E$300)&amp;" ["&amp;'Clarice'!$F$6:$F$300&amp;"]",""),IF('Luisa'!$B$6:$B$300=$A168,"Luisa"&amp;IF('Luisa'!$E$6:$E$300="",""," : "&amp;'Luisa'!$E$6:$E$300)&amp;" ["&amp;'Luisa'!$F$6:$F$300&amp;"]",""),IF('Lui'!$B$6:$B$300=$A168,"Lui"&amp;IF('Lui'!$E$6:$E$300="",""," : "&amp;'Lui'!$E$6:$E$300)&amp;" ["&amp;'Lui'!$F$6:$F$300&amp;"]",""),IF('Thaís'!$B$6:$B$300=$A168,"Thaís"&amp;IF('Thaís'!$E$6:$E$300="",""," : "&amp;'Thaís'!$E$6:$E$300)&amp;" ["&amp;'Thaís'!$F$6:$F$300&amp;"]",""),IF('Daniel'!$B$6:$B$300=$A168,"Daniel"&amp;IF('Daniel'!$E$6:$E$300="",""," : "&amp;'Daniel'!$E$6:$E$300)&amp;" ["&amp;'Daniel'!$F$6:$F$300&amp;"]",""),IF('Fernando'!$B$6:$B$300=$A168,"Fernando"&amp;IF('Fernando'!$E$6:$E$300="",""," : "&amp;'Fernando'!$E$6:$E$300)&amp;" ["&amp;'Fernando'!$F$6:$F$300&amp;"]",""),IF('Stephanie'!$B$6:$B$300=$A168,"Stephanie"&amp;IF('Stephanie'!$E$6:$E$300="",""," : "&amp;'Stephanie'!$E$6:$E$300)&amp;" ["&amp;'Stephanie'!$F$6:$F$300&amp;"]",""),IF('Fox'!$B$6:$B$300=$A168,"Fox"&amp;IF('Fox'!$E$6:$E$300="",""," : "&amp;'Fox'!$E$6:$E$300)&amp;" ["&amp;'Fox'!$F$6:$F$300&amp;"]",""),IF('Bruna'!$B$6:$B$300=$A168,"Bruna"&amp;IF('Bruna'!$E$6:$E$300="",""," : "&amp;'Bruna'!$E$6:$E$300)&amp;" ["&amp;'Bruna'!$F$6:$F$300&amp;"]",""),IF('Stella'!$B$6:$B$300=$A168,"Stella"&amp;IF('Stella'!$E$6:$E$300="",""," : "&amp;'Stella'!$E$6:$E$300)&amp;" ["&amp;'Stella'!$F$6:$F$300&amp;"]",""),IF('Igor'!$B$6:$B$300=$A168,"Igor"&amp;IF('Igor'!$E$6:$E$300="",""," : "&amp;'Igor'!$E$6:$E$300)&amp;" ["&amp;'Igor'!$F$6:$F$300&amp;"]","")))</f>
        <v/>
      </c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</row>
    <row r="169" ht="40.5" customHeight="1">
      <c r="A169" s="13" t="inlineStr">
        <is>
          <t>SBM-001</t>
        </is>
      </c>
      <c r="B169" s="14" t="inlineStr">
        <is>
          <t>Etapa 2: Construção das métricas | Atividade 7: Operacionalização das métricas | Atividade 8: Aplicação das métricas</t>
        </is>
      </c>
      <c r="C169" s="14" t="inlineStr">
        <is>
          <t>Aplicação da SBM</t>
        </is>
      </c>
      <c r="D169" s="14" t="n"/>
      <c r="E169" s="15" t="inlineStr">
        <is>
          <t>Reler os documentos associados à métrica (ex. relatório da SBM, adaptação da Mineral, slide Petrobras, tabelas da Etapa 1)</t>
        </is>
      </c>
      <c r="F169" s="13" t="n"/>
      <c r="G169" s="16">
        <f>IF($A169="","",_xlfn.TEXTJOIN("; ",TRUE,IF(COUNTIF('Clarice'!$B$6:$B$300,$A169)&gt;0,"Clarice",""),IF(COUNTIF('Luisa'!$B$6:$B$300,$A169)&gt;0,"Luisa",""),IF(COUNTIF('Lui'!$B$6:$B$300,$A169)&gt;0,"Lui",""),IF(COUNTIF('Thaís'!$B$6:$B$300,$A169)&gt;0,"Thaís",""),IF(COUNTIF('Daniel'!$B$6:$B$300,$A169)&gt;0,"Daniel",""),IF(COUNTIF('Fernando'!$B$6:$B$300,$A169)&gt;0,"Fernando",""),IF(COUNTIF('Stephanie'!$B$6:$B$300,$A169)&gt;0,"Stephanie",""),IF(COUNTIF('Fox'!$B$6:$B$300,$A169)&gt;0,"Fox",""),IF(COUNTIF('Bruna'!$B$6:$B$300,$A169)&gt;0,"Bruna",""),IF(COUNTIF('Stella'!$B$6:$B$300,$A169)&gt;0,"Stella",""),IF(COUNTIF('Igor'!$B$6:$B$300,$A169)&gt;0,"Igor","")))</f>
        <v/>
      </c>
      <c r="H169" s="13" t="n"/>
      <c r="I169" s="13" t="inlineStr">
        <is>
          <t>Concluído</t>
        </is>
      </c>
      <c r="J169" s="17">
        <f>IF(OR($A169="",(COUNTIF('Clarice'!$B$6:$B$300,$A169)+COUNTIF('Luisa'!$B$6:$B$300,$A169)+COUNTIF('Lui'!$B$6:$B$300,$A169)+COUNTIF('Thaís'!$B$6:$B$300,$A169)+COUNTIF('Daniel'!$B$6:$B$300,$A169)+COUNTIF('Fernando'!$B$6:$B$300,$A169)+COUNTIF('Stephanie'!$B$6:$B$300,$A169)+COUNTIF('Fox'!$B$6:$B$300,$A169)+COUNTIF('Bruna'!$B$6:$B$300,$A169)+COUNTIF('Stella'!$B$6:$B$300,$A169)+COUNTIF('Igor'!$B$6:$B$300,$A169))=0),"",(COUNTIFS('Clarice'!$B$6:$B$300,$A169,'Clarice'!$F$6:$F$300,"Concluído")+COUNTIFS('Luisa'!$B$6:$B$300,$A169,'Luisa'!$F$6:$F$300,"Concluído")+COUNTIFS('Lui'!$B$6:$B$300,$A169,'Lui'!$F$6:$F$300,"Concluído")+COUNTIFS('Thaís'!$B$6:$B$300,$A169,'Thaís'!$F$6:$F$300,"Concluído")+COUNTIFS('Daniel'!$B$6:$B$300,$A169,'Daniel'!$F$6:$F$300,"Concluído")+COUNTIFS('Fernando'!$B$6:$B$300,$A169,'Fernando'!$F$6:$F$300,"Concluído")+COUNTIFS('Stephanie'!$B$6:$B$300,$A169,'Stephanie'!$F$6:$F$300,"Concluído")+COUNTIFS('Fox'!$B$6:$B$300,$A169,'Fox'!$F$6:$F$300,"Concluído")+COUNTIFS('Bruna'!$B$6:$B$300,$A169,'Bruna'!$F$6:$F$300,"Concluído")+COUNTIFS('Stella'!$B$6:$B$300,$A169,'Stella'!$F$6:$F$300,"Concluído")+COUNTIFS('Igor'!$B$6:$B$300,$A169,'Igor'!$F$6:$F$300,"Concluído"))&amp;" / "&amp;(COUNTIF('Clarice'!$B$6:$B$300,$A169)+COUNTIF('Luisa'!$B$6:$B$300,$A169)+COUNTIF('Lui'!$B$6:$B$300,$A169)+COUNTIF('Thaís'!$B$6:$B$300,$A169)+COUNTIF('Daniel'!$B$6:$B$300,$A169)+COUNTIF('Fernando'!$B$6:$B$300,$A169)+COUNTIF('Stephanie'!$B$6:$B$300,$A169)+COUNTIF('Fox'!$B$6:$B$300,$A169)+COUNTIF('Bruna'!$B$6:$B$300,$A169)+COUNTIF('Stella'!$B$6:$B$300,$A169)+COUNTIF('Igor'!$B$6:$B$300,$A169)))</f>
        <v/>
      </c>
      <c r="K169" s="18" t="n">
        <v>46118</v>
      </c>
      <c r="L169" s="18" t="n">
        <v>46129</v>
      </c>
      <c r="M169" s="19" t="n"/>
      <c r="N169" s="19" t="n"/>
      <c r="O169" s="19" t="n"/>
      <c r="P169" s="20">
        <f>IF($A169="","",IF(M169&lt;&gt;"",M169,IF(K169&lt;&gt;"",K169,"")))</f>
        <v/>
      </c>
      <c r="Q169" s="20">
        <f>IF($A169="","",IF(N169&lt;&gt;"",N169,IF(L169&lt;&gt;"",L169,"")))</f>
        <v/>
      </c>
      <c r="R169" s="15" t="n"/>
      <c r="S169" s="16">
        <f t="array" ref="S169">IF($A169="","",_xlfn.TEXTJOIN(CHAR(10),TRUE,IF('Clarice'!$B$6:$B$300=$A169,"Clarice"&amp;IF('Clarice'!$E$6:$E$300="",""," : "&amp;'Clarice'!$E$6:$E$300)&amp;" ["&amp;'Clarice'!$F$6:$F$300&amp;"]",""),IF('Luisa'!$B$6:$B$300=$A169,"Luisa"&amp;IF('Luisa'!$E$6:$E$300="",""," : "&amp;'Luisa'!$E$6:$E$300)&amp;" ["&amp;'Luisa'!$F$6:$F$300&amp;"]",""),IF('Lui'!$B$6:$B$300=$A169,"Lui"&amp;IF('Lui'!$E$6:$E$300="",""," : "&amp;'Lui'!$E$6:$E$300)&amp;" ["&amp;'Lui'!$F$6:$F$300&amp;"]",""),IF('Thaís'!$B$6:$B$300=$A169,"Thaís"&amp;IF('Thaís'!$E$6:$E$300="",""," : "&amp;'Thaís'!$E$6:$E$300)&amp;" ["&amp;'Thaís'!$F$6:$F$300&amp;"]",""),IF('Daniel'!$B$6:$B$300=$A169,"Daniel"&amp;IF('Daniel'!$E$6:$E$300="",""," : "&amp;'Daniel'!$E$6:$E$300)&amp;" ["&amp;'Daniel'!$F$6:$F$300&amp;"]",""),IF('Fernando'!$B$6:$B$300=$A169,"Fernando"&amp;IF('Fernando'!$E$6:$E$300="",""," : "&amp;'Fernando'!$E$6:$E$300)&amp;" ["&amp;'Fernando'!$F$6:$F$300&amp;"]",""),IF('Stephanie'!$B$6:$B$300=$A169,"Stephanie"&amp;IF('Stephanie'!$E$6:$E$300="",""," : "&amp;'Stephanie'!$E$6:$E$300)&amp;" ["&amp;'Stephanie'!$F$6:$F$300&amp;"]",""),IF('Fox'!$B$6:$B$300=$A169,"Fox"&amp;IF('Fox'!$E$6:$E$300="",""," : "&amp;'Fox'!$E$6:$E$300)&amp;" ["&amp;'Fox'!$F$6:$F$300&amp;"]",""),IF('Bruna'!$B$6:$B$300=$A169,"Bruna"&amp;IF('Bruna'!$E$6:$E$300="",""," : "&amp;'Bruna'!$E$6:$E$300)&amp;" ["&amp;'Bruna'!$F$6:$F$300&amp;"]",""),IF('Stella'!$B$6:$B$300=$A169,"Stella"&amp;IF('Stella'!$E$6:$E$300="",""," : "&amp;'Stella'!$E$6:$E$300)&amp;" ["&amp;'Stella'!$F$6:$F$300&amp;"]",""),IF('Igor'!$B$6:$B$300=$A169,"Igor"&amp;IF('Igor'!$E$6:$E$300="",""," : "&amp;'Igor'!$E$6:$E$300)&amp;" ["&amp;'Igor'!$F$6:$F$300&amp;"]","")))</f>
        <v/>
      </c>
    </row>
    <row r="170" ht="15.5" customHeight="1">
      <c r="A170" s="13" t="inlineStr">
        <is>
          <t>SBM-002</t>
        </is>
      </c>
      <c r="B170" s="14" t="inlineStr">
        <is>
          <t>Etapa 2: Construção das métricas | Atividade 7: Operacionalização das métricas | Atividade 8: Aplicação das métricas</t>
        </is>
      </c>
      <c r="C170" s="14" t="inlineStr">
        <is>
          <t>Aplicação da SBM</t>
        </is>
      </c>
      <c r="D170" s="14" t="n"/>
      <c r="E170" s="15" t="inlineStr">
        <is>
          <t>Ler o material da Ramboll da ABM e GBM</t>
        </is>
      </c>
      <c r="F170" s="13" t="n"/>
      <c r="G170" s="16">
        <f>IF($A170="","",_xlfn.TEXTJOIN("; ",TRUE,IF(COUNTIF('Clarice'!$B$6:$B$300,$A170)&gt;0,"Clarice",""),IF(COUNTIF('Luisa'!$B$6:$B$300,$A170)&gt;0,"Luisa",""),IF(COUNTIF('Lui'!$B$6:$B$300,$A170)&gt;0,"Lui",""),IF(COUNTIF('Thaís'!$B$6:$B$300,$A170)&gt;0,"Thaís",""),IF(COUNTIF('Daniel'!$B$6:$B$300,$A170)&gt;0,"Daniel",""),IF(COUNTIF('Fernando'!$B$6:$B$300,$A170)&gt;0,"Fernando",""),IF(COUNTIF('Stephanie'!$B$6:$B$300,$A170)&gt;0,"Stephanie",""),IF(COUNTIF('Fox'!$B$6:$B$300,$A170)&gt;0,"Fox",""),IF(COUNTIF('Bruna'!$B$6:$B$300,$A170)&gt;0,"Bruna",""),IF(COUNTIF('Stella'!$B$6:$B$300,$A170)&gt;0,"Stella",""),IF(COUNTIF('Igor'!$B$6:$B$300,$A170)&gt;0,"Igor","")))</f>
        <v/>
      </c>
      <c r="H170" s="13" t="n"/>
      <c r="I170" s="13" t="inlineStr">
        <is>
          <t>Concluído</t>
        </is>
      </c>
      <c r="J170" s="17">
        <f>IF(OR($A170="",(COUNTIF('Clarice'!$B$6:$B$300,$A170)+COUNTIF('Luisa'!$B$6:$B$300,$A170)+COUNTIF('Lui'!$B$6:$B$300,$A170)+COUNTIF('Thaís'!$B$6:$B$300,$A170)+COUNTIF('Daniel'!$B$6:$B$300,$A170)+COUNTIF('Fernando'!$B$6:$B$300,$A170)+COUNTIF('Stephanie'!$B$6:$B$300,$A170)+COUNTIF('Fox'!$B$6:$B$300,$A170)+COUNTIF('Bruna'!$B$6:$B$300,$A170)+COUNTIF('Stella'!$B$6:$B$300,$A170)+COUNTIF('Igor'!$B$6:$B$300,$A170))=0),"",(COUNTIFS('Clarice'!$B$6:$B$300,$A170,'Clarice'!$F$6:$F$300,"Concluído")+COUNTIFS('Luisa'!$B$6:$B$300,$A170,'Luisa'!$F$6:$F$300,"Concluído")+COUNTIFS('Lui'!$B$6:$B$300,$A170,'Lui'!$F$6:$F$300,"Concluído")+COUNTIFS('Thaís'!$B$6:$B$300,$A170,'Thaís'!$F$6:$F$300,"Concluído")+COUNTIFS('Daniel'!$B$6:$B$300,$A170,'Daniel'!$F$6:$F$300,"Concluído")+COUNTIFS('Fernando'!$B$6:$B$300,$A170,'Fernando'!$F$6:$F$300,"Concluído")+COUNTIFS('Stephanie'!$B$6:$B$300,$A170,'Stephanie'!$F$6:$F$300,"Concluído")+COUNTIFS('Fox'!$B$6:$B$300,$A170,'Fox'!$F$6:$F$300,"Concluído")+COUNTIFS('Bruna'!$B$6:$B$300,$A170,'Bruna'!$F$6:$F$300,"Concluído")+COUNTIFS('Stella'!$B$6:$B$300,$A170,'Stella'!$F$6:$F$300,"Concluído")+COUNTIFS('Igor'!$B$6:$B$300,$A170,'Igor'!$F$6:$F$300,"Concluído"))&amp;" / "&amp;(COUNTIF('Clarice'!$B$6:$B$300,$A170)+COUNTIF('Luisa'!$B$6:$B$300,$A170)+COUNTIF('Lui'!$B$6:$B$300,$A170)+COUNTIF('Thaís'!$B$6:$B$300,$A170)+COUNTIF('Daniel'!$B$6:$B$300,$A170)+COUNTIF('Fernando'!$B$6:$B$300,$A170)+COUNTIF('Stephanie'!$B$6:$B$300,$A170)+COUNTIF('Fox'!$B$6:$B$300,$A170)+COUNTIF('Bruna'!$B$6:$B$300,$A170)+COUNTIF('Stella'!$B$6:$B$300,$A170)+COUNTIF('Igor'!$B$6:$B$300,$A170)))</f>
        <v/>
      </c>
      <c r="K170" s="18" t="n">
        <v>46118</v>
      </c>
      <c r="L170" s="18" t="n">
        <v>46129</v>
      </c>
      <c r="M170" s="19" t="n"/>
      <c r="N170" s="19" t="n"/>
      <c r="O170" s="19" t="n"/>
      <c r="P170" s="20">
        <f>IF($A170="","",IF(M170&lt;&gt;"",M170,IF(K170&lt;&gt;"",K170,"")))</f>
        <v/>
      </c>
      <c r="Q170" s="20">
        <f>IF($A170="","",IF(N170&lt;&gt;"",N170,IF(L170&lt;&gt;"",L170,"")))</f>
        <v/>
      </c>
      <c r="R170" s="15" t="n"/>
      <c r="S170" s="16">
        <f t="array" ref="S170">IF($A170="","",_xlfn.TEXTJOIN(CHAR(10),TRUE,IF('Clarice'!$B$6:$B$300=$A170,"Clarice"&amp;IF('Clarice'!$E$6:$E$300="",""," : "&amp;'Clarice'!$E$6:$E$300)&amp;" ["&amp;'Clarice'!$F$6:$F$300&amp;"]",""),IF('Luisa'!$B$6:$B$300=$A170,"Luisa"&amp;IF('Luisa'!$E$6:$E$300="",""," : "&amp;'Luisa'!$E$6:$E$300)&amp;" ["&amp;'Luisa'!$F$6:$F$300&amp;"]",""),IF('Lui'!$B$6:$B$300=$A170,"Lui"&amp;IF('Lui'!$E$6:$E$300="",""," : "&amp;'Lui'!$E$6:$E$300)&amp;" ["&amp;'Lui'!$F$6:$F$300&amp;"]",""),IF('Thaís'!$B$6:$B$300=$A170,"Thaís"&amp;IF('Thaís'!$E$6:$E$300="",""," : "&amp;'Thaís'!$E$6:$E$300)&amp;" ["&amp;'Thaís'!$F$6:$F$300&amp;"]",""),IF('Daniel'!$B$6:$B$300=$A170,"Daniel"&amp;IF('Daniel'!$E$6:$E$300="",""," : "&amp;'Daniel'!$E$6:$E$300)&amp;" ["&amp;'Daniel'!$F$6:$F$300&amp;"]",""),IF('Fernando'!$B$6:$B$300=$A170,"Fernando"&amp;IF('Fernando'!$E$6:$E$300="",""," : "&amp;'Fernando'!$E$6:$E$300)&amp;" ["&amp;'Fernando'!$F$6:$F$300&amp;"]",""),IF('Stephanie'!$B$6:$B$300=$A170,"Stephanie"&amp;IF('Stephanie'!$E$6:$E$300="",""," : "&amp;'Stephanie'!$E$6:$E$300)&amp;" ["&amp;'Stephanie'!$F$6:$F$300&amp;"]",""),IF('Fox'!$B$6:$B$300=$A170,"Fox"&amp;IF('Fox'!$E$6:$E$300="",""," : "&amp;'Fox'!$E$6:$E$300)&amp;" ["&amp;'Fox'!$F$6:$F$300&amp;"]",""),IF('Bruna'!$B$6:$B$300=$A170,"Bruna"&amp;IF('Bruna'!$E$6:$E$300="",""," : "&amp;'Bruna'!$E$6:$E$300)&amp;" ["&amp;'Bruna'!$F$6:$F$300&amp;"]",""),IF('Stella'!$B$6:$B$300=$A170,"Stella"&amp;IF('Stella'!$E$6:$E$300="",""," : "&amp;'Stella'!$E$6:$E$300)&amp;" ["&amp;'Stella'!$F$6:$F$300&amp;"]",""),IF('Igor'!$B$6:$B$300=$A170,"Igor"&amp;IF('Igor'!$E$6:$E$300="",""," : "&amp;'Igor'!$E$6:$E$300)&amp;" ["&amp;'Igor'!$F$6:$F$300&amp;"]","")))</f>
        <v/>
      </c>
    </row>
    <row r="171" ht="40.5" customHeight="1">
      <c r="A171" s="13" t="inlineStr">
        <is>
          <t>SBM-003</t>
        </is>
      </c>
      <c r="B171" s="14" t="inlineStr">
        <is>
          <t>Etapa 2: Construção das métricas | Atividade 7: Operacionalização das métricas | Atividade 8: Aplicação das métricas</t>
        </is>
      </c>
      <c r="C171" s="14" t="inlineStr">
        <is>
          <t>Aplicação da SBM</t>
        </is>
      </c>
      <c r="D171" s="14" t="n"/>
      <c r="E171" s="15" t="inlineStr">
        <is>
          <t>Procurar material de apoio para aplicação da métrica (ex. áreas protegidas, ecorregião, mapa da Clarice, base de dados da IUCN)</t>
        </is>
      </c>
      <c r="F171" s="13" t="n"/>
      <c r="G171" s="16">
        <f>IF($A171="","",_xlfn.TEXTJOIN("; ",TRUE,IF(COUNTIF('Clarice'!$B$6:$B$300,$A171)&gt;0,"Clarice",""),IF(COUNTIF('Luisa'!$B$6:$B$300,$A171)&gt;0,"Luisa",""),IF(COUNTIF('Lui'!$B$6:$B$300,$A171)&gt;0,"Lui",""),IF(COUNTIF('Thaís'!$B$6:$B$300,$A171)&gt;0,"Thaís",""),IF(COUNTIF('Daniel'!$B$6:$B$300,$A171)&gt;0,"Daniel",""),IF(COUNTIF('Fernando'!$B$6:$B$300,$A171)&gt;0,"Fernando",""),IF(COUNTIF('Stephanie'!$B$6:$B$300,$A171)&gt;0,"Stephanie",""),IF(COUNTIF('Fox'!$B$6:$B$300,$A171)&gt;0,"Fox",""),IF(COUNTIF('Bruna'!$B$6:$B$300,$A171)&gt;0,"Bruna",""),IF(COUNTIF('Stella'!$B$6:$B$300,$A171)&gt;0,"Stella",""),IF(COUNTIF('Igor'!$B$6:$B$300,$A171)&gt;0,"Igor","")))</f>
        <v/>
      </c>
      <c r="H171" s="13" t="n"/>
      <c r="I171" s="13" t="inlineStr">
        <is>
          <t>Concluído</t>
        </is>
      </c>
      <c r="J171" s="17">
        <f>IF(OR($A171="",(COUNTIF('Clarice'!$B$6:$B$300,$A171)+COUNTIF('Luisa'!$B$6:$B$300,$A171)+COUNTIF('Lui'!$B$6:$B$300,$A171)+COUNTIF('Thaís'!$B$6:$B$300,$A171)+COUNTIF('Daniel'!$B$6:$B$300,$A171)+COUNTIF('Fernando'!$B$6:$B$300,$A171)+COUNTIF('Stephanie'!$B$6:$B$300,$A171)+COUNTIF('Fox'!$B$6:$B$300,$A171)+COUNTIF('Bruna'!$B$6:$B$300,$A171)+COUNTIF('Stella'!$B$6:$B$300,$A171)+COUNTIF('Igor'!$B$6:$B$300,$A171))=0),"",(COUNTIFS('Clarice'!$B$6:$B$300,$A171,'Clarice'!$F$6:$F$300,"Concluído")+COUNTIFS('Luisa'!$B$6:$B$300,$A171,'Luisa'!$F$6:$F$300,"Concluído")+COUNTIFS('Lui'!$B$6:$B$300,$A171,'Lui'!$F$6:$F$300,"Concluído")+COUNTIFS('Thaís'!$B$6:$B$300,$A171,'Thaís'!$F$6:$F$300,"Concluído")+COUNTIFS('Daniel'!$B$6:$B$300,$A171,'Daniel'!$F$6:$F$300,"Concluído")+COUNTIFS('Fernando'!$B$6:$B$300,$A171,'Fernando'!$F$6:$F$300,"Concluído")+COUNTIFS('Stephanie'!$B$6:$B$300,$A171,'Stephanie'!$F$6:$F$300,"Concluído")+COUNTIFS('Fox'!$B$6:$B$300,$A171,'Fox'!$F$6:$F$300,"Concluído")+COUNTIFS('Bruna'!$B$6:$B$300,$A171,'Bruna'!$F$6:$F$300,"Concluído")+COUNTIFS('Stella'!$B$6:$B$300,$A171,'Stella'!$F$6:$F$300,"Concluído")+COUNTIFS('Igor'!$B$6:$B$300,$A171,'Igor'!$F$6:$F$300,"Concluído"))&amp;" / "&amp;(COUNTIF('Clarice'!$B$6:$B$300,$A171)+COUNTIF('Luisa'!$B$6:$B$300,$A171)+COUNTIF('Lui'!$B$6:$B$300,$A171)+COUNTIF('Thaís'!$B$6:$B$300,$A171)+COUNTIF('Daniel'!$B$6:$B$300,$A171)+COUNTIF('Fernando'!$B$6:$B$300,$A171)+COUNTIF('Stephanie'!$B$6:$B$300,$A171)+COUNTIF('Fox'!$B$6:$B$300,$A171)+COUNTIF('Bruna'!$B$6:$B$300,$A171)+COUNTIF('Stella'!$B$6:$B$300,$A171)+COUNTIF('Igor'!$B$6:$B$300,$A171)))</f>
        <v/>
      </c>
      <c r="K171" s="18" t="n">
        <v>46132</v>
      </c>
      <c r="L171" s="18" t="n">
        <v>46150</v>
      </c>
      <c r="M171" s="18" t="n">
        <v>46132</v>
      </c>
      <c r="N171" s="18" t="n">
        <v>46171</v>
      </c>
      <c r="O171" s="19" t="n"/>
      <c r="P171" s="20">
        <f>IF($A171="","",IF(M171&lt;&gt;"",M171,IF(K171&lt;&gt;"",K171,"")))</f>
        <v/>
      </c>
      <c r="Q171" s="20">
        <f>IF($A171="","",IF(N171&lt;&gt;"",N171,IF(L171&lt;&gt;"",L171,"")))</f>
        <v/>
      </c>
      <c r="R171" s="15" t="n"/>
      <c r="S171" s="16">
        <f t="array" ref="S171">IF($A171="","",_xlfn.TEXTJOIN(CHAR(10),TRUE,IF('Clarice'!$B$6:$B$300=$A171,"Clarice"&amp;IF('Clarice'!$E$6:$E$300="",""," : "&amp;'Clarice'!$E$6:$E$300)&amp;" ["&amp;'Clarice'!$F$6:$F$300&amp;"]",""),IF('Luisa'!$B$6:$B$300=$A171,"Luisa"&amp;IF('Luisa'!$E$6:$E$300="",""," : "&amp;'Luisa'!$E$6:$E$300)&amp;" ["&amp;'Luisa'!$F$6:$F$300&amp;"]",""),IF('Lui'!$B$6:$B$300=$A171,"Lui"&amp;IF('Lui'!$E$6:$E$300="",""," : "&amp;'Lui'!$E$6:$E$300)&amp;" ["&amp;'Lui'!$F$6:$F$300&amp;"]",""),IF('Thaís'!$B$6:$B$300=$A171,"Thaís"&amp;IF('Thaís'!$E$6:$E$300="",""," : "&amp;'Thaís'!$E$6:$E$300)&amp;" ["&amp;'Thaís'!$F$6:$F$300&amp;"]",""),IF('Daniel'!$B$6:$B$300=$A171,"Daniel"&amp;IF('Daniel'!$E$6:$E$300="",""," : "&amp;'Daniel'!$E$6:$E$300)&amp;" ["&amp;'Daniel'!$F$6:$F$300&amp;"]",""),IF('Fernando'!$B$6:$B$300=$A171,"Fernando"&amp;IF('Fernando'!$E$6:$E$300="",""," : "&amp;'Fernando'!$E$6:$E$300)&amp;" ["&amp;'Fernando'!$F$6:$F$300&amp;"]",""),IF('Stephanie'!$B$6:$B$300=$A171,"Stephanie"&amp;IF('Stephanie'!$E$6:$E$300="",""," : "&amp;'Stephanie'!$E$6:$E$300)&amp;" ["&amp;'Stephanie'!$F$6:$F$300&amp;"]",""),IF('Fox'!$B$6:$B$300=$A171,"Fox"&amp;IF('Fox'!$E$6:$E$300="",""," : "&amp;'Fox'!$E$6:$E$300)&amp;" ["&amp;'Fox'!$F$6:$F$300&amp;"]",""),IF('Bruna'!$B$6:$B$300=$A171,"Bruna"&amp;IF('Bruna'!$E$6:$E$300="",""," : "&amp;'Bruna'!$E$6:$E$300)&amp;" ["&amp;'Bruna'!$F$6:$F$300&amp;"]",""),IF('Stella'!$B$6:$B$300=$A171,"Stella"&amp;IF('Stella'!$E$6:$E$300="",""," : "&amp;'Stella'!$E$6:$E$300)&amp;" ["&amp;'Stella'!$F$6:$F$300&amp;"]",""),IF('Igor'!$B$6:$B$300=$A171,"Igor"&amp;IF('Igor'!$E$6:$E$300="",""," : "&amp;'Igor'!$E$6:$E$300)&amp;" ["&amp;'Igor'!$F$6:$F$300&amp;"]","")))</f>
        <v/>
      </c>
    </row>
    <row r="172" ht="15.5" customHeight="1">
      <c r="A172" s="13" t="inlineStr">
        <is>
          <t>SBM-004</t>
        </is>
      </c>
      <c r="B172" s="14" t="inlineStr">
        <is>
          <t>Etapa 2: Construção das métricas | Atividade 7: Operacionalização das métricas | Atividade 8: Aplicação das métricas</t>
        </is>
      </c>
      <c r="C172" s="14" t="inlineStr">
        <is>
          <t>Aplicação da SBM</t>
        </is>
      </c>
      <c r="D172" s="14" t="n"/>
      <c r="E172" s="15" t="inlineStr">
        <is>
          <t>Mapa dos habitats</t>
        </is>
      </c>
      <c r="F172" s="13" t="n"/>
      <c r="G172" s="16">
        <f>IF($A172="","",_xlfn.TEXTJOIN("; ",TRUE,IF(COUNTIF('Clarice'!$B$6:$B$300,$A172)&gt;0,"Clarice",""),IF(COUNTIF('Luisa'!$B$6:$B$300,$A172)&gt;0,"Luisa",""),IF(COUNTIF('Lui'!$B$6:$B$300,$A172)&gt;0,"Lui",""),IF(COUNTIF('Thaís'!$B$6:$B$300,$A172)&gt;0,"Thaís",""),IF(COUNTIF('Daniel'!$B$6:$B$300,$A172)&gt;0,"Daniel",""),IF(COUNTIF('Fernando'!$B$6:$B$300,$A172)&gt;0,"Fernando",""),IF(COUNTIF('Stephanie'!$B$6:$B$300,$A172)&gt;0,"Stephanie",""),IF(COUNTIF('Fox'!$B$6:$B$300,$A172)&gt;0,"Fox",""),IF(COUNTIF('Bruna'!$B$6:$B$300,$A172)&gt;0,"Bruna",""),IF(COUNTIF('Stella'!$B$6:$B$300,$A172)&gt;0,"Stella",""),IF(COUNTIF('Igor'!$B$6:$B$300,$A172)&gt;0,"Igor","")))</f>
        <v/>
      </c>
      <c r="H172" s="13" t="n"/>
      <c r="I172" s="13" t="inlineStr">
        <is>
          <t>Concluído</t>
        </is>
      </c>
      <c r="J172" s="17">
        <f>IF(OR($A172="",(COUNTIF('Clarice'!$B$6:$B$300,$A172)+COUNTIF('Luisa'!$B$6:$B$300,$A172)+COUNTIF('Lui'!$B$6:$B$300,$A172)+COUNTIF('Thaís'!$B$6:$B$300,$A172)+COUNTIF('Daniel'!$B$6:$B$300,$A172)+COUNTIF('Fernando'!$B$6:$B$300,$A172)+COUNTIF('Stephanie'!$B$6:$B$300,$A172)+COUNTIF('Fox'!$B$6:$B$300,$A172)+COUNTIF('Bruna'!$B$6:$B$300,$A172)+COUNTIF('Stella'!$B$6:$B$300,$A172)+COUNTIF('Igor'!$B$6:$B$300,$A172))=0),"",(COUNTIFS('Clarice'!$B$6:$B$300,$A172,'Clarice'!$F$6:$F$300,"Concluído")+COUNTIFS('Luisa'!$B$6:$B$300,$A172,'Luisa'!$F$6:$F$300,"Concluído")+COUNTIFS('Lui'!$B$6:$B$300,$A172,'Lui'!$F$6:$F$300,"Concluído")+COUNTIFS('Thaís'!$B$6:$B$300,$A172,'Thaís'!$F$6:$F$300,"Concluído")+COUNTIFS('Daniel'!$B$6:$B$300,$A172,'Daniel'!$F$6:$F$300,"Concluído")+COUNTIFS('Fernando'!$B$6:$B$300,$A172,'Fernando'!$F$6:$F$300,"Concluído")+COUNTIFS('Stephanie'!$B$6:$B$300,$A172,'Stephanie'!$F$6:$F$300,"Concluído")+COUNTIFS('Fox'!$B$6:$B$300,$A172,'Fox'!$F$6:$F$300,"Concluído")+COUNTIFS('Bruna'!$B$6:$B$300,$A172,'Bruna'!$F$6:$F$300,"Concluído")+COUNTIFS('Stella'!$B$6:$B$300,$A172,'Stella'!$F$6:$F$300,"Concluído")+COUNTIFS('Igor'!$B$6:$B$300,$A172,'Igor'!$F$6:$F$300,"Concluído"))&amp;" / "&amp;(COUNTIF('Clarice'!$B$6:$B$300,$A172)+COUNTIF('Luisa'!$B$6:$B$300,$A172)+COUNTIF('Lui'!$B$6:$B$300,$A172)+COUNTIF('Thaís'!$B$6:$B$300,$A172)+COUNTIF('Daniel'!$B$6:$B$300,$A172)+COUNTIF('Fernando'!$B$6:$B$300,$A172)+COUNTIF('Stephanie'!$B$6:$B$300,$A172)+COUNTIF('Fox'!$B$6:$B$300,$A172)+COUNTIF('Bruna'!$B$6:$B$300,$A172)+COUNTIF('Stella'!$B$6:$B$300,$A172)+COUNTIF('Igor'!$B$6:$B$300,$A172)))</f>
        <v/>
      </c>
      <c r="K172" s="19" t="n"/>
      <c r="L172" s="19" t="n"/>
      <c r="M172" s="18" t="n">
        <v>46153</v>
      </c>
      <c r="N172" s="18" t="n">
        <v>46227</v>
      </c>
      <c r="O172" s="19" t="n"/>
      <c r="P172" s="20">
        <f>IF($A172="","",IF(M172&lt;&gt;"",M172,IF(K172&lt;&gt;"",K172,"")))</f>
        <v/>
      </c>
      <c r="Q172" s="20">
        <f>IF($A172="","",IF(N172&lt;&gt;"",N172,IF(L172&lt;&gt;"",L172,"")))</f>
        <v/>
      </c>
      <c r="R172" s="15" t="n"/>
      <c r="S172" s="16">
        <f t="array" ref="S172">IF($A172="","",_xlfn.TEXTJOIN(CHAR(10),TRUE,IF('Clarice'!$B$6:$B$300=$A172,"Clarice"&amp;IF('Clarice'!$E$6:$E$300="",""," : "&amp;'Clarice'!$E$6:$E$300)&amp;" ["&amp;'Clarice'!$F$6:$F$300&amp;"]",""),IF('Luisa'!$B$6:$B$300=$A172,"Luisa"&amp;IF('Luisa'!$E$6:$E$300="",""," : "&amp;'Luisa'!$E$6:$E$300)&amp;" ["&amp;'Luisa'!$F$6:$F$300&amp;"]",""),IF('Lui'!$B$6:$B$300=$A172,"Lui"&amp;IF('Lui'!$E$6:$E$300="",""," : "&amp;'Lui'!$E$6:$E$300)&amp;" ["&amp;'Lui'!$F$6:$F$300&amp;"]",""),IF('Thaís'!$B$6:$B$300=$A172,"Thaís"&amp;IF('Thaís'!$E$6:$E$300="",""," : "&amp;'Thaís'!$E$6:$E$300)&amp;" ["&amp;'Thaís'!$F$6:$F$300&amp;"]",""),IF('Daniel'!$B$6:$B$300=$A172,"Daniel"&amp;IF('Daniel'!$E$6:$E$300="",""," : "&amp;'Daniel'!$E$6:$E$300)&amp;" ["&amp;'Daniel'!$F$6:$F$300&amp;"]",""),IF('Fernando'!$B$6:$B$300=$A172,"Fernando"&amp;IF('Fernando'!$E$6:$E$300="",""," : "&amp;'Fernando'!$E$6:$E$300)&amp;" ["&amp;'Fernando'!$F$6:$F$300&amp;"]",""),IF('Stephanie'!$B$6:$B$300=$A172,"Stephanie"&amp;IF('Stephanie'!$E$6:$E$300="",""," : "&amp;'Stephanie'!$E$6:$E$300)&amp;" ["&amp;'Stephanie'!$F$6:$F$300&amp;"]",""),IF('Fox'!$B$6:$B$300=$A172,"Fox"&amp;IF('Fox'!$E$6:$E$300="",""," : "&amp;'Fox'!$E$6:$E$300)&amp;" ["&amp;'Fox'!$F$6:$F$300&amp;"]",""),IF('Bruna'!$B$6:$B$300=$A172,"Bruna"&amp;IF('Bruna'!$E$6:$E$300="",""," : "&amp;'Bruna'!$E$6:$E$300)&amp;" ["&amp;'Bruna'!$F$6:$F$300&amp;"]",""),IF('Stella'!$B$6:$B$300=$A172,"Stella"&amp;IF('Stella'!$E$6:$E$300="",""," : "&amp;'Stella'!$E$6:$E$300)&amp;" ["&amp;'Stella'!$F$6:$F$300&amp;"]",""),IF('Igor'!$B$6:$B$300=$A172,"Igor"&amp;IF('Igor'!$E$6:$E$300="",""," : "&amp;'Igor'!$E$6:$E$300)&amp;" ["&amp;'Igor'!$F$6:$F$300&amp;"]","")))</f>
        <v/>
      </c>
    </row>
    <row r="173" ht="40.5" customHeight="1">
      <c r="A173" s="13" t="inlineStr">
        <is>
          <t>SBM-005</t>
        </is>
      </c>
      <c r="B173" s="14" t="inlineStr">
        <is>
          <t>Etapa 2: Construção das métricas | Atividade 7: Operacionalização das métricas | Atividade 8: Aplicação das métricas</t>
        </is>
      </c>
      <c r="C173" s="14" t="inlineStr">
        <is>
          <t>Aplicação da SBM</t>
        </is>
      </c>
      <c r="D173" s="14" t="n"/>
      <c r="E173" s="15" t="inlineStr">
        <is>
          <t>Definir a estratégia de aplicação - distinção</t>
        </is>
      </c>
      <c r="F173" s="13" t="n"/>
      <c r="G173" s="16">
        <f>IF($A173="","",_xlfn.TEXTJOIN("; ",TRUE,IF(COUNTIF('Clarice'!$B$6:$B$300,$A173)&gt;0,"Clarice",""),IF(COUNTIF('Luisa'!$B$6:$B$300,$A173)&gt;0,"Luisa",""),IF(COUNTIF('Lui'!$B$6:$B$300,$A173)&gt;0,"Lui",""),IF(COUNTIF('Thaís'!$B$6:$B$300,$A173)&gt;0,"Thaís",""),IF(COUNTIF('Daniel'!$B$6:$B$300,$A173)&gt;0,"Daniel",""),IF(COUNTIF('Fernando'!$B$6:$B$300,$A173)&gt;0,"Fernando",""),IF(COUNTIF('Stephanie'!$B$6:$B$300,$A173)&gt;0,"Stephanie",""),IF(COUNTIF('Fox'!$B$6:$B$300,$A173)&gt;0,"Fox",""),IF(COUNTIF('Bruna'!$B$6:$B$300,$A173)&gt;0,"Bruna",""),IF(COUNTIF('Stella'!$B$6:$B$300,$A173)&gt;0,"Stella",""),IF(COUNTIF('Igor'!$B$6:$B$300,$A173)&gt;0,"Igor","")))</f>
        <v/>
      </c>
      <c r="H173" s="13" t="n"/>
      <c r="I173" s="13" t="inlineStr">
        <is>
          <t>Concluído</t>
        </is>
      </c>
      <c r="J173" s="17">
        <f>IF(OR($A173="",(COUNTIF('Clarice'!$B$6:$B$300,$A173)+COUNTIF('Luisa'!$B$6:$B$300,$A173)+COUNTIF('Lui'!$B$6:$B$300,$A173)+COUNTIF('Thaís'!$B$6:$B$300,$A173)+COUNTIF('Daniel'!$B$6:$B$300,$A173)+COUNTIF('Fernando'!$B$6:$B$300,$A173)+COUNTIF('Stephanie'!$B$6:$B$300,$A173)+COUNTIF('Fox'!$B$6:$B$300,$A173)+COUNTIF('Bruna'!$B$6:$B$300,$A173)+COUNTIF('Stella'!$B$6:$B$300,$A173)+COUNTIF('Igor'!$B$6:$B$300,$A173))=0),"",(COUNTIFS('Clarice'!$B$6:$B$300,$A173,'Clarice'!$F$6:$F$300,"Concluído")+COUNTIFS('Luisa'!$B$6:$B$300,$A173,'Luisa'!$F$6:$F$300,"Concluído")+COUNTIFS('Lui'!$B$6:$B$300,$A173,'Lui'!$F$6:$F$300,"Concluído")+COUNTIFS('Thaís'!$B$6:$B$300,$A173,'Thaís'!$F$6:$F$300,"Concluído")+COUNTIFS('Daniel'!$B$6:$B$300,$A173,'Daniel'!$F$6:$F$300,"Concluído")+COUNTIFS('Fernando'!$B$6:$B$300,$A173,'Fernando'!$F$6:$F$300,"Concluído")+COUNTIFS('Stephanie'!$B$6:$B$300,$A173,'Stephanie'!$F$6:$F$300,"Concluído")+COUNTIFS('Fox'!$B$6:$B$300,$A173,'Fox'!$F$6:$F$300,"Concluído")+COUNTIFS('Bruna'!$B$6:$B$300,$A173,'Bruna'!$F$6:$F$300,"Concluído")+COUNTIFS('Stella'!$B$6:$B$300,$A173,'Stella'!$F$6:$F$300,"Concluído")+COUNTIFS('Igor'!$B$6:$B$300,$A173,'Igor'!$F$6:$F$300,"Concluído"))&amp;" / "&amp;(COUNTIF('Clarice'!$B$6:$B$300,$A173)+COUNTIF('Luisa'!$B$6:$B$300,$A173)+COUNTIF('Lui'!$B$6:$B$300,$A173)+COUNTIF('Thaís'!$B$6:$B$300,$A173)+COUNTIF('Daniel'!$B$6:$B$300,$A173)+COUNTIF('Fernando'!$B$6:$B$300,$A173)+COUNTIF('Stephanie'!$B$6:$B$300,$A173)+COUNTIF('Fox'!$B$6:$B$300,$A173)+COUNTIF('Bruna'!$B$6:$B$300,$A173)+COUNTIF('Stella'!$B$6:$B$300,$A173)+COUNTIF('Igor'!$B$6:$B$300,$A173)))</f>
        <v/>
      </c>
      <c r="K173" s="18" t="n">
        <v>46132</v>
      </c>
      <c r="L173" s="18" t="n">
        <v>46150</v>
      </c>
      <c r="M173" s="18" t="n">
        <v>46132</v>
      </c>
      <c r="N173" s="18" t="n">
        <v>46227</v>
      </c>
      <c r="O173" s="19" t="n"/>
      <c r="P173" s="20">
        <f>IF($A173="","",IF(M173&lt;&gt;"",M173,IF(K173&lt;&gt;"",K173,"")))</f>
        <v/>
      </c>
      <c r="Q173" s="20">
        <f>IF($A173="","",IF(N173&lt;&gt;"",N173,IF(L173&lt;&gt;"",L173,"")))</f>
        <v/>
      </c>
      <c r="R173" s="15" t="n"/>
      <c r="S173" s="16">
        <f t="array" ref="S173">IF($A173="","",_xlfn.TEXTJOIN(CHAR(10),TRUE,IF('Clarice'!$B$6:$B$300=$A173,"Clarice"&amp;IF('Clarice'!$E$6:$E$300="",""," : "&amp;'Clarice'!$E$6:$E$300)&amp;" ["&amp;'Clarice'!$F$6:$F$300&amp;"]",""),IF('Luisa'!$B$6:$B$300=$A173,"Luisa"&amp;IF('Luisa'!$E$6:$E$300="",""," : "&amp;'Luisa'!$E$6:$E$300)&amp;" ["&amp;'Luisa'!$F$6:$F$300&amp;"]",""),IF('Lui'!$B$6:$B$300=$A173,"Lui"&amp;IF('Lui'!$E$6:$E$300="",""," : "&amp;'Lui'!$E$6:$E$300)&amp;" ["&amp;'Lui'!$F$6:$F$300&amp;"]",""),IF('Thaís'!$B$6:$B$300=$A173,"Thaís"&amp;IF('Thaís'!$E$6:$E$300="",""," : "&amp;'Thaís'!$E$6:$E$300)&amp;" ["&amp;'Thaís'!$F$6:$F$300&amp;"]",""),IF('Daniel'!$B$6:$B$300=$A173,"Daniel"&amp;IF('Daniel'!$E$6:$E$300="",""," : "&amp;'Daniel'!$E$6:$E$300)&amp;" ["&amp;'Daniel'!$F$6:$F$300&amp;"]",""),IF('Fernando'!$B$6:$B$300=$A173,"Fernando"&amp;IF('Fernando'!$E$6:$E$300="",""," : "&amp;'Fernando'!$E$6:$E$300)&amp;" ["&amp;'Fernando'!$F$6:$F$300&amp;"]",""),IF('Stephanie'!$B$6:$B$300=$A173,"Stephanie"&amp;IF('Stephanie'!$E$6:$E$300="",""," : "&amp;'Stephanie'!$E$6:$E$300)&amp;" ["&amp;'Stephanie'!$F$6:$F$300&amp;"]",""),IF('Fox'!$B$6:$B$300=$A173,"Fox"&amp;IF('Fox'!$E$6:$E$300="",""," : "&amp;'Fox'!$E$6:$E$300)&amp;" ["&amp;'Fox'!$F$6:$F$300&amp;"]",""),IF('Bruna'!$B$6:$B$300=$A173,"Bruna"&amp;IF('Bruna'!$E$6:$E$300="",""," : "&amp;'Bruna'!$E$6:$E$300)&amp;" ["&amp;'Bruna'!$F$6:$F$300&amp;"]",""),IF('Stella'!$B$6:$B$300=$A173,"Stella"&amp;IF('Stella'!$E$6:$E$300="",""," : "&amp;'Stella'!$E$6:$E$300)&amp;" ["&amp;'Stella'!$F$6:$F$300&amp;"]",""),IF('Igor'!$B$6:$B$300=$A173,"Igor"&amp;IF('Igor'!$E$6:$E$300="",""," : "&amp;'Igor'!$E$6:$E$300)&amp;" ["&amp;'Igor'!$F$6:$F$300&amp;"]","")))</f>
        <v/>
      </c>
    </row>
    <row r="174" ht="28" customHeight="1">
      <c r="A174" s="13" t="inlineStr">
        <is>
          <t>SBM-006</t>
        </is>
      </c>
      <c r="B174" s="14" t="inlineStr">
        <is>
          <t>Etapa 2: Construção das métricas | Atividade 7: Operacionalização das métricas | Atividade 8: Aplicação das métricas</t>
        </is>
      </c>
      <c r="C174" s="14" t="inlineStr">
        <is>
          <t>Aplicação da SBM</t>
        </is>
      </c>
      <c r="D174" s="14" t="n"/>
      <c r="E174" s="15" t="inlineStr">
        <is>
          <t>Adaptar o parâmetro (ex. construir a tabela) - distinção</t>
        </is>
      </c>
      <c r="F174" s="13" t="n"/>
      <c r="G174" s="16">
        <f>IF($A174="","",_xlfn.TEXTJOIN("; ",TRUE,IF(COUNTIF('Clarice'!$B$6:$B$300,$A174)&gt;0,"Clarice",""),IF(COUNTIF('Luisa'!$B$6:$B$300,$A174)&gt;0,"Luisa",""),IF(COUNTIF('Lui'!$B$6:$B$300,$A174)&gt;0,"Lui",""),IF(COUNTIF('Thaís'!$B$6:$B$300,$A174)&gt;0,"Thaís",""),IF(COUNTIF('Daniel'!$B$6:$B$300,$A174)&gt;0,"Daniel",""),IF(COUNTIF('Fernando'!$B$6:$B$300,$A174)&gt;0,"Fernando",""),IF(COUNTIF('Stephanie'!$B$6:$B$300,$A174)&gt;0,"Stephanie",""),IF(COUNTIF('Fox'!$B$6:$B$300,$A174)&gt;0,"Fox",""),IF(COUNTIF('Bruna'!$B$6:$B$300,$A174)&gt;0,"Bruna",""),IF(COUNTIF('Stella'!$B$6:$B$300,$A174)&gt;0,"Stella",""),IF(COUNTIF('Igor'!$B$6:$B$300,$A174)&gt;0,"Igor","")))</f>
        <v/>
      </c>
      <c r="H174" s="13" t="n"/>
      <c r="I174" s="13" t="inlineStr">
        <is>
          <t>Em andamento</t>
        </is>
      </c>
      <c r="J174" s="17">
        <f>IF(OR($A174="",(COUNTIF('Clarice'!$B$6:$B$300,$A174)+COUNTIF('Luisa'!$B$6:$B$300,$A174)+COUNTIF('Lui'!$B$6:$B$300,$A174)+COUNTIF('Thaís'!$B$6:$B$300,$A174)+COUNTIF('Daniel'!$B$6:$B$300,$A174)+COUNTIF('Fernando'!$B$6:$B$300,$A174)+COUNTIF('Stephanie'!$B$6:$B$300,$A174)+COUNTIF('Fox'!$B$6:$B$300,$A174)+COUNTIF('Bruna'!$B$6:$B$300,$A174)+COUNTIF('Stella'!$B$6:$B$300,$A174)+COUNTIF('Igor'!$B$6:$B$300,$A174))=0),"",(COUNTIFS('Clarice'!$B$6:$B$300,$A174,'Clarice'!$F$6:$F$300,"Concluído")+COUNTIFS('Luisa'!$B$6:$B$300,$A174,'Luisa'!$F$6:$F$300,"Concluído")+COUNTIFS('Lui'!$B$6:$B$300,$A174,'Lui'!$F$6:$F$300,"Concluído")+COUNTIFS('Thaís'!$B$6:$B$300,$A174,'Thaís'!$F$6:$F$300,"Concluído")+COUNTIFS('Daniel'!$B$6:$B$300,$A174,'Daniel'!$F$6:$F$300,"Concluído")+COUNTIFS('Fernando'!$B$6:$B$300,$A174,'Fernando'!$F$6:$F$300,"Concluído")+COUNTIFS('Stephanie'!$B$6:$B$300,$A174,'Stephanie'!$F$6:$F$300,"Concluído")+COUNTIFS('Fox'!$B$6:$B$300,$A174,'Fox'!$F$6:$F$300,"Concluído")+COUNTIFS('Bruna'!$B$6:$B$300,$A174,'Bruna'!$F$6:$F$300,"Concluído")+COUNTIFS('Stella'!$B$6:$B$300,$A174,'Stella'!$F$6:$F$300,"Concluído")+COUNTIFS('Igor'!$B$6:$B$300,$A174,'Igor'!$F$6:$F$300,"Concluído"))&amp;" / "&amp;(COUNTIF('Clarice'!$B$6:$B$300,$A174)+COUNTIF('Luisa'!$B$6:$B$300,$A174)+COUNTIF('Lui'!$B$6:$B$300,$A174)+COUNTIF('Thaís'!$B$6:$B$300,$A174)+COUNTIF('Daniel'!$B$6:$B$300,$A174)+COUNTIF('Fernando'!$B$6:$B$300,$A174)+COUNTIF('Stephanie'!$B$6:$B$300,$A174)+COUNTIF('Fox'!$B$6:$B$300,$A174)+COUNTIF('Bruna'!$B$6:$B$300,$A174)+COUNTIF('Stella'!$B$6:$B$300,$A174)+COUNTIF('Igor'!$B$6:$B$300,$A174)))</f>
        <v/>
      </c>
      <c r="K174" s="18" t="n">
        <v>46132</v>
      </c>
      <c r="L174" s="18" t="n">
        <v>46150</v>
      </c>
      <c r="M174" s="18" t="n">
        <v>46132</v>
      </c>
      <c r="N174" s="18" t="n">
        <v>46241</v>
      </c>
      <c r="O174" s="19" t="n"/>
      <c r="P174" s="20">
        <f>IF($A174="","",IF(M174&lt;&gt;"",M174,IF(K174&lt;&gt;"",K174,"")))</f>
        <v/>
      </c>
      <c r="Q174" s="20">
        <f>IF($A174="","",IF(N174&lt;&gt;"",N174,IF(L174&lt;&gt;"",L174,"")))</f>
        <v/>
      </c>
      <c r="R174" s="15" t="n"/>
      <c r="S174" s="16">
        <f t="array" ref="S174">IF($A174="","",_xlfn.TEXTJOIN(CHAR(10),TRUE,IF('Clarice'!$B$6:$B$300=$A174,"Clarice"&amp;IF('Clarice'!$E$6:$E$300="",""," : "&amp;'Clarice'!$E$6:$E$300)&amp;" ["&amp;'Clarice'!$F$6:$F$300&amp;"]",""),IF('Luisa'!$B$6:$B$300=$A174,"Luisa"&amp;IF('Luisa'!$E$6:$E$300="",""," : "&amp;'Luisa'!$E$6:$E$300)&amp;" ["&amp;'Luisa'!$F$6:$F$300&amp;"]",""),IF('Lui'!$B$6:$B$300=$A174,"Lui"&amp;IF('Lui'!$E$6:$E$300="",""," : "&amp;'Lui'!$E$6:$E$300)&amp;" ["&amp;'Lui'!$F$6:$F$300&amp;"]",""),IF('Thaís'!$B$6:$B$300=$A174,"Thaís"&amp;IF('Thaís'!$E$6:$E$300="",""," : "&amp;'Thaís'!$E$6:$E$300)&amp;" ["&amp;'Thaís'!$F$6:$F$300&amp;"]",""),IF('Daniel'!$B$6:$B$300=$A174,"Daniel"&amp;IF('Daniel'!$E$6:$E$300="",""," : "&amp;'Daniel'!$E$6:$E$300)&amp;" ["&amp;'Daniel'!$F$6:$F$300&amp;"]",""),IF('Fernando'!$B$6:$B$300=$A174,"Fernando"&amp;IF('Fernando'!$E$6:$E$300="",""," : "&amp;'Fernando'!$E$6:$E$300)&amp;" ["&amp;'Fernando'!$F$6:$F$300&amp;"]",""),IF('Stephanie'!$B$6:$B$300=$A174,"Stephanie"&amp;IF('Stephanie'!$E$6:$E$300="",""," : "&amp;'Stephanie'!$E$6:$E$300)&amp;" ["&amp;'Stephanie'!$F$6:$F$300&amp;"]",""),IF('Fox'!$B$6:$B$300=$A174,"Fox"&amp;IF('Fox'!$E$6:$E$300="",""," : "&amp;'Fox'!$E$6:$E$300)&amp;" ["&amp;'Fox'!$F$6:$F$300&amp;"]",""),IF('Bruna'!$B$6:$B$300=$A174,"Bruna"&amp;IF('Bruna'!$E$6:$E$300="",""," : "&amp;'Bruna'!$E$6:$E$300)&amp;" ["&amp;'Bruna'!$F$6:$F$300&amp;"]",""),IF('Stella'!$B$6:$B$300=$A174,"Stella"&amp;IF('Stella'!$E$6:$E$300="",""," : "&amp;'Stella'!$E$6:$E$300)&amp;" ["&amp;'Stella'!$F$6:$F$300&amp;"]",""),IF('Igor'!$B$6:$B$300=$A174,"Igor"&amp;IF('Igor'!$E$6:$E$300="",""," : "&amp;'Igor'!$E$6:$E$300)&amp;" ["&amp;'Igor'!$F$6:$F$300&amp;"]","")))</f>
        <v/>
      </c>
    </row>
    <row r="175" ht="40.5" customHeight="1">
      <c r="A175" s="13" t="inlineStr">
        <is>
          <t>SBM-007</t>
        </is>
      </c>
      <c r="B175" s="14" t="inlineStr">
        <is>
          <t>Etapa 2: Construção das métricas | Atividade 7: Operacionalização das métricas | Atividade 8: Aplicação das métricas</t>
        </is>
      </c>
      <c r="C175" s="14" t="inlineStr">
        <is>
          <t>Aplicação da SBM</t>
        </is>
      </c>
      <c r="D175" s="14" t="n"/>
      <c r="E175" s="15" t="inlineStr">
        <is>
          <t>Definir a estratégia de aplicação - condição</t>
        </is>
      </c>
      <c r="F175" s="13" t="n"/>
      <c r="G175" s="16">
        <f>IF($A175="","",_xlfn.TEXTJOIN("; ",TRUE,IF(COUNTIF('Clarice'!$B$6:$B$300,$A175)&gt;0,"Clarice",""),IF(COUNTIF('Luisa'!$B$6:$B$300,$A175)&gt;0,"Luisa",""),IF(COUNTIF('Lui'!$B$6:$B$300,$A175)&gt;0,"Lui",""),IF(COUNTIF('Thaís'!$B$6:$B$300,$A175)&gt;0,"Thaís",""),IF(COUNTIF('Daniel'!$B$6:$B$300,$A175)&gt;0,"Daniel",""),IF(COUNTIF('Fernando'!$B$6:$B$300,$A175)&gt;0,"Fernando",""),IF(COUNTIF('Stephanie'!$B$6:$B$300,$A175)&gt;0,"Stephanie",""),IF(COUNTIF('Fox'!$B$6:$B$300,$A175)&gt;0,"Fox",""),IF(COUNTIF('Bruna'!$B$6:$B$300,$A175)&gt;0,"Bruna",""),IF(COUNTIF('Stella'!$B$6:$B$300,$A175)&gt;0,"Stella",""),IF(COUNTIF('Igor'!$B$6:$B$300,$A175)&gt;0,"Igor","")))</f>
        <v/>
      </c>
      <c r="H175" s="13" t="n"/>
      <c r="I175" s="13" t="inlineStr">
        <is>
          <t>Concluído</t>
        </is>
      </c>
      <c r="J175" s="17">
        <f>IF(OR($A175="",(COUNTIF('Clarice'!$B$6:$B$300,$A175)+COUNTIF('Luisa'!$B$6:$B$300,$A175)+COUNTIF('Lui'!$B$6:$B$300,$A175)+COUNTIF('Thaís'!$B$6:$B$300,$A175)+COUNTIF('Daniel'!$B$6:$B$300,$A175)+COUNTIF('Fernando'!$B$6:$B$300,$A175)+COUNTIF('Stephanie'!$B$6:$B$300,$A175)+COUNTIF('Fox'!$B$6:$B$300,$A175)+COUNTIF('Bruna'!$B$6:$B$300,$A175)+COUNTIF('Stella'!$B$6:$B$300,$A175)+COUNTIF('Igor'!$B$6:$B$300,$A175))=0),"",(COUNTIFS('Clarice'!$B$6:$B$300,$A175,'Clarice'!$F$6:$F$300,"Concluído")+COUNTIFS('Luisa'!$B$6:$B$300,$A175,'Luisa'!$F$6:$F$300,"Concluído")+COUNTIFS('Lui'!$B$6:$B$300,$A175,'Lui'!$F$6:$F$300,"Concluído")+COUNTIFS('Thaís'!$B$6:$B$300,$A175,'Thaís'!$F$6:$F$300,"Concluído")+COUNTIFS('Daniel'!$B$6:$B$300,$A175,'Daniel'!$F$6:$F$300,"Concluído")+COUNTIFS('Fernando'!$B$6:$B$300,$A175,'Fernando'!$F$6:$F$300,"Concluído")+COUNTIFS('Stephanie'!$B$6:$B$300,$A175,'Stephanie'!$F$6:$F$300,"Concluído")+COUNTIFS('Fox'!$B$6:$B$300,$A175,'Fox'!$F$6:$F$300,"Concluído")+COUNTIFS('Bruna'!$B$6:$B$300,$A175,'Bruna'!$F$6:$F$300,"Concluído")+COUNTIFS('Stella'!$B$6:$B$300,$A175,'Stella'!$F$6:$F$300,"Concluído")+COUNTIFS('Igor'!$B$6:$B$300,$A175,'Igor'!$F$6:$F$300,"Concluído"))&amp;" / "&amp;(COUNTIF('Clarice'!$B$6:$B$300,$A175)+COUNTIF('Luisa'!$B$6:$B$300,$A175)+COUNTIF('Lui'!$B$6:$B$300,$A175)+COUNTIF('Thaís'!$B$6:$B$300,$A175)+COUNTIF('Daniel'!$B$6:$B$300,$A175)+COUNTIF('Fernando'!$B$6:$B$300,$A175)+COUNTIF('Stephanie'!$B$6:$B$300,$A175)+COUNTIF('Fox'!$B$6:$B$300,$A175)+COUNTIF('Bruna'!$B$6:$B$300,$A175)+COUNTIF('Stella'!$B$6:$B$300,$A175)+COUNTIF('Igor'!$B$6:$B$300,$A175)))</f>
        <v/>
      </c>
      <c r="K175" s="18" t="n">
        <v>46132</v>
      </c>
      <c r="L175" s="18" t="n">
        <v>46150</v>
      </c>
      <c r="M175" s="18" t="n">
        <v>46132</v>
      </c>
      <c r="N175" s="18" t="n">
        <v>46199</v>
      </c>
      <c r="O175" s="19" t="n"/>
      <c r="P175" s="20">
        <f>IF($A175="","",IF(M175&lt;&gt;"",M175,IF(K175&lt;&gt;"",K175,"")))</f>
        <v/>
      </c>
      <c r="Q175" s="20">
        <f>IF($A175="","",IF(N175&lt;&gt;"",N175,IF(L175&lt;&gt;"",L175,"")))</f>
        <v/>
      </c>
      <c r="R175" s="15" t="n"/>
      <c r="S175" s="16">
        <f t="array" ref="S175">IF($A175="","",_xlfn.TEXTJOIN(CHAR(10),TRUE,IF('Clarice'!$B$6:$B$300=$A175,"Clarice"&amp;IF('Clarice'!$E$6:$E$300="",""," : "&amp;'Clarice'!$E$6:$E$300)&amp;" ["&amp;'Clarice'!$F$6:$F$300&amp;"]",""),IF('Luisa'!$B$6:$B$300=$A175,"Luisa"&amp;IF('Luisa'!$E$6:$E$300="",""," : "&amp;'Luisa'!$E$6:$E$300)&amp;" ["&amp;'Luisa'!$F$6:$F$300&amp;"]",""),IF('Lui'!$B$6:$B$300=$A175,"Lui"&amp;IF('Lui'!$E$6:$E$300="",""," : "&amp;'Lui'!$E$6:$E$300)&amp;" ["&amp;'Lui'!$F$6:$F$300&amp;"]",""),IF('Thaís'!$B$6:$B$300=$A175,"Thaís"&amp;IF('Thaís'!$E$6:$E$300="",""," : "&amp;'Thaís'!$E$6:$E$300)&amp;" ["&amp;'Thaís'!$F$6:$F$300&amp;"]",""),IF('Daniel'!$B$6:$B$300=$A175,"Daniel"&amp;IF('Daniel'!$E$6:$E$300="",""," : "&amp;'Daniel'!$E$6:$E$300)&amp;" ["&amp;'Daniel'!$F$6:$F$300&amp;"]",""),IF('Fernando'!$B$6:$B$300=$A175,"Fernando"&amp;IF('Fernando'!$E$6:$E$300="",""," : "&amp;'Fernando'!$E$6:$E$300)&amp;" ["&amp;'Fernando'!$F$6:$F$300&amp;"]",""),IF('Stephanie'!$B$6:$B$300=$A175,"Stephanie"&amp;IF('Stephanie'!$E$6:$E$300="",""," : "&amp;'Stephanie'!$E$6:$E$300)&amp;" ["&amp;'Stephanie'!$F$6:$F$300&amp;"]",""),IF('Fox'!$B$6:$B$300=$A175,"Fox"&amp;IF('Fox'!$E$6:$E$300="",""," : "&amp;'Fox'!$E$6:$E$300)&amp;" ["&amp;'Fox'!$F$6:$F$300&amp;"]",""),IF('Bruna'!$B$6:$B$300=$A175,"Bruna"&amp;IF('Bruna'!$E$6:$E$300="",""," : "&amp;'Bruna'!$E$6:$E$300)&amp;" ["&amp;'Bruna'!$F$6:$F$300&amp;"]",""),IF('Stella'!$B$6:$B$300=$A175,"Stella"&amp;IF('Stella'!$E$6:$E$300="",""," : "&amp;'Stella'!$E$6:$E$300)&amp;" ["&amp;'Stella'!$F$6:$F$300&amp;"]",""),IF('Igor'!$B$6:$B$300=$A175,"Igor"&amp;IF('Igor'!$E$6:$E$300="",""," : "&amp;'Igor'!$E$6:$E$300)&amp;" ["&amp;'Igor'!$F$6:$F$300&amp;"]","")))</f>
        <v/>
      </c>
    </row>
    <row r="176" ht="28" customHeight="1">
      <c r="A176" s="13" t="inlineStr">
        <is>
          <t>SBM-008</t>
        </is>
      </c>
      <c r="B176" s="14" t="inlineStr">
        <is>
          <t>Etapa 2: Construção das métricas | Atividade 7: Operacionalização das métricas | Atividade 8: Aplicação das métricas</t>
        </is>
      </c>
      <c r="C176" s="14" t="inlineStr">
        <is>
          <t>Aplicação da SBM</t>
        </is>
      </c>
      <c r="D176" s="14" t="n"/>
      <c r="E176" s="15" t="inlineStr">
        <is>
          <t>Adaptar o parâmetro (ex. construir a tabela) - condição</t>
        </is>
      </c>
      <c r="F176" s="13" t="n"/>
      <c r="G176" s="16">
        <f>IF($A176="","",_xlfn.TEXTJOIN("; ",TRUE,IF(COUNTIF('Clarice'!$B$6:$B$300,$A176)&gt;0,"Clarice",""),IF(COUNTIF('Luisa'!$B$6:$B$300,$A176)&gt;0,"Luisa",""),IF(COUNTIF('Lui'!$B$6:$B$300,$A176)&gt;0,"Lui",""),IF(COUNTIF('Thaís'!$B$6:$B$300,$A176)&gt;0,"Thaís",""),IF(COUNTIF('Daniel'!$B$6:$B$300,$A176)&gt;0,"Daniel",""),IF(COUNTIF('Fernando'!$B$6:$B$300,$A176)&gt;0,"Fernando",""),IF(COUNTIF('Stephanie'!$B$6:$B$300,$A176)&gt;0,"Stephanie",""),IF(COUNTIF('Fox'!$B$6:$B$300,$A176)&gt;0,"Fox",""),IF(COUNTIF('Bruna'!$B$6:$B$300,$A176)&gt;0,"Bruna",""),IF(COUNTIF('Stella'!$B$6:$B$300,$A176)&gt;0,"Stella",""),IF(COUNTIF('Igor'!$B$6:$B$300,$A176)&gt;0,"Igor","")))</f>
        <v/>
      </c>
      <c r="H176" s="13" t="n"/>
      <c r="I176" s="13" t="inlineStr">
        <is>
          <t>Em andamento</t>
        </is>
      </c>
      <c r="J176" s="17">
        <f>IF(OR($A176="",(COUNTIF('Clarice'!$B$6:$B$300,$A176)+COUNTIF('Luisa'!$B$6:$B$300,$A176)+COUNTIF('Lui'!$B$6:$B$300,$A176)+COUNTIF('Thaís'!$B$6:$B$300,$A176)+COUNTIF('Daniel'!$B$6:$B$300,$A176)+COUNTIF('Fernando'!$B$6:$B$300,$A176)+COUNTIF('Stephanie'!$B$6:$B$300,$A176)+COUNTIF('Fox'!$B$6:$B$300,$A176)+COUNTIF('Bruna'!$B$6:$B$300,$A176)+COUNTIF('Stella'!$B$6:$B$300,$A176)+COUNTIF('Igor'!$B$6:$B$300,$A176))=0),"",(COUNTIFS('Clarice'!$B$6:$B$300,$A176,'Clarice'!$F$6:$F$300,"Concluído")+COUNTIFS('Luisa'!$B$6:$B$300,$A176,'Luisa'!$F$6:$F$300,"Concluído")+COUNTIFS('Lui'!$B$6:$B$300,$A176,'Lui'!$F$6:$F$300,"Concluído")+COUNTIFS('Thaís'!$B$6:$B$300,$A176,'Thaís'!$F$6:$F$300,"Concluído")+COUNTIFS('Daniel'!$B$6:$B$300,$A176,'Daniel'!$F$6:$F$300,"Concluído")+COUNTIFS('Fernando'!$B$6:$B$300,$A176,'Fernando'!$F$6:$F$300,"Concluído")+COUNTIFS('Stephanie'!$B$6:$B$300,$A176,'Stephanie'!$F$6:$F$300,"Concluído")+COUNTIFS('Fox'!$B$6:$B$300,$A176,'Fox'!$F$6:$F$300,"Concluído")+COUNTIFS('Bruna'!$B$6:$B$300,$A176,'Bruna'!$F$6:$F$300,"Concluído")+COUNTIFS('Stella'!$B$6:$B$300,$A176,'Stella'!$F$6:$F$300,"Concluído")+COUNTIFS('Igor'!$B$6:$B$300,$A176,'Igor'!$F$6:$F$300,"Concluído"))&amp;" / "&amp;(COUNTIF('Clarice'!$B$6:$B$300,$A176)+COUNTIF('Luisa'!$B$6:$B$300,$A176)+COUNTIF('Lui'!$B$6:$B$300,$A176)+COUNTIF('Thaís'!$B$6:$B$300,$A176)+COUNTIF('Daniel'!$B$6:$B$300,$A176)+COUNTIF('Fernando'!$B$6:$B$300,$A176)+COUNTIF('Stephanie'!$B$6:$B$300,$A176)+COUNTIF('Fox'!$B$6:$B$300,$A176)+COUNTIF('Bruna'!$B$6:$B$300,$A176)+COUNTIF('Stella'!$B$6:$B$300,$A176)+COUNTIF('Igor'!$B$6:$B$300,$A176)))</f>
        <v/>
      </c>
      <c r="K176" s="18" t="n">
        <v>46132</v>
      </c>
      <c r="L176" s="18" t="n">
        <v>46150</v>
      </c>
      <c r="M176" s="18" t="n">
        <v>46132</v>
      </c>
      <c r="N176" s="18" t="n">
        <v>46220</v>
      </c>
      <c r="O176" s="19" t="n"/>
      <c r="P176" s="20">
        <f>IF($A176="","",IF(M176&lt;&gt;"",M176,IF(K176&lt;&gt;"",K176,"")))</f>
        <v/>
      </c>
      <c r="Q176" s="20">
        <f>IF($A176="","",IF(N176&lt;&gt;"",N176,IF(L176&lt;&gt;"",L176,"")))</f>
        <v/>
      </c>
      <c r="R176" s="15" t="n"/>
      <c r="S176" s="16">
        <f t="array" ref="S176">IF($A176="","",_xlfn.TEXTJOIN(CHAR(10),TRUE,IF('Clarice'!$B$6:$B$300=$A176,"Clarice"&amp;IF('Clarice'!$E$6:$E$300="",""," : "&amp;'Clarice'!$E$6:$E$300)&amp;" ["&amp;'Clarice'!$F$6:$F$300&amp;"]",""),IF('Luisa'!$B$6:$B$300=$A176,"Luisa"&amp;IF('Luisa'!$E$6:$E$300="",""," : "&amp;'Luisa'!$E$6:$E$300)&amp;" ["&amp;'Luisa'!$F$6:$F$300&amp;"]",""),IF('Lui'!$B$6:$B$300=$A176,"Lui"&amp;IF('Lui'!$E$6:$E$300="",""," : "&amp;'Lui'!$E$6:$E$300)&amp;" ["&amp;'Lui'!$F$6:$F$300&amp;"]",""),IF('Thaís'!$B$6:$B$300=$A176,"Thaís"&amp;IF('Thaís'!$E$6:$E$300="",""," : "&amp;'Thaís'!$E$6:$E$300)&amp;" ["&amp;'Thaís'!$F$6:$F$300&amp;"]",""),IF('Daniel'!$B$6:$B$300=$A176,"Daniel"&amp;IF('Daniel'!$E$6:$E$300="",""," : "&amp;'Daniel'!$E$6:$E$300)&amp;" ["&amp;'Daniel'!$F$6:$F$300&amp;"]",""),IF('Fernando'!$B$6:$B$300=$A176,"Fernando"&amp;IF('Fernando'!$E$6:$E$300="",""," : "&amp;'Fernando'!$E$6:$E$300)&amp;" ["&amp;'Fernando'!$F$6:$F$300&amp;"]",""),IF('Stephanie'!$B$6:$B$300=$A176,"Stephanie"&amp;IF('Stephanie'!$E$6:$E$300="",""," : "&amp;'Stephanie'!$E$6:$E$300)&amp;" ["&amp;'Stephanie'!$F$6:$F$300&amp;"]",""),IF('Fox'!$B$6:$B$300=$A176,"Fox"&amp;IF('Fox'!$E$6:$E$300="",""," : "&amp;'Fox'!$E$6:$E$300)&amp;" ["&amp;'Fox'!$F$6:$F$300&amp;"]",""),IF('Bruna'!$B$6:$B$300=$A176,"Bruna"&amp;IF('Bruna'!$E$6:$E$300="",""," : "&amp;'Bruna'!$E$6:$E$300)&amp;" ["&amp;'Bruna'!$F$6:$F$300&amp;"]",""),IF('Stella'!$B$6:$B$300=$A176,"Stella"&amp;IF('Stella'!$E$6:$E$300="",""," : "&amp;'Stella'!$E$6:$E$300)&amp;" ["&amp;'Stella'!$F$6:$F$300&amp;"]",""),IF('Igor'!$B$6:$B$300=$A176,"Igor"&amp;IF('Igor'!$E$6:$E$300="",""," : "&amp;'Igor'!$E$6:$E$300)&amp;" ["&amp;'Igor'!$F$6:$F$300&amp;"]","")))</f>
        <v/>
      </c>
    </row>
    <row r="177" ht="40.5" customHeight="1">
      <c r="A177" s="13" t="inlineStr">
        <is>
          <t>SBM-009</t>
        </is>
      </c>
      <c r="B177" s="14" t="inlineStr">
        <is>
          <t>Etapa 2: Construção das métricas | Atividade 7: Operacionalização das métricas | Atividade 8: Aplicação das métricas</t>
        </is>
      </c>
      <c r="C177" s="14" t="inlineStr">
        <is>
          <t>Aplicação da SBM</t>
        </is>
      </c>
      <c r="D177" s="14" t="n"/>
      <c r="E177" s="15" t="inlineStr">
        <is>
          <t>Adaptar o parâmetro com foco em restinga - condição</t>
        </is>
      </c>
      <c r="F177" s="13" t="n"/>
      <c r="G177" s="16">
        <f>IF($A177="","",_xlfn.TEXTJOIN("; ",TRUE,IF(COUNTIF('Clarice'!$B$6:$B$300,$A177)&gt;0,"Clarice",""),IF(COUNTIF('Luisa'!$B$6:$B$300,$A177)&gt;0,"Luisa",""),IF(COUNTIF('Lui'!$B$6:$B$300,$A177)&gt;0,"Lui",""),IF(COUNTIF('Thaís'!$B$6:$B$300,$A177)&gt;0,"Thaís",""),IF(COUNTIF('Daniel'!$B$6:$B$300,$A177)&gt;0,"Daniel",""),IF(COUNTIF('Fernando'!$B$6:$B$300,$A177)&gt;0,"Fernando",""),IF(COUNTIF('Stephanie'!$B$6:$B$300,$A177)&gt;0,"Stephanie",""),IF(COUNTIF('Fox'!$B$6:$B$300,$A177)&gt;0,"Fox",""),IF(COUNTIF('Bruna'!$B$6:$B$300,$A177)&gt;0,"Bruna",""),IF(COUNTIF('Stella'!$B$6:$B$300,$A177)&gt;0,"Stella",""),IF(COUNTIF('Igor'!$B$6:$B$300,$A177)&gt;0,"Igor","")))</f>
        <v/>
      </c>
      <c r="H177" s="13" t="n"/>
      <c r="I177" s="13" t="inlineStr">
        <is>
          <t>Não iniciado</t>
        </is>
      </c>
      <c r="J177" s="17">
        <f>IF(OR($A177="",(COUNTIF('Clarice'!$B$6:$B$300,$A177)+COUNTIF('Luisa'!$B$6:$B$300,$A177)+COUNTIF('Lui'!$B$6:$B$300,$A177)+COUNTIF('Thaís'!$B$6:$B$300,$A177)+COUNTIF('Daniel'!$B$6:$B$300,$A177)+COUNTIF('Fernando'!$B$6:$B$300,$A177)+COUNTIF('Stephanie'!$B$6:$B$300,$A177)+COUNTIF('Fox'!$B$6:$B$300,$A177)+COUNTIF('Bruna'!$B$6:$B$300,$A177)+COUNTIF('Stella'!$B$6:$B$300,$A177)+COUNTIF('Igor'!$B$6:$B$300,$A177))=0),"",(COUNTIFS('Clarice'!$B$6:$B$300,$A177,'Clarice'!$F$6:$F$300,"Concluído")+COUNTIFS('Luisa'!$B$6:$B$300,$A177,'Luisa'!$F$6:$F$300,"Concluído")+COUNTIFS('Lui'!$B$6:$B$300,$A177,'Lui'!$F$6:$F$300,"Concluído")+COUNTIFS('Thaís'!$B$6:$B$300,$A177,'Thaís'!$F$6:$F$300,"Concluído")+COUNTIFS('Daniel'!$B$6:$B$300,$A177,'Daniel'!$F$6:$F$300,"Concluído")+COUNTIFS('Fernando'!$B$6:$B$300,$A177,'Fernando'!$F$6:$F$300,"Concluído")+COUNTIFS('Stephanie'!$B$6:$B$300,$A177,'Stephanie'!$F$6:$F$300,"Concluído")+COUNTIFS('Fox'!$B$6:$B$300,$A177,'Fox'!$F$6:$F$300,"Concluído")+COUNTIFS('Bruna'!$B$6:$B$300,$A177,'Bruna'!$F$6:$F$300,"Concluído")+COUNTIFS('Stella'!$B$6:$B$300,$A177,'Stella'!$F$6:$F$300,"Concluído")+COUNTIFS('Igor'!$B$6:$B$300,$A177,'Igor'!$F$6:$F$300,"Concluído"))&amp;" / "&amp;(COUNTIF('Clarice'!$B$6:$B$300,$A177)+COUNTIF('Luisa'!$B$6:$B$300,$A177)+COUNTIF('Lui'!$B$6:$B$300,$A177)+COUNTIF('Thaís'!$B$6:$B$300,$A177)+COUNTIF('Daniel'!$B$6:$B$300,$A177)+COUNTIF('Fernando'!$B$6:$B$300,$A177)+COUNTIF('Stephanie'!$B$6:$B$300,$A177)+COUNTIF('Fox'!$B$6:$B$300,$A177)+COUNTIF('Bruna'!$B$6:$B$300,$A177)+COUNTIF('Stella'!$B$6:$B$300,$A177)+COUNTIF('Igor'!$B$6:$B$300,$A177)))</f>
        <v/>
      </c>
      <c r="K177" s="18" t="n">
        <v>46258</v>
      </c>
      <c r="L177" s="18" t="n">
        <v>46276</v>
      </c>
      <c r="M177" s="18" t="n">
        <v>46258</v>
      </c>
      <c r="N177" s="18" t="n">
        <v>46276</v>
      </c>
      <c r="O177" s="19" t="n"/>
      <c r="P177" s="20">
        <f>IF($A177="","",IF(M177&lt;&gt;"",M177,IF(K177&lt;&gt;"",K177,"")))</f>
        <v/>
      </c>
      <c r="Q177" s="20">
        <f>IF($A177="","",IF(N177&lt;&gt;"",N177,IF(L177&lt;&gt;"",L177,"")))</f>
        <v/>
      </c>
      <c r="R177" s="15" t="n"/>
      <c r="S177" s="16">
        <f t="array" ref="S177">IF($A177="","",_xlfn.TEXTJOIN(CHAR(10),TRUE,IF('Clarice'!$B$6:$B$300=$A177,"Clarice"&amp;IF('Clarice'!$E$6:$E$300="",""," : "&amp;'Clarice'!$E$6:$E$300)&amp;" ["&amp;'Clarice'!$F$6:$F$300&amp;"]",""),IF('Luisa'!$B$6:$B$300=$A177,"Luisa"&amp;IF('Luisa'!$E$6:$E$300="",""," : "&amp;'Luisa'!$E$6:$E$300)&amp;" ["&amp;'Luisa'!$F$6:$F$300&amp;"]",""),IF('Lui'!$B$6:$B$300=$A177,"Lui"&amp;IF('Lui'!$E$6:$E$300="",""," : "&amp;'Lui'!$E$6:$E$300)&amp;" ["&amp;'Lui'!$F$6:$F$300&amp;"]",""),IF('Thaís'!$B$6:$B$300=$A177,"Thaís"&amp;IF('Thaís'!$E$6:$E$300="",""," : "&amp;'Thaís'!$E$6:$E$300)&amp;" ["&amp;'Thaís'!$F$6:$F$300&amp;"]",""),IF('Daniel'!$B$6:$B$300=$A177,"Daniel"&amp;IF('Daniel'!$E$6:$E$300="",""," : "&amp;'Daniel'!$E$6:$E$300)&amp;" ["&amp;'Daniel'!$F$6:$F$300&amp;"]",""),IF('Fernando'!$B$6:$B$300=$A177,"Fernando"&amp;IF('Fernando'!$E$6:$E$300="",""," : "&amp;'Fernando'!$E$6:$E$300)&amp;" ["&amp;'Fernando'!$F$6:$F$300&amp;"]",""),IF('Stephanie'!$B$6:$B$300=$A177,"Stephanie"&amp;IF('Stephanie'!$E$6:$E$300="",""," : "&amp;'Stephanie'!$E$6:$E$300)&amp;" ["&amp;'Stephanie'!$F$6:$F$300&amp;"]",""),IF('Fox'!$B$6:$B$300=$A177,"Fox"&amp;IF('Fox'!$E$6:$E$300="",""," : "&amp;'Fox'!$E$6:$E$300)&amp;" ["&amp;'Fox'!$F$6:$F$300&amp;"]",""),IF('Bruna'!$B$6:$B$300=$A177,"Bruna"&amp;IF('Bruna'!$E$6:$E$300="",""," : "&amp;'Bruna'!$E$6:$E$300)&amp;" ["&amp;'Bruna'!$F$6:$F$300&amp;"]",""),IF('Stella'!$B$6:$B$300=$A177,"Stella"&amp;IF('Stella'!$E$6:$E$300="",""," : "&amp;'Stella'!$E$6:$E$300)&amp;" ["&amp;'Stella'!$F$6:$F$300&amp;"]",""),IF('Igor'!$B$6:$B$300=$A177,"Igor"&amp;IF('Igor'!$E$6:$E$300="",""," : "&amp;'Igor'!$E$6:$E$300)&amp;" ["&amp;'Igor'!$F$6:$F$300&amp;"]","")))</f>
        <v/>
      </c>
    </row>
    <row r="178" ht="40.5" customHeight="1">
      <c r="A178" s="13" t="inlineStr">
        <is>
          <t>SBM-010</t>
        </is>
      </c>
      <c r="B178" s="14" t="inlineStr">
        <is>
          <t>Etapa 2: Construção das métricas | Atividade 7: Operacionalização das métricas | Atividade 8: Aplicação das métricas</t>
        </is>
      </c>
      <c r="C178" s="14" t="inlineStr">
        <is>
          <t>Aplicação da SBM</t>
        </is>
      </c>
      <c r="D178" s="14" t="n"/>
      <c r="E178" s="15" t="inlineStr">
        <is>
          <t>Definir a estratégia de aplicação - valor estratégico</t>
        </is>
      </c>
      <c r="F178" s="13" t="n"/>
      <c r="G178" s="16">
        <f>IF($A178="","",_xlfn.TEXTJOIN("; ",TRUE,IF(COUNTIF('Clarice'!$B$6:$B$300,$A178)&gt;0,"Clarice",""),IF(COUNTIF('Luisa'!$B$6:$B$300,$A178)&gt;0,"Luisa",""),IF(COUNTIF('Lui'!$B$6:$B$300,$A178)&gt;0,"Lui",""),IF(COUNTIF('Thaís'!$B$6:$B$300,$A178)&gt;0,"Thaís",""),IF(COUNTIF('Daniel'!$B$6:$B$300,$A178)&gt;0,"Daniel",""),IF(COUNTIF('Fernando'!$B$6:$B$300,$A178)&gt;0,"Fernando",""),IF(COUNTIF('Stephanie'!$B$6:$B$300,$A178)&gt;0,"Stephanie",""),IF(COUNTIF('Fox'!$B$6:$B$300,$A178)&gt;0,"Fox",""),IF(COUNTIF('Bruna'!$B$6:$B$300,$A178)&gt;0,"Bruna",""),IF(COUNTIF('Stella'!$B$6:$B$300,$A178)&gt;0,"Stella",""),IF(COUNTIF('Igor'!$B$6:$B$300,$A178)&gt;0,"Igor","")))</f>
        <v/>
      </c>
      <c r="H178" s="13" t="n"/>
      <c r="I178" s="13" t="inlineStr">
        <is>
          <t>Concluído</t>
        </is>
      </c>
      <c r="J178" s="17">
        <f>IF(OR($A178="",(COUNTIF('Clarice'!$B$6:$B$300,$A178)+COUNTIF('Luisa'!$B$6:$B$300,$A178)+COUNTIF('Lui'!$B$6:$B$300,$A178)+COUNTIF('Thaís'!$B$6:$B$300,$A178)+COUNTIF('Daniel'!$B$6:$B$300,$A178)+COUNTIF('Fernando'!$B$6:$B$300,$A178)+COUNTIF('Stephanie'!$B$6:$B$300,$A178)+COUNTIF('Fox'!$B$6:$B$300,$A178)+COUNTIF('Bruna'!$B$6:$B$300,$A178)+COUNTIF('Stella'!$B$6:$B$300,$A178)+COUNTIF('Igor'!$B$6:$B$300,$A178))=0),"",(COUNTIFS('Clarice'!$B$6:$B$300,$A178,'Clarice'!$F$6:$F$300,"Concluído")+COUNTIFS('Luisa'!$B$6:$B$300,$A178,'Luisa'!$F$6:$F$300,"Concluído")+COUNTIFS('Lui'!$B$6:$B$300,$A178,'Lui'!$F$6:$F$300,"Concluído")+COUNTIFS('Thaís'!$B$6:$B$300,$A178,'Thaís'!$F$6:$F$300,"Concluído")+COUNTIFS('Daniel'!$B$6:$B$300,$A178,'Daniel'!$F$6:$F$300,"Concluído")+COUNTIFS('Fernando'!$B$6:$B$300,$A178,'Fernando'!$F$6:$F$300,"Concluído")+COUNTIFS('Stephanie'!$B$6:$B$300,$A178,'Stephanie'!$F$6:$F$300,"Concluído")+COUNTIFS('Fox'!$B$6:$B$300,$A178,'Fox'!$F$6:$F$300,"Concluído")+COUNTIFS('Bruna'!$B$6:$B$300,$A178,'Bruna'!$F$6:$F$300,"Concluído")+COUNTIFS('Stella'!$B$6:$B$300,$A178,'Stella'!$F$6:$F$300,"Concluído")+COUNTIFS('Igor'!$B$6:$B$300,$A178,'Igor'!$F$6:$F$300,"Concluído"))&amp;" / "&amp;(COUNTIF('Clarice'!$B$6:$B$300,$A178)+COUNTIF('Luisa'!$B$6:$B$300,$A178)+COUNTIF('Lui'!$B$6:$B$300,$A178)+COUNTIF('Thaís'!$B$6:$B$300,$A178)+COUNTIF('Daniel'!$B$6:$B$300,$A178)+COUNTIF('Fernando'!$B$6:$B$300,$A178)+COUNTIF('Stephanie'!$B$6:$B$300,$A178)+COUNTIF('Fox'!$B$6:$B$300,$A178)+COUNTIF('Bruna'!$B$6:$B$300,$A178)+COUNTIF('Stella'!$B$6:$B$300,$A178)+COUNTIF('Igor'!$B$6:$B$300,$A178)))</f>
        <v/>
      </c>
      <c r="K178" s="18" t="n">
        <v>46139</v>
      </c>
      <c r="L178" s="18" t="n">
        <v>46157</v>
      </c>
      <c r="M178" s="18" t="n">
        <v>46139</v>
      </c>
      <c r="N178" s="18" t="n">
        <v>46171</v>
      </c>
      <c r="O178" s="19" t="n"/>
      <c r="P178" s="20">
        <f>IF($A178="","",IF(M178&lt;&gt;"",M178,IF(K178&lt;&gt;"",K178,"")))</f>
        <v/>
      </c>
      <c r="Q178" s="20">
        <f>IF($A178="","",IF(N178&lt;&gt;"",N178,IF(L178&lt;&gt;"",L178,"")))</f>
        <v/>
      </c>
      <c r="R178" s="15" t="n"/>
      <c r="S178" s="16">
        <f t="array" ref="S178">IF($A178="","",_xlfn.TEXTJOIN(CHAR(10),TRUE,IF('Clarice'!$B$6:$B$300=$A178,"Clarice"&amp;IF('Clarice'!$E$6:$E$300="",""," : "&amp;'Clarice'!$E$6:$E$300)&amp;" ["&amp;'Clarice'!$F$6:$F$300&amp;"]",""),IF('Luisa'!$B$6:$B$300=$A178,"Luisa"&amp;IF('Luisa'!$E$6:$E$300="",""," : "&amp;'Luisa'!$E$6:$E$300)&amp;" ["&amp;'Luisa'!$F$6:$F$300&amp;"]",""),IF('Lui'!$B$6:$B$300=$A178,"Lui"&amp;IF('Lui'!$E$6:$E$300="",""," : "&amp;'Lui'!$E$6:$E$300)&amp;" ["&amp;'Lui'!$F$6:$F$300&amp;"]",""),IF('Thaís'!$B$6:$B$300=$A178,"Thaís"&amp;IF('Thaís'!$E$6:$E$300="",""," : "&amp;'Thaís'!$E$6:$E$300)&amp;" ["&amp;'Thaís'!$F$6:$F$300&amp;"]",""),IF('Daniel'!$B$6:$B$300=$A178,"Daniel"&amp;IF('Daniel'!$E$6:$E$300="",""," : "&amp;'Daniel'!$E$6:$E$300)&amp;" ["&amp;'Daniel'!$F$6:$F$300&amp;"]",""),IF('Fernando'!$B$6:$B$300=$A178,"Fernando"&amp;IF('Fernando'!$E$6:$E$300="",""," : "&amp;'Fernando'!$E$6:$E$300)&amp;" ["&amp;'Fernando'!$F$6:$F$300&amp;"]",""),IF('Stephanie'!$B$6:$B$300=$A178,"Stephanie"&amp;IF('Stephanie'!$E$6:$E$300="",""," : "&amp;'Stephanie'!$E$6:$E$300)&amp;" ["&amp;'Stephanie'!$F$6:$F$300&amp;"]",""),IF('Fox'!$B$6:$B$300=$A178,"Fox"&amp;IF('Fox'!$E$6:$E$300="",""," : "&amp;'Fox'!$E$6:$E$300)&amp;" ["&amp;'Fox'!$F$6:$F$300&amp;"]",""),IF('Bruna'!$B$6:$B$300=$A178,"Bruna"&amp;IF('Bruna'!$E$6:$E$300="",""," : "&amp;'Bruna'!$E$6:$E$300)&amp;" ["&amp;'Bruna'!$F$6:$F$300&amp;"]",""),IF('Stella'!$B$6:$B$300=$A178,"Stella"&amp;IF('Stella'!$E$6:$E$300="",""," : "&amp;'Stella'!$E$6:$E$300)&amp;" ["&amp;'Stella'!$F$6:$F$300&amp;"]",""),IF('Igor'!$B$6:$B$300=$A178,"Igor"&amp;IF('Igor'!$E$6:$E$300="",""," : "&amp;'Igor'!$E$6:$E$300)&amp;" ["&amp;'Igor'!$F$6:$F$300&amp;"]","")))</f>
        <v/>
      </c>
    </row>
    <row r="179" ht="28" customHeight="1">
      <c r="A179" s="13" t="inlineStr">
        <is>
          <t>SBM-011</t>
        </is>
      </c>
      <c r="B179" s="14" t="inlineStr">
        <is>
          <t>Etapa 2: Construção das métricas | Atividade 7: Operacionalização das métricas | Atividade 8: Aplicação das métricas</t>
        </is>
      </c>
      <c r="C179" s="14" t="inlineStr">
        <is>
          <t>Aplicação da SBM</t>
        </is>
      </c>
      <c r="D179" s="14" t="n"/>
      <c r="E179" s="15" t="inlineStr">
        <is>
          <t>Adaptar o parâmetro (ex. construir a tabela) - valor estratégico</t>
        </is>
      </c>
      <c r="F179" s="13" t="n"/>
      <c r="G179" s="16">
        <f>IF($A179="","",_xlfn.TEXTJOIN("; ",TRUE,IF(COUNTIF('Clarice'!$B$6:$B$300,$A179)&gt;0,"Clarice",""),IF(COUNTIF('Luisa'!$B$6:$B$300,$A179)&gt;0,"Luisa",""),IF(COUNTIF('Lui'!$B$6:$B$300,$A179)&gt;0,"Lui",""),IF(COUNTIF('Thaís'!$B$6:$B$300,$A179)&gt;0,"Thaís",""),IF(COUNTIF('Daniel'!$B$6:$B$300,$A179)&gt;0,"Daniel",""),IF(COUNTIF('Fernando'!$B$6:$B$300,$A179)&gt;0,"Fernando",""),IF(COUNTIF('Stephanie'!$B$6:$B$300,$A179)&gt;0,"Stephanie",""),IF(COUNTIF('Fox'!$B$6:$B$300,$A179)&gt;0,"Fox",""),IF(COUNTIF('Bruna'!$B$6:$B$300,$A179)&gt;0,"Bruna",""),IF(COUNTIF('Stella'!$B$6:$B$300,$A179)&gt;0,"Stella",""),IF(COUNTIF('Igor'!$B$6:$B$300,$A179)&gt;0,"Igor","")))</f>
        <v/>
      </c>
      <c r="H179" s="13" t="n"/>
      <c r="I179" s="13" t="inlineStr">
        <is>
          <t>Não iniciado</t>
        </is>
      </c>
      <c r="J179" s="17">
        <f>IF(OR($A179="",(COUNTIF('Clarice'!$B$6:$B$300,$A179)+COUNTIF('Luisa'!$B$6:$B$300,$A179)+COUNTIF('Lui'!$B$6:$B$300,$A179)+COUNTIF('Thaís'!$B$6:$B$300,$A179)+COUNTIF('Daniel'!$B$6:$B$300,$A179)+COUNTIF('Fernando'!$B$6:$B$300,$A179)+COUNTIF('Stephanie'!$B$6:$B$300,$A179)+COUNTIF('Fox'!$B$6:$B$300,$A179)+COUNTIF('Bruna'!$B$6:$B$300,$A179)+COUNTIF('Stella'!$B$6:$B$300,$A179)+COUNTIF('Igor'!$B$6:$B$300,$A179))=0),"",(COUNTIFS('Clarice'!$B$6:$B$300,$A179,'Clarice'!$F$6:$F$300,"Concluído")+COUNTIFS('Luisa'!$B$6:$B$300,$A179,'Luisa'!$F$6:$F$300,"Concluído")+COUNTIFS('Lui'!$B$6:$B$300,$A179,'Lui'!$F$6:$F$300,"Concluído")+COUNTIFS('Thaís'!$B$6:$B$300,$A179,'Thaís'!$F$6:$F$300,"Concluído")+COUNTIFS('Daniel'!$B$6:$B$300,$A179,'Daniel'!$F$6:$F$300,"Concluído")+COUNTIFS('Fernando'!$B$6:$B$300,$A179,'Fernando'!$F$6:$F$300,"Concluído")+COUNTIFS('Stephanie'!$B$6:$B$300,$A179,'Stephanie'!$F$6:$F$300,"Concluído")+COUNTIFS('Fox'!$B$6:$B$300,$A179,'Fox'!$F$6:$F$300,"Concluído")+COUNTIFS('Bruna'!$B$6:$B$300,$A179,'Bruna'!$F$6:$F$300,"Concluído")+COUNTIFS('Stella'!$B$6:$B$300,$A179,'Stella'!$F$6:$F$300,"Concluído")+COUNTIFS('Igor'!$B$6:$B$300,$A179,'Igor'!$F$6:$F$300,"Concluído"))&amp;" / "&amp;(COUNTIF('Clarice'!$B$6:$B$300,$A179)+COUNTIF('Luisa'!$B$6:$B$300,$A179)+COUNTIF('Lui'!$B$6:$B$300,$A179)+COUNTIF('Thaís'!$B$6:$B$300,$A179)+COUNTIF('Daniel'!$B$6:$B$300,$A179)+COUNTIF('Fernando'!$B$6:$B$300,$A179)+COUNTIF('Stephanie'!$B$6:$B$300,$A179)+COUNTIF('Fox'!$B$6:$B$300,$A179)+COUNTIF('Bruna'!$B$6:$B$300,$A179)+COUNTIF('Stella'!$B$6:$B$300,$A179)+COUNTIF('Igor'!$B$6:$B$300,$A179)))</f>
        <v/>
      </c>
      <c r="K179" s="18" t="n">
        <v>46139</v>
      </c>
      <c r="L179" s="18" t="n">
        <v>46157</v>
      </c>
      <c r="M179" s="18" t="n">
        <v>46139</v>
      </c>
      <c r="N179" s="18" t="n">
        <v>46227</v>
      </c>
      <c r="O179" s="19" t="n"/>
      <c r="P179" s="20">
        <f>IF($A179="","",IF(M179&lt;&gt;"",M179,IF(K179&lt;&gt;"",K179,"")))</f>
        <v/>
      </c>
      <c r="Q179" s="20">
        <f>IF($A179="","",IF(N179&lt;&gt;"",N179,IF(L179&lt;&gt;"",L179,"")))</f>
        <v/>
      </c>
      <c r="R179" s="15" t="n"/>
      <c r="S179" s="16">
        <f t="array" ref="S179">IF($A179="","",_xlfn.TEXTJOIN(CHAR(10),TRUE,IF('Clarice'!$B$6:$B$300=$A179,"Clarice"&amp;IF('Clarice'!$E$6:$E$300="",""," : "&amp;'Clarice'!$E$6:$E$300)&amp;" ["&amp;'Clarice'!$F$6:$F$300&amp;"]",""),IF('Luisa'!$B$6:$B$300=$A179,"Luisa"&amp;IF('Luisa'!$E$6:$E$300="",""," : "&amp;'Luisa'!$E$6:$E$300)&amp;" ["&amp;'Luisa'!$F$6:$F$300&amp;"]",""),IF('Lui'!$B$6:$B$300=$A179,"Lui"&amp;IF('Lui'!$E$6:$E$300="",""," : "&amp;'Lui'!$E$6:$E$300)&amp;" ["&amp;'Lui'!$F$6:$F$300&amp;"]",""),IF('Thaís'!$B$6:$B$300=$A179,"Thaís"&amp;IF('Thaís'!$E$6:$E$300="",""," : "&amp;'Thaís'!$E$6:$E$300)&amp;" ["&amp;'Thaís'!$F$6:$F$300&amp;"]",""),IF('Daniel'!$B$6:$B$300=$A179,"Daniel"&amp;IF('Daniel'!$E$6:$E$300="",""," : "&amp;'Daniel'!$E$6:$E$300)&amp;" ["&amp;'Daniel'!$F$6:$F$300&amp;"]",""),IF('Fernando'!$B$6:$B$300=$A179,"Fernando"&amp;IF('Fernando'!$E$6:$E$300="",""," : "&amp;'Fernando'!$E$6:$E$300)&amp;" ["&amp;'Fernando'!$F$6:$F$300&amp;"]",""),IF('Stephanie'!$B$6:$B$300=$A179,"Stephanie"&amp;IF('Stephanie'!$E$6:$E$300="",""," : "&amp;'Stephanie'!$E$6:$E$300)&amp;" ["&amp;'Stephanie'!$F$6:$F$300&amp;"]",""),IF('Fox'!$B$6:$B$300=$A179,"Fox"&amp;IF('Fox'!$E$6:$E$300="",""," : "&amp;'Fox'!$E$6:$E$300)&amp;" ["&amp;'Fox'!$F$6:$F$300&amp;"]",""),IF('Bruna'!$B$6:$B$300=$A179,"Bruna"&amp;IF('Bruna'!$E$6:$E$300="",""," : "&amp;'Bruna'!$E$6:$E$300)&amp;" ["&amp;'Bruna'!$F$6:$F$300&amp;"]",""),IF('Stella'!$B$6:$B$300=$A179,"Stella"&amp;IF('Stella'!$E$6:$E$300="",""," : "&amp;'Stella'!$E$6:$E$300)&amp;" ["&amp;'Stella'!$F$6:$F$300&amp;"]",""),IF('Igor'!$B$6:$B$300=$A179,"Igor"&amp;IF('Igor'!$E$6:$E$300="",""," : "&amp;'Igor'!$E$6:$E$300)&amp;" ["&amp;'Igor'!$F$6:$F$300&amp;"]","")))</f>
        <v/>
      </c>
    </row>
    <row r="180" ht="40.5" customHeight="1">
      <c r="A180" s="13" t="inlineStr">
        <is>
          <t>SBM-012</t>
        </is>
      </c>
      <c r="B180" s="14" t="inlineStr">
        <is>
          <t>Etapa 2: Construção das métricas | Atividade 7: Operacionalização das métricas | Atividade 8: Aplicação das métricas</t>
        </is>
      </c>
      <c r="C180" s="14" t="inlineStr">
        <is>
          <t>Aplicação da SBM</t>
        </is>
      </c>
      <c r="D180" s="14" t="n"/>
      <c r="E180" s="15" t="inlineStr">
        <is>
          <t>Realizar alinhamento com a Mineral - hábitats críticos (Valor Estratégico)</t>
        </is>
      </c>
      <c r="F180" s="13" t="n"/>
      <c r="G180" s="16">
        <f>IF($A180="","",_xlfn.TEXTJOIN("; ",TRUE,IF(COUNTIF('Clarice'!$B$6:$B$300,$A180)&gt;0,"Clarice",""),IF(COUNTIF('Luisa'!$B$6:$B$300,$A180)&gt;0,"Luisa",""),IF(COUNTIF('Lui'!$B$6:$B$300,$A180)&gt;0,"Lui",""),IF(COUNTIF('Thaís'!$B$6:$B$300,$A180)&gt;0,"Thaís",""),IF(COUNTIF('Daniel'!$B$6:$B$300,$A180)&gt;0,"Daniel",""),IF(COUNTIF('Fernando'!$B$6:$B$300,$A180)&gt;0,"Fernando",""),IF(COUNTIF('Stephanie'!$B$6:$B$300,$A180)&gt;0,"Stephanie",""),IF(COUNTIF('Fox'!$B$6:$B$300,$A180)&gt;0,"Fox",""),IF(COUNTIF('Bruna'!$B$6:$B$300,$A180)&gt;0,"Bruna",""),IF(COUNTIF('Stella'!$B$6:$B$300,$A180)&gt;0,"Stella",""),IF(COUNTIF('Igor'!$B$6:$B$300,$A180)&gt;0,"Igor","")))</f>
        <v/>
      </c>
      <c r="H180" s="13" t="n"/>
      <c r="I180" s="13" t="inlineStr">
        <is>
          <t>Em andamento</t>
        </is>
      </c>
      <c r="J180" s="17">
        <f>IF(OR($A180="",(COUNTIF('Clarice'!$B$6:$B$300,$A180)+COUNTIF('Luisa'!$B$6:$B$300,$A180)+COUNTIF('Lui'!$B$6:$B$300,$A180)+COUNTIF('Thaís'!$B$6:$B$300,$A180)+COUNTIF('Daniel'!$B$6:$B$300,$A180)+COUNTIF('Fernando'!$B$6:$B$300,$A180)+COUNTIF('Stephanie'!$B$6:$B$300,$A180)+COUNTIF('Fox'!$B$6:$B$300,$A180)+COUNTIF('Bruna'!$B$6:$B$300,$A180)+COUNTIF('Stella'!$B$6:$B$300,$A180)+COUNTIF('Igor'!$B$6:$B$300,$A180))=0),"",(COUNTIFS('Clarice'!$B$6:$B$300,$A180,'Clarice'!$F$6:$F$300,"Concluído")+COUNTIFS('Luisa'!$B$6:$B$300,$A180,'Luisa'!$F$6:$F$300,"Concluído")+COUNTIFS('Lui'!$B$6:$B$300,$A180,'Lui'!$F$6:$F$300,"Concluído")+COUNTIFS('Thaís'!$B$6:$B$300,$A180,'Thaís'!$F$6:$F$300,"Concluído")+COUNTIFS('Daniel'!$B$6:$B$300,$A180,'Daniel'!$F$6:$F$300,"Concluído")+COUNTIFS('Fernando'!$B$6:$B$300,$A180,'Fernando'!$F$6:$F$300,"Concluído")+COUNTIFS('Stephanie'!$B$6:$B$300,$A180,'Stephanie'!$F$6:$F$300,"Concluído")+COUNTIFS('Fox'!$B$6:$B$300,$A180,'Fox'!$F$6:$F$300,"Concluído")+COUNTIFS('Bruna'!$B$6:$B$300,$A180,'Bruna'!$F$6:$F$300,"Concluído")+COUNTIFS('Stella'!$B$6:$B$300,$A180,'Stella'!$F$6:$F$300,"Concluído")+COUNTIFS('Igor'!$B$6:$B$300,$A180,'Igor'!$F$6:$F$300,"Concluído"))&amp;" / "&amp;(COUNTIF('Clarice'!$B$6:$B$300,$A180)+COUNTIF('Luisa'!$B$6:$B$300,$A180)+COUNTIF('Lui'!$B$6:$B$300,$A180)+COUNTIF('Thaís'!$B$6:$B$300,$A180)+COUNTIF('Daniel'!$B$6:$B$300,$A180)+COUNTIF('Fernando'!$B$6:$B$300,$A180)+COUNTIF('Stephanie'!$B$6:$B$300,$A180)+COUNTIF('Fox'!$B$6:$B$300,$A180)+COUNTIF('Bruna'!$B$6:$B$300,$A180)+COUNTIF('Stella'!$B$6:$B$300,$A180)+COUNTIF('Igor'!$B$6:$B$300,$A180)))</f>
        <v/>
      </c>
      <c r="K180" s="19" t="n"/>
      <c r="L180" s="19" t="n"/>
      <c r="M180" s="18" t="n">
        <v>46160</v>
      </c>
      <c r="N180" s="18" t="n">
        <v>46234</v>
      </c>
      <c r="O180" s="19" t="n"/>
      <c r="P180" s="20">
        <f>IF($A180="","",IF(M180&lt;&gt;"",M180,IF(K180&lt;&gt;"",K180,"")))</f>
        <v/>
      </c>
      <c r="Q180" s="20">
        <f>IF($A180="","",IF(N180&lt;&gt;"",N180,IF(L180&lt;&gt;"",L180,"")))</f>
        <v/>
      </c>
      <c r="R180" s="15" t="n"/>
      <c r="S180" s="16">
        <f t="array" ref="S180">IF($A180="","",_xlfn.TEXTJOIN(CHAR(10),TRUE,IF('Clarice'!$B$6:$B$300=$A180,"Clarice"&amp;IF('Clarice'!$E$6:$E$300="",""," : "&amp;'Clarice'!$E$6:$E$300)&amp;" ["&amp;'Clarice'!$F$6:$F$300&amp;"]",""),IF('Luisa'!$B$6:$B$300=$A180,"Luisa"&amp;IF('Luisa'!$E$6:$E$300="",""," : "&amp;'Luisa'!$E$6:$E$300)&amp;" ["&amp;'Luisa'!$F$6:$F$300&amp;"]",""),IF('Lui'!$B$6:$B$300=$A180,"Lui"&amp;IF('Lui'!$E$6:$E$300="",""," : "&amp;'Lui'!$E$6:$E$300)&amp;" ["&amp;'Lui'!$F$6:$F$300&amp;"]",""),IF('Thaís'!$B$6:$B$300=$A180,"Thaís"&amp;IF('Thaís'!$E$6:$E$300="",""," : "&amp;'Thaís'!$E$6:$E$300)&amp;" ["&amp;'Thaís'!$F$6:$F$300&amp;"]",""),IF('Daniel'!$B$6:$B$300=$A180,"Daniel"&amp;IF('Daniel'!$E$6:$E$300="",""," : "&amp;'Daniel'!$E$6:$E$300)&amp;" ["&amp;'Daniel'!$F$6:$F$300&amp;"]",""),IF('Fernando'!$B$6:$B$300=$A180,"Fernando"&amp;IF('Fernando'!$E$6:$E$300="",""," : "&amp;'Fernando'!$E$6:$E$300)&amp;" ["&amp;'Fernando'!$F$6:$F$300&amp;"]",""),IF('Stephanie'!$B$6:$B$300=$A180,"Stephanie"&amp;IF('Stephanie'!$E$6:$E$300="",""," : "&amp;'Stephanie'!$E$6:$E$300)&amp;" ["&amp;'Stephanie'!$F$6:$F$300&amp;"]",""),IF('Fox'!$B$6:$B$300=$A180,"Fox"&amp;IF('Fox'!$E$6:$E$300="",""," : "&amp;'Fox'!$E$6:$E$300)&amp;" ["&amp;'Fox'!$F$6:$F$300&amp;"]",""),IF('Bruna'!$B$6:$B$300=$A180,"Bruna"&amp;IF('Bruna'!$E$6:$E$300="",""," : "&amp;'Bruna'!$E$6:$E$300)&amp;" ["&amp;'Bruna'!$F$6:$F$300&amp;"]",""),IF('Stella'!$B$6:$B$300=$A180,"Stella"&amp;IF('Stella'!$E$6:$E$300="",""," : "&amp;'Stella'!$E$6:$E$300)&amp;" ["&amp;'Stella'!$F$6:$F$300&amp;"]",""),IF('Igor'!$B$6:$B$300=$A180,"Igor"&amp;IF('Igor'!$E$6:$E$300="",""," : "&amp;'Igor'!$E$6:$E$300)&amp;" ["&amp;'Igor'!$F$6:$F$300&amp;"]","")))</f>
        <v/>
      </c>
    </row>
    <row r="181" ht="40.5" customHeight="1">
      <c r="A181" s="13" t="inlineStr">
        <is>
          <t>SBM-013</t>
        </is>
      </c>
      <c r="B181" s="14" t="inlineStr">
        <is>
          <t>Etapa 2: Construção das métricas | Atividade 7: Operacionalização das métricas | Atividade 8: Aplicação das métricas</t>
        </is>
      </c>
      <c r="C181" s="14" t="inlineStr">
        <is>
          <t>Aplicação da SBM</t>
        </is>
      </c>
      <c r="D181" s="14" t="n"/>
      <c r="E181" s="15" t="inlineStr">
        <is>
          <t>Definir a estratégia de aplicação - fatores de ajuste</t>
        </is>
      </c>
      <c r="F181" s="13" t="n"/>
      <c r="G181" s="16">
        <f>IF($A181="","",_xlfn.TEXTJOIN("; ",TRUE,IF(COUNTIF('Clarice'!$B$6:$B$300,$A181)&gt;0,"Clarice",""),IF(COUNTIF('Luisa'!$B$6:$B$300,$A181)&gt;0,"Luisa",""),IF(COUNTIF('Lui'!$B$6:$B$300,$A181)&gt;0,"Lui",""),IF(COUNTIF('Thaís'!$B$6:$B$300,$A181)&gt;0,"Thaís",""),IF(COUNTIF('Daniel'!$B$6:$B$300,$A181)&gt;0,"Daniel",""),IF(COUNTIF('Fernando'!$B$6:$B$300,$A181)&gt;0,"Fernando",""),IF(COUNTIF('Stephanie'!$B$6:$B$300,$A181)&gt;0,"Stephanie",""),IF(COUNTIF('Fox'!$B$6:$B$300,$A181)&gt;0,"Fox",""),IF(COUNTIF('Bruna'!$B$6:$B$300,$A181)&gt;0,"Bruna",""),IF(COUNTIF('Stella'!$B$6:$B$300,$A181)&gt;0,"Stella",""),IF(COUNTIF('Igor'!$B$6:$B$300,$A181)&gt;0,"Igor","")))</f>
        <v/>
      </c>
      <c r="H181" s="13" t="n"/>
      <c r="I181" s="13" t="inlineStr">
        <is>
          <t>Pausado</t>
        </is>
      </c>
      <c r="J181" s="17">
        <f>IF(OR($A181="",(COUNTIF('Clarice'!$B$6:$B$300,$A181)+COUNTIF('Luisa'!$B$6:$B$300,$A181)+COUNTIF('Lui'!$B$6:$B$300,$A181)+COUNTIF('Thaís'!$B$6:$B$300,$A181)+COUNTIF('Daniel'!$B$6:$B$300,$A181)+COUNTIF('Fernando'!$B$6:$B$300,$A181)+COUNTIF('Stephanie'!$B$6:$B$300,$A181)+COUNTIF('Fox'!$B$6:$B$300,$A181)+COUNTIF('Bruna'!$B$6:$B$300,$A181)+COUNTIF('Stella'!$B$6:$B$300,$A181)+COUNTIF('Igor'!$B$6:$B$300,$A181))=0),"",(COUNTIFS('Clarice'!$B$6:$B$300,$A181,'Clarice'!$F$6:$F$300,"Concluído")+COUNTIFS('Luisa'!$B$6:$B$300,$A181,'Luisa'!$F$6:$F$300,"Concluído")+COUNTIFS('Lui'!$B$6:$B$300,$A181,'Lui'!$F$6:$F$300,"Concluído")+COUNTIFS('Thaís'!$B$6:$B$300,$A181,'Thaís'!$F$6:$F$300,"Concluído")+COUNTIFS('Daniel'!$B$6:$B$300,$A181,'Daniel'!$F$6:$F$300,"Concluído")+COUNTIFS('Fernando'!$B$6:$B$300,$A181,'Fernando'!$F$6:$F$300,"Concluído")+COUNTIFS('Stephanie'!$B$6:$B$300,$A181,'Stephanie'!$F$6:$F$300,"Concluído")+COUNTIFS('Fox'!$B$6:$B$300,$A181,'Fox'!$F$6:$F$300,"Concluído")+COUNTIFS('Bruna'!$B$6:$B$300,$A181,'Bruna'!$F$6:$F$300,"Concluído")+COUNTIFS('Stella'!$B$6:$B$300,$A181,'Stella'!$F$6:$F$300,"Concluído")+COUNTIFS('Igor'!$B$6:$B$300,$A181,'Igor'!$F$6:$F$300,"Concluído"))&amp;" / "&amp;(COUNTIF('Clarice'!$B$6:$B$300,$A181)+COUNTIF('Luisa'!$B$6:$B$300,$A181)+COUNTIF('Lui'!$B$6:$B$300,$A181)+COUNTIF('Thaís'!$B$6:$B$300,$A181)+COUNTIF('Daniel'!$B$6:$B$300,$A181)+COUNTIF('Fernando'!$B$6:$B$300,$A181)+COUNTIF('Stephanie'!$B$6:$B$300,$A181)+COUNTIF('Fox'!$B$6:$B$300,$A181)+COUNTIF('Bruna'!$B$6:$B$300,$A181)+COUNTIF('Stella'!$B$6:$B$300,$A181)+COUNTIF('Igor'!$B$6:$B$300,$A181)))</f>
        <v/>
      </c>
      <c r="K181" s="18" t="n">
        <v>46139</v>
      </c>
      <c r="L181" s="18" t="n">
        <v>46157</v>
      </c>
      <c r="M181" s="18" t="n">
        <v>46139</v>
      </c>
      <c r="N181" s="18" t="n">
        <v>46234</v>
      </c>
      <c r="O181" s="19" t="n"/>
      <c r="P181" s="20">
        <f>IF($A181="","",IF(M181&lt;&gt;"",M181,IF(K181&lt;&gt;"",K181,"")))</f>
        <v/>
      </c>
      <c r="Q181" s="20">
        <f>IF($A181="","",IF(N181&lt;&gt;"",N181,IF(L181&lt;&gt;"",L181,"")))</f>
        <v/>
      </c>
      <c r="R181" s="15" t="n"/>
      <c r="S181" s="16">
        <f t="array" ref="S181">IF($A181="","",_xlfn.TEXTJOIN(CHAR(10),TRUE,IF('Clarice'!$B$6:$B$300=$A181,"Clarice"&amp;IF('Clarice'!$E$6:$E$300="",""," : "&amp;'Clarice'!$E$6:$E$300)&amp;" ["&amp;'Clarice'!$F$6:$F$300&amp;"]",""),IF('Luisa'!$B$6:$B$300=$A181,"Luisa"&amp;IF('Luisa'!$E$6:$E$300="",""," : "&amp;'Luisa'!$E$6:$E$300)&amp;" ["&amp;'Luisa'!$F$6:$F$300&amp;"]",""),IF('Lui'!$B$6:$B$300=$A181,"Lui"&amp;IF('Lui'!$E$6:$E$300="",""," : "&amp;'Lui'!$E$6:$E$300)&amp;" ["&amp;'Lui'!$F$6:$F$300&amp;"]",""),IF('Thaís'!$B$6:$B$300=$A181,"Thaís"&amp;IF('Thaís'!$E$6:$E$300="",""," : "&amp;'Thaís'!$E$6:$E$300)&amp;" ["&amp;'Thaís'!$F$6:$F$300&amp;"]",""),IF('Daniel'!$B$6:$B$300=$A181,"Daniel"&amp;IF('Daniel'!$E$6:$E$300="",""," : "&amp;'Daniel'!$E$6:$E$300)&amp;" ["&amp;'Daniel'!$F$6:$F$300&amp;"]",""),IF('Fernando'!$B$6:$B$300=$A181,"Fernando"&amp;IF('Fernando'!$E$6:$E$300="",""," : "&amp;'Fernando'!$E$6:$E$300)&amp;" ["&amp;'Fernando'!$F$6:$F$300&amp;"]",""),IF('Stephanie'!$B$6:$B$300=$A181,"Stephanie"&amp;IF('Stephanie'!$E$6:$E$300="",""," : "&amp;'Stephanie'!$E$6:$E$300)&amp;" ["&amp;'Stephanie'!$F$6:$F$300&amp;"]",""),IF('Fox'!$B$6:$B$300=$A181,"Fox"&amp;IF('Fox'!$E$6:$E$300="",""," : "&amp;'Fox'!$E$6:$E$300)&amp;" ["&amp;'Fox'!$F$6:$F$300&amp;"]",""),IF('Bruna'!$B$6:$B$300=$A181,"Bruna"&amp;IF('Bruna'!$E$6:$E$300="",""," : "&amp;'Bruna'!$E$6:$E$300)&amp;" ["&amp;'Bruna'!$F$6:$F$300&amp;"]",""),IF('Stella'!$B$6:$B$300=$A181,"Stella"&amp;IF('Stella'!$E$6:$E$300="",""," : "&amp;'Stella'!$E$6:$E$300)&amp;" ["&amp;'Stella'!$F$6:$F$300&amp;"]",""),IF('Igor'!$B$6:$B$300=$A181,"Igor"&amp;IF('Igor'!$E$6:$E$300="",""," : "&amp;'Igor'!$E$6:$E$300)&amp;" ["&amp;'Igor'!$F$6:$F$300&amp;"]","")))</f>
        <v/>
      </c>
    </row>
    <row r="182" ht="40.5" customHeight="1">
      <c r="A182" s="13" t="inlineStr">
        <is>
          <t>SBM-014</t>
        </is>
      </c>
      <c r="B182" s="14" t="inlineStr">
        <is>
          <t>Etapa 2: Construção das métricas | Atividade 7: Operacionalização das métricas | Atividade 8: Aplicação das métricas</t>
        </is>
      </c>
      <c r="C182" s="14" t="inlineStr">
        <is>
          <t>Aplicação da SBM</t>
        </is>
      </c>
      <c r="D182" s="14" t="n"/>
      <c r="E182" s="15" t="inlineStr">
        <is>
          <t>Definir a estratégia de aplicação da métrica (Excel ou R)</t>
        </is>
      </c>
      <c r="F182" s="13" t="n"/>
      <c r="G182" s="16">
        <f>IF($A182="","",_xlfn.TEXTJOIN("; ",TRUE,IF(COUNTIF('Clarice'!$B$6:$B$300,$A182)&gt;0,"Clarice",""),IF(COUNTIF('Luisa'!$B$6:$B$300,$A182)&gt;0,"Luisa",""),IF(COUNTIF('Lui'!$B$6:$B$300,$A182)&gt;0,"Lui",""),IF(COUNTIF('Thaís'!$B$6:$B$300,$A182)&gt;0,"Thaís",""),IF(COUNTIF('Daniel'!$B$6:$B$300,$A182)&gt;0,"Daniel",""),IF(COUNTIF('Fernando'!$B$6:$B$300,$A182)&gt;0,"Fernando",""),IF(COUNTIF('Stephanie'!$B$6:$B$300,$A182)&gt;0,"Stephanie",""),IF(COUNTIF('Fox'!$B$6:$B$300,$A182)&gt;0,"Fox",""),IF(COUNTIF('Bruna'!$B$6:$B$300,$A182)&gt;0,"Bruna",""),IF(COUNTIF('Stella'!$B$6:$B$300,$A182)&gt;0,"Stella",""),IF(COUNTIF('Igor'!$B$6:$B$300,$A182)&gt;0,"Igor","")))</f>
        <v/>
      </c>
      <c r="H182" s="13" t="n"/>
      <c r="I182" s="13" t="inlineStr">
        <is>
          <t>Concluído</t>
        </is>
      </c>
      <c r="J182" s="17">
        <f>IF(OR($A182="",(COUNTIF('Clarice'!$B$6:$B$300,$A182)+COUNTIF('Luisa'!$B$6:$B$300,$A182)+COUNTIF('Lui'!$B$6:$B$300,$A182)+COUNTIF('Thaís'!$B$6:$B$300,$A182)+COUNTIF('Daniel'!$B$6:$B$300,$A182)+COUNTIF('Fernando'!$B$6:$B$300,$A182)+COUNTIF('Stephanie'!$B$6:$B$300,$A182)+COUNTIF('Fox'!$B$6:$B$300,$A182)+COUNTIF('Bruna'!$B$6:$B$300,$A182)+COUNTIF('Stella'!$B$6:$B$300,$A182)+COUNTIF('Igor'!$B$6:$B$300,$A182))=0),"",(COUNTIFS('Clarice'!$B$6:$B$300,$A182,'Clarice'!$F$6:$F$300,"Concluído")+COUNTIFS('Luisa'!$B$6:$B$300,$A182,'Luisa'!$F$6:$F$300,"Concluído")+COUNTIFS('Lui'!$B$6:$B$300,$A182,'Lui'!$F$6:$F$300,"Concluído")+COUNTIFS('Thaís'!$B$6:$B$300,$A182,'Thaís'!$F$6:$F$300,"Concluído")+COUNTIFS('Daniel'!$B$6:$B$300,$A182,'Daniel'!$F$6:$F$300,"Concluído")+COUNTIFS('Fernando'!$B$6:$B$300,$A182,'Fernando'!$F$6:$F$300,"Concluído")+COUNTIFS('Stephanie'!$B$6:$B$300,$A182,'Stephanie'!$F$6:$F$300,"Concluído")+COUNTIFS('Fox'!$B$6:$B$300,$A182,'Fox'!$F$6:$F$300,"Concluído")+COUNTIFS('Bruna'!$B$6:$B$300,$A182,'Bruna'!$F$6:$F$300,"Concluído")+COUNTIFS('Stella'!$B$6:$B$300,$A182,'Stella'!$F$6:$F$300,"Concluído")+COUNTIFS('Igor'!$B$6:$B$300,$A182,'Igor'!$F$6:$F$300,"Concluído"))&amp;" / "&amp;(COUNTIF('Clarice'!$B$6:$B$300,$A182)+COUNTIF('Luisa'!$B$6:$B$300,$A182)+COUNTIF('Lui'!$B$6:$B$300,$A182)+COUNTIF('Thaís'!$B$6:$B$300,$A182)+COUNTIF('Daniel'!$B$6:$B$300,$A182)+COUNTIF('Fernando'!$B$6:$B$300,$A182)+COUNTIF('Stephanie'!$B$6:$B$300,$A182)+COUNTIF('Fox'!$B$6:$B$300,$A182)+COUNTIF('Bruna'!$B$6:$B$300,$A182)+COUNTIF('Stella'!$B$6:$B$300,$A182)+COUNTIF('Igor'!$B$6:$B$300,$A182)))</f>
        <v/>
      </c>
      <c r="K182" s="18" t="n">
        <v>46153</v>
      </c>
      <c r="L182" s="18" t="n">
        <v>46157</v>
      </c>
      <c r="M182" s="18" t="n">
        <v>46153</v>
      </c>
      <c r="N182" s="18" t="n">
        <v>46178</v>
      </c>
      <c r="O182" s="19" t="n"/>
      <c r="P182" s="20">
        <f>IF($A182="","",IF(M182&lt;&gt;"",M182,IF(K182&lt;&gt;"",K182,"")))</f>
        <v/>
      </c>
      <c r="Q182" s="20">
        <f>IF($A182="","",IF(N182&lt;&gt;"",N182,IF(L182&lt;&gt;"",L182,"")))</f>
        <v/>
      </c>
      <c r="R182" s="15" t="n"/>
      <c r="S182" s="16">
        <f t="array" ref="S182">IF($A182="","",_xlfn.TEXTJOIN(CHAR(10),TRUE,IF('Clarice'!$B$6:$B$300=$A182,"Clarice"&amp;IF('Clarice'!$E$6:$E$300="",""," : "&amp;'Clarice'!$E$6:$E$300)&amp;" ["&amp;'Clarice'!$F$6:$F$300&amp;"]",""),IF('Luisa'!$B$6:$B$300=$A182,"Luisa"&amp;IF('Luisa'!$E$6:$E$300="",""," : "&amp;'Luisa'!$E$6:$E$300)&amp;" ["&amp;'Luisa'!$F$6:$F$300&amp;"]",""),IF('Lui'!$B$6:$B$300=$A182,"Lui"&amp;IF('Lui'!$E$6:$E$300="",""," : "&amp;'Lui'!$E$6:$E$300)&amp;" ["&amp;'Lui'!$F$6:$F$300&amp;"]",""),IF('Thaís'!$B$6:$B$300=$A182,"Thaís"&amp;IF('Thaís'!$E$6:$E$300="",""," : "&amp;'Thaís'!$E$6:$E$300)&amp;" ["&amp;'Thaís'!$F$6:$F$300&amp;"]",""),IF('Daniel'!$B$6:$B$300=$A182,"Daniel"&amp;IF('Daniel'!$E$6:$E$300="",""," : "&amp;'Daniel'!$E$6:$E$300)&amp;" ["&amp;'Daniel'!$F$6:$F$300&amp;"]",""),IF('Fernando'!$B$6:$B$300=$A182,"Fernando"&amp;IF('Fernando'!$E$6:$E$300="",""," : "&amp;'Fernando'!$E$6:$E$300)&amp;" ["&amp;'Fernando'!$F$6:$F$300&amp;"]",""),IF('Stephanie'!$B$6:$B$300=$A182,"Stephanie"&amp;IF('Stephanie'!$E$6:$E$300="",""," : "&amp;'Stephanie'!$E$6:$E$300)&amp;" ["&amp;'Stephanie'!$F$6:$F$300&amp;"]",""),IF('Fox'!$B$6:$B$300=$A182,"Fox"&amp;IF('Fox'!$E$6:$E$300="",""," : "&amp;'Fox'!$E$6:$E$300)&amp;" ["&amp;'Fox'!$F$6:$F$300&amp;"]",""),IF('Bruna'!$B$6:$B$300=$A182,"Bruna"&amp;IF('Bruna'!$E$6:$E$300="",""," : "&amp;'Bruna'!$E$6:$E$300)&amp;" ["&amp;'Bruna'!$F$6:$F$300&amp;"]",""),IF('Stella'!$B$6:$B$300=$A182,"Stella"&amp;IF('Stella'!$E$6:$E$300="",""," : "&amp;'Stella'!$E$6:$E$300)&amp;" ["&amp;'Stella'!$F$6:$F$300&amp;"]",""),IF('Igor'!$B$6:$B$300=$A182,"Igor"&amp;IF('Igor'!$E$6:$E$300="",""," : "&amp;'Igor'!$E$6:$E$300)&amp;" ["&amp;'Igor'!$F$6:$F$300&amp;"]","")))</f>
        <v/>
      </c>
    </row>
    <row r="183" ht="40.5" customHeight="1">
      <c r="A183" s="13" t="inlineStr">
        <is>
          <t>SBM-015</t>
        </is>
      </c>
      <c r="B183" s="14" t="inlineStr">
        <is>
          <t>Etapa 2: Construção das métricas | Atividade 7: Operacionalização das métricas | Atividade 8: Aplicação das métricas</t>
        </is>
      </c>
      <c r="C183" s="14" t="inlineStr">
        <is>
          <t>Aplicação da SBM</t>
        </is>
      </c>
      <c r="D183" s="14" t="n"/>
      <c r="E183" s="15" t="inlineStr">
        <is>
          <t>Considerar a proposta pontuações maiores para os parâmetros</t>
        </is>
      </c>
      <c r="F183" s="13" t="n"/>
      <c r="G183" s="16">
        <f>IF($A183="","",_xlfn.TEXTJOIN("; ",TRUE,IF(COUNTIF('Clarice'!$B$6:$B$300,$A183)&gt;0,"Clarice",""),IF(COUNTIF('Luisa'!$B$6:$B$300,$A183)&gt;0,"Luisa",""),IF(COUNTIF('Lui'!$B$6:$B$300,$A183)&gt;0,"Lui",""),IF(COUNTIF('Thaís'!$B$6:$B$300,$A183)&gt;0,"Thaís",""),IF(COUNTIF('Daniel'!$B$6:$B$300,$A183)&gt;0,"Daniel",""),IF(COUNTIF('Fernando'!$B$6:$B$300,$A183)&gt;0,"Fernando",""),IF(COUNTIF('Stephanie'!$B$6:$B$300,$A183)&gt;0,"Stephanie",""),IF(COUNTIF('Fox'!$B$6:$B$300,$A183)&gt;0,"Fox",""),IF(COUNTIF('Bruna'!$B$6:$B$300,$A183)&gt;0,"Bruna",""),IF(COUNTIF('Stella'!$B$6:$B$300,$A183)&gt;0,"Stella",""),IF(COUNTIF('Igor'!$B$6:$B$300,$A183)&gt;0,"Igor","")))</f>
        <v/>
      </c>
      <c r="H183" s="13" t="n"/>
      <c r="I183" s="13" t="inlineStr">
        <is>
          <t>Em andamento</t>
        </is>
      </c>
      <c r="J183" s="17">
        <f>IF(OR($A183="",(COUNTIF('Clarice'!$B$6:$B$300,$A183)+COUNTIF('Luisa'!$B$6:$B$300,$A183)+COUNTIF('Lui'!$B$6:$B$300,$A183)+COUNTIF('Thaís'!$B$6:$B$300,$A183)+COUNTIF('Daniel'!$B$6:$B$300,$A183)+COUNTIF('Fernando'!$B$6:$B$300,$A183)+COUNTIF('Stephanie'!$B$6:$B$300,$A183)+COUNTIF('Fox'!$B$6:$B$300,$A183)+COUNTIF('Bruna'!$B$6:$B$300,$A183)+COUNTIF('Stella'!$B$6:$B$300,$A183)+COUNTIF('Igor'!$B$6:$B$300,$A183))=0),"",(COUNTIFS('Clarice'!$B$6:$B$300,$A183,'Clarice'!$F$6:$F$300,"Concluído")+COUNTIFS('Luisa'!$B$6:$B$300,$A183,'Luisa'!$F$6:$F$300,"Concluído")+COUNTIFS('Lui'!$B$6:$B$300,$A183,'Lui'!$F$6:$F$300,"Concluído")+COUNTIFS('Thaís'!$B$6:$B$300,$A183,'Thaís'!$F$6:$F$300,"Concluído")+COUNTIFS('Daniel'!$B$6:$B$300,$A183,'Daniel'!$F$6:$F$300,"Concluído")+COUNTIFS('Fernando'!$B$6:$B$300,$A183,'Fernando'!$F$6:$F$300,"Concluído")+COUNTIFS('Stephanie'!$B$6:$B$300,$A183,'Stephanie'!$F$6:$F$300,"Concluído")+COUNTIFS('Fox'!$B$6:$B$300,$A183,'Fox'!$F$6:$F$300,"Concluído")+COUNTIFS('Bruna'!$B$6:$B$300,$A183,'Bruna'!$F$6:$F$300,"Concluído")+COUNTIFS('Stella'!$B$6:$B$300,$A183,'Stella'!$F$6:$F$300,"Concluído")+COUNTIFS('Igor'!$B$6:$B$300,$A183,'Igor'!$F$6:$F$300,"Concluído"))&amp;" / "&amp;(COUNTIF('Clarice'!$B$6:$B$300,$A183)+COUNTIF('Luisa'!$B$6:$B$300,$A183)+COUNTIF('Lui'!$B$6:$B$300,$A183)+COUNTIF('Thaís'!$B$6:$B$300,$A183)+COUNTIF('Daniel'!$B$6:$B$300,$A183)+COUNTIF('Fernando'!$B$6:$B$300,$A183)+COUNTIF('Stephanie'!$B$6:$B$300,$A183)+COUNTIF('Fox'!$B$6:$B$300,$A183)+COUNTIF('Bruna'!$B$6:$B$300,$A183)+COUNTIF('Stella'!$B$6:$B$300,$A183)+COUNTIF('Igor'!$B$6:$B$300,$A183)))</f>
        <v/>
      </c>
      <c r="K183" s="19" t="n"/>
      <c r="L183" s="19" t="n"/>
      <c r="M183" s="18" t="n">
        <v>46160</v>
      </c>
      <c r="N183" s="18" t="n">
        <v>46241</v>
      </c>
      <c r="O183" s="19" t="n"/>
      <c r="P183" s="20">
        <f>IF($A183="","",IF(M183&lt;&gt;"",M183,IF(K183&lt;&gt;"",K183,"")))</f>
        <v/>
      </c>
      <c r="Q183" s="20">
        <f>IF($A183="","",IF(N183&lt;&gt;"",N183,IF(L183&lt;&gt;"",L183,"")))</f>
        <v/>
      </c>
      <c r="R183" s="15" t="n"/>
      <c r="S183" s="16">
        <f t="array" ref="S183">IF($A183="","",_xlfn.TEXTJOIN(CHAR(10),TRUE,IF('Clarice'!$B$6:$B$300=$A183,"Clarice"&amp;IF('Clarice'!$E$6:$E$300="",""," : "&amp;'Clarice'!$E$6:$E$300)&amp;" ["&amp;'Clarice'!$F$6:$F$300&amp;"]",""),IF('Luisa'!$B$6:$B$300=$A183,"Luisa"&amp;IF('Luisa'!$E$6:$E$300="",""," : "&amp;'Luisa'!$E$6:$E$300)&amp;" ["&amp;'Luisa'!$F$6:$F$300&amp;"]",""),IF('Lui'!$B$6:$B$300=$A183,"Lui"&amp;IF('Lui'!$E$6:$E$300="",""," : "&amp;'Lui'!$E$6:$E$300)&amp;" ["&amp;'Lui'!$F$6:$F$300&amp;"]",""),IF('Thaís'!$B$6:$B$300=$A183,"Thaís"&amp;IF('Thaís'!$E$6:$E$300="",""," : "&amp;'Thaís'!$E$6:$E$300)&amp;" ["&amp;'Thaís'!$F$6:$F$300&amp;"]",""),IF('Daniel'!$B$6:$B$300=$A183,"Daniel"&amp;IF('Daniel'!$E$6:$E$300="",""," : "&amp;'Daniel'!$E$6:$E$300)&amp;" ["&amp;'Daniel'!$F$6:$F$300&amp;"]",""),IF('Fernando'!$B$6:$B$300=$A183,"Fernando"&amp;IF('Fernando'!$E$6:$E$300="",""," : "&amp;'Fernando'!$E$6:$E$300)&amp;" ["&amp;'Fernando'!$F$6:$F$300&amp;"]",""),IF('Stephanie'!$B$6:$B$300=$A183,"Stephanie"&amp;IF('Stephanie'!$E$6:$E$300="",""," : "&amp;'Stephanie'!$E$6:$E$300)&amp;" ["&amp;'Stephanie'!$F$6:$F$300&amp;"]",""),IF('Fox'!$B$6:$B$300=$A183,"Fox"&amp;IF('Fox'!$E$6:$E$300="",""," : "&amp;'Fox'!$E$6:$E$300)&amp;" ["&amp;'Fox'!$F$6:$F$300&amp;"]",""),IF('Bruna'!$B$6:$B$300=$A183,"Bruna"&amp;IF('Bruna'!$E$6:$E$300="",""," : "&amp;'Bruna'!$E$6:$E$300)&amp;" ["&amp;'Bruna'!$F$6:$F$300&amp;"]",""),IF('Stella'!$B$6:$B$300=$A183,"Stella"&amp;IF('Stella'!$E$6:$E$300="",""," : "&amp;'Stella'!$E$6:$E$300)&amp;" ["&amp;'Stella'!$F$6:$F$300&amp;"]",""),IF('Igor'!$B$6:$B$300=$A183,"Igor"&amp;IF('Igor'!$E$6:$E$300="",""," : "&amp;'Igor'!$E$6:$E$300)&amp;" ["&amp;'Igor'!$F$6:$F$300&amp;"]","")))</f>
        <v/>
      </c>
    </row>
    <row r="184" ht="28" customHeight="1">
      <c r="A184" s="13" t="inlineStr">
        <is>
          <t>SBM-016</t>
        </is>
      </c>
      <c r="B184" s="14" t="inlineStr">
        <is>
          <t>Etapa 2: Construção das métricas | Atividade 7: Operacionalização das métricas | Atividade 8: Aplicação das métricas</t>
        </is>
      </c>
      <c r="C184" s="14" t="inlineStr">
        <is>
          <t>Aplicação da SBM</t>
        </is>
      </c>
      <c r="D184" s="14" t="n"/>
      <c r="E184" s="15" t="inlineStr">
        <is>
          <t>Apresentar proposta consolidada internamente</t>
        </is>
      </c>
      <c r="F184" s="13" t="n"/>
      <c r="G184" s="16">
        <f>IF($A184="","",_xlfn.TEXTJOIN("; ",TRUE,IF(COUNTIF('Clarice'!$B$6:$B$300,$A184)&gt;0,"Clarice",""),IF(COUNTIF('Luisa'!$B$6:$B$300,$A184)&gt;0,"Luisa",""),IF(COUNTIF('Lui'!$B$6:$B$300,$A184)&gt;0,"Lui",""),IF(COUNTIF('Thaís'!$B$6:$B$300,$A184)&gt;0,"Thaís",""),IF(COUNTIF('Daniel'!$B$6:$B$300,$A184)&gt;0,"Daniel",""),IF(COUNTIF('Fernando'!$B$6:$B$300,$A184)&gt;0,"Fernando",""),IF(COUNTIF('Stephanie'!$B$6:$B$300,$A184)&gt;0,"Stephanie",""),IF(COUNTIF('Fox'!$B$6:$B$300,$A184)&gt;0,"Fox",""),IF(COUNTIF('Bruna'!$B$6:$B$300,$A184)&gt;0,"Bruna",""),IF(COUNTIF('Stella'!$B$6:$B$300,$A184)&gt;0,"Stella",""),IF(COUNTIF('Igor'!$B$6:$B$300,$A184)&gt;0,"Igor","")))</f>
        <v/>
      </c>
      <c r="H184" s="13" t="n"/>
      <c r="I184" s="13" t="inlineStr">
        <is>
          <t>Não iniciado</t>
        </is>
      </c>
      <c r="J184" s="17">
        <f>IF(OR($A184="",(COUNTIF('Clarice'!$B$6:$B$300,$A184)+COUNTIF('Luisa'!$B$6:$B$300,$A184)+COUNTIF('Lui'!$B$6:$B$300,$A184)+COUNTIF('Thaís'!$B$6:$B$300,$A184)+COUNTIF('Daniel'!$B$6:$B$300,$A184)+COUNTIF('Fernando'!$B$6:$B$300,$A184)+COUNTIF('Stephanie'!$B$6:$B$300,$A184)+COUNTIF('Fox'!$B$6:$B$300,$A184)+COUNTIF('Bruna'!$B$6:$B$300,$A184)+COUNTIF('Stella'!$B$6:$B$300,$A184)+COUNTIF('Igor'!$B$6:$B$300,$A184))=0),"",(COUNTIFS('Clarice'!$B$6:$B$300,$A184,'Clarice'!$F$6:$F$300,"Concluído")+COUNTIFS('Luisa'!$B$6:$B$300,$A184,'Luisa'!$F$6:$F$300,"Concluído")+COUNTIFS('Lui'!$B$6:$B$300,$A184,'Lui'!$F$6:$F$300,"Concluído")+COUNTIFS('Thaís'!$B$6:$B$300,$A184,'Thaís'!$F$6:$F$300,"Concluído")+COUNTIFS('Daniel'!$B$6:$B$300,$A184,'Daniel'!$F$6:$F$300,"Concluído")+COUNTIFS('Fernando'!$B$6:$B$300,$A184,'Fernando'!$F$6:$F$300,"Concluído")+COUNTIFS('Stephanie'!$B$6:$B$300,$A184,'Stephanie'!$F$6:$F$300,"Concluído")+COUNTIFS('Fox'!$B$6:$B$300,$A184,'Fox'!$F$6:$F$300,"Concluído")+COUNTIFS('Bruna'!$B$6:$B$300,$A184,'Bruna'!$F$6:$F$300,"Concluído")+COUNTIFS('Stella'!$B$6:$B$300,$A184,'Stella'!$F$6:$F$300,"Concluído")+COUNTIFS('Igor'!$B$6:$B$300,$A184,'Igor'!$F$6:$F$300,"Concluído"))&amp;" / "&amp;(COUNTIF('Clarice'!$B$6:$B$300,$A184)+COUNTIF('Luisa'!$B$6:$B$300,$A184)+COUNTIF('Lui'!$B$6:$B$300,$A184)+COUNTIF('Thaís'!$B$6:$B$300,$A184)+COUNTIF('Daniel'!$B$6:$B$300,$A184)+COUNTIF('Fernando'!$B$6:$B$300,$A184)+COUNTIF('Stephanie'!$B$6:$B$300,$A184)+COUNTIF('Fox'!$B$6:$B$300,$A184)+COUNTIF('Bruna'!$B$6:$B$300,$A184)+COUNTIF('Stella'!$B$6:$B$300,$A184)+COUNTIF('Igor'!$B$6:$B$300,$A184)))</f>
        <v/>
      </c>
      <c r="K184" s="18" t="n">
        <v>46160</v>
      </c>
      <c r="L184" s="18" t="n">
        <v>46164</v>
      </c>
      <c r="M184" s="18" t="n">
        <v>46160</v>
      </c>
      <c r="N184" s="18" t="n">
        <v>46248</v>
      </c>
      <c r="O184" s="19" t="n"/>
      <c r="P184" s="20">
        <f>IF($A184="","",IF(M184&lt;&gt;"",M184,IF(K184&lt;&gt;"",K184,"")))</f>
        <v/>
      </c>
      <c r="Q184" s="20">
        <f>IF($A184="","",IF(N184&lt;&gt;"",N184,IF(L184&lt;&gt;"",L184,"")))</f>
        <v/>
      </c>
      <c r="R184" s="15" t="n"/>
      <c r="S184" s="16">
        <f t="array" ref="S184">IF($A184="","",_xlfn.TEXTJOIN(CHAR(10),TRUE,IF('Clarice'!$B$6:$B$300=$A184,"Clarice"&amp;IF('Clarice'!$E$6:$E$300="",""," : "&amp;'Clarice'!$E$6:$E$300)&amp;" ["&amp;'Clarice'!$F$6:$F$300&amp;"]",""),IF('Luisa'!$B$6:$B$300=$A184,"Luisa"&amp;IF('Luisa'!$E$6:$E$300="",""," : "&amp;'Luisa'!$E$6:$E$300)&amp;" ["&amp;'Luisa'!$F$6:$F$300&amp;"]",""),IF('Lui'!$B$6:$B$300=$A184,"Lui"&amp;IF('Lui'!$E$6:$E$300="",""," : "&amp;'Lui'!$E$6:$E$300)&amp;" ["&amp;'Lui'!$F$6:$F$300&amp;"]",""),IF('Thaís'!$B$6:$B$300=$A184,"Thaís"&amp;IF('Thaís'!$E$6:$E$300="",""," : "&amp;'Thaís'!$E$6:$E$300)&amp;" ["&amp;'Thaís'!$F$6:$F$300&amp;"]",""),IF('Daniel'!$B$6:$B$300=$A184,"Daniel"&amp;IF('Daniel'!$E$6:$E$300="",""," : "&amp;'Daniel'!$E$6:$E$300)&amp;" ["&amp;'Daniel'!$F$6:$F$300&amp;"]",""),IF('Fernando'!$B$6:$B$300=$A184,"Fernando"&amp;IF('Fernando'!$E$6:$E$300="",""," : "&amp;'Fernando'!$E$6:$E$300)&amp;" ["&amp;'Fernando'!$F$6:$F$300&amp;"]",""),IF('Stephanie'!$B$6:$B$300=$A184,"Stephanie"&amp;IF('Stephanie'!$E$6:$E$300="",""," : "&amp;'Stephanie'!$E$6:$E$300)&amp;" ["&amp;'Stephanie'!$F$6:$F$300&amp;"]",""),IF('Fox'!$B$6:$B$300=$A184,"Fox"&amp;IF('Fox'!$E$6:$E$300="",""," : "&amp;'Fox'!$E$6:$E$300)&amp;" ["&amp;'Fox'!$F$6:$F$300&amp;"]",""),IF('Bruna'!$B$6:$B$300=$A184,"Bruna"&amp;IF('Bruna'!$E$6:$E$300="",""," : "&amp;'Bruna'!$E$6:$E$300)&amp;" ["&amp;'Bruna'!$F$6:$F$300&amp;"]",""),IF('Stella'!$B$6:$B$300=$A184,"Stella"&amp;IF('Stella'!$E$6:$E$300="",""," : "&amp;'Stella'!$E$6:$E$300)&amp;" ["&amp;'Stella'!$F$6:$F$300&amp;"]",""),IF('Igor'!$B$6:$B$300=$A184,"Igor"&amp;IF('Igor'!$E$6:$E$300="",""," : "&amp;'Igor'!$E$6:$E$300)&amp;" ["&amp;'Igor'!$F$6:$F$300&amp;"]","")))</f>
        <v/>
      </c>
    </row>
    <row r="185" ht="28" customHeight="1">
      <c r="A185" s="13" t="inlineStr">
        <is>
          <t>SBM-017</t>
        </is>
      </c>
      <c r="B185" s="14" t="inlineStr">
        <is>
          <t>Etapa 2: Construção das métricas | Atividade 7: Operacionalização das métricas | Atividade 8: Aplicação das métricas</t>
        </is>
      </c>
      <c r="C185" s="14" t="inlineStr">
        <is>
          <t>Aplicação da SBM</t>
        </is>
      </c>
      <c r="D185" s="14" t="n"/>
      <c r="E185" s="15" t="inlineStr">
        <is>
          <t>Apresentar proposta para a Petrobras</t>
        </is>
      </c>
      <c r="F185" s="13" t="n"/>
      <c r="G185" s="16">
        <f>IF($A185="","",_xlfn.TEXTJOIN("; ",TRUE,IF(COUNTIF('Clarice'!$B$6:$B$300,$A185)&gt;0,"Clarice",""),IF(COUNTIF('Luisa'!$B$6:$B$300,$A185)&gt;0,"Luisa",""),IF(COUNTIF('Lui'!$B$6:$B$300,$A185)&gt;0,"Lui",""),IF(COUNTIF('Thaís'!$B$6:$B$300,$A185)&gt;0,"Thaís",""),IF(COUNTIF('Daniel'!$B$6:$B$300,$A185)&gt;0,"Daniel",""),IF(COUNTIF('Fernando'!$B$6:$B$300,$A185)&gt;0,"Fernando",""),IF(COUNTIF('Stephanie'!$B$6:$B$300,$A185)&gt;0,"Stephanie",""),IF(COUNTIF('Fox'!$B$6:$B$300,$A185)&gt;0,"Fox",""),IF(COUNTIF('Bruna'!$B$6:$B$300,$A185)&gt;0,"Bruna",""),IF(COUNTIF('Stella'!$B$6:$B$300,$A185)&gt;0,"Stella",""),IF(COUNTIF('Igor'!$B$6:$B$300,$A185)&gt;0,"Igor","")))</f>
        <v/>
      </c>
      <c r="H185" s="13" t="n"/>
      <c r="I185" s="13" t="inlineStr">
        <is>
          <t>Não iniciado</t>
        </is>
      </c>
      <c r="J185" s="17">
        <f>IF(OR($A185="",(COUNTIF('Clarice'!$B$6:$B$300,$A185)+COUNTIF('Luisa'!$B$6:$B$300,$A185)+COUNTIF('Lui'!$B$6:$B$300,$A185)+COUNTIF('Thaís'!$B$6:$B$300,$A185)+COUNTIF('Daniel'!$B$6:$B$300,$A185)+COUNTIF('Fernando'!$B$6:$B$300,$A185)+COUNTIF('Stephanie'!$B$6:$B$300,$A185)+COUNTIF('Fox'!$B$6:$B$300,$A185)+COUNTIF('Bruna'!$B$6:$B$300,$A185)+COUNTIF('Stella'!$B$6:$B$300,$A185)+COUNTIF('Igor'!$B$6:$B$300,$A185))=0),"",(COUNTIFS('Clarice'!$B$6:$B$300,$A185,'Clarice'!$F$6:$F$300,"Concluído")+COUNTIFS('Luisa'!$B$6:$B$300,$A185,'Luisa'!$F$6:$F$300,"Concluído")+COUNTIFS('Lui'!$B$6:$B$300,$A185,'Lui'!$F$6:$F$300,"Concluído")+COUNTIFS('Thaís'!$B$6:$B$300,$A185,'Thaís'!$F$6:$F$300,"Concluído")+COUNTIFS('Daniel'!$B$6:$B$300,$A185,'Daniel'!$F$6:$F$300,"Concluído")+COUNTIFS('Fernando'!$B$6:$B$300,$A185,'Fernando'!$F$6:$F$300,"Concluído")+COUNTIFS('Stephanie'!$B$6:$B$300,$A185,'Stephanie'!$F$6:$F$300,"Concluído")+COUNTIFS('Fox'!$B$6:$B$300,$A185,'Fox'!$F$6:$F$300,"Concluído")+COUNTIFS('Bruna'!$B$6:$B$300,$A185,'Bruna'!$F$6:$F$300,"Concluído")+COUNTIFS('Stella'!$B$6:$B$300,$A185,'Stella'!$F$6:$F$300,"Concluído")+COUNTIFS('Igor'!$B$6:$B$300,$A185,'Igor'!$F$6:$F$300,"Concluído"))&amp;" / "&amp;(COUNTIF('Clarice'!$B$6:$B$300,$A185)+COUNTIF('Luisa'!$B$6:$B$300,$A185)+COUNTIF('Lui'!$B$6:$B$300,$A185)+COUNTIF('Thaís'!$B$6:$B$300,$A185)+COUNTIF('Daniel'!$B$6:$B$300,$A185)+COUNTIF('Fernando'!$B$6:$B$300,$A185)+COUNTIF('Stephanie'!$B$6:$B$300,$A185)+COUNTIF('Fox'!$B$6:$B$300,$A185)+COUNTIF('Bruna'!$B$6:$B$300,$A185)+COUNTIF('Stella'!$B$6:$B$300,$A185)+COUNTIF('Igor'!$B$6:$B$300,$A185)))</f>
        <v/>
      </c>
      <c r="K185" s="18" t="n">
        <v>46174</v>
      </c>
      <c r="L185" s="18" t="n">
        <v>46178</v>
      </c>
      <c r="M185" s="18" t="n">
        <v>46174</v>
      </c>
      <c r="N185" s="18" t="n">
        <v>46248</v>
      </c>
      <c r="O185" s="19" t="n"/>
      <c r="P185" s="20">
        <f>IF($A185="","",IF(M185&lt;&gt;"",M185,IF(K185&lt;&gt;"",K185,"")))</f>
        <v/>
      </c>
      <c r="Q185" s="20">
        <f>IF($A185="","",IF(N185&lt;&gt;"",N185,IF(L185&lt;&gt;"",L185,"")))</f>
        <v/>
      </c>
      <c r="R185" s="15" t="n"/>
      <c r="S185" s="16">
        <f t="array" ref="S185">IF($A185="","",_xlfn.TEXTJOIN(CHAR(10),TRUE,IF('Clarice'!$B$6:$B$300=$A185,"Clarice"&amp;IF('Clarice'!$E$6:$E$300="",""," : "&amp;'Clarice'!$E$6:$E$300)&amp;" ["&amp;'Clarice'!$F$6:$F$300&amp;"]",""),IF('Luisa'!$B$6:$B$300=$A185,"Luisa"&amp;IF('Luisa'!$E$6:$E$300="",""," : "&amp;'Luisa'!$E$6:$E$300)&amp;" ["&amp;'Luisa'!$F$6:$F$300&amp;"]",""),IF('Lui'!$B$6:$B$300=$A185,"Lui"&amp;IF('Lui'!$E$6:$E$300="",""," : "&amp;'Lui'!$E$6:$E$300)&amp;" ["&amp;'Lui'!$F$6:$F$300&amp;"]",""),IF('Thaís'!$B$6:$B$300=$A185,"Thaís"&amp;IF('Thaís'!$E$6:$E$300="",""," : "&amp;'Thaís'!$E$6:$E$300)&amp;" ["&amp;'Thaís'!$F$6:$F$300&amp;"]",""),IF('Daniel'!$B$6:$B$300=$A185,"Daniel"&amp;IF('Daniel'!$E$6:$E$300="",""," : "&amp;'Daniel'!$E$6:$E$300)&amp;" ["&amp;'Daniel'!$F$6:$F$300&amp;"]",""),IF('Fernando'!$B$6:$B$300=$A185,"Fernando"&amp;IF('Fernando'!$E$6:$E$300="",""," : "&amp;'Fernando'!$E$6:$E$300)&amp;" ["&amp;'Fernando'!$F$6:$F$300&amp;"]",""),IF('Stephanie'!$B$6:$B$300=$A185,"Stephanie"&amp;IF('Stephanie'!$E$6:$E$300="",""," : "&amp;'Stephanie'!$E$6:$E$300)&amp;" ["&amp;'Stephanie'!$F$6:$F$300&amp;"]",""),IF('Fox'!$B$6:$B$300=$A185,"Fox"&amp;IF('Fox'!$E$6:$E$300="",""," : "&amp;'Fox'!$E$6:$E$300)&amp;" ["&amp;'Fox'!$F$6:$F$300&amp;"]",""),IF('Bruna'!$B$6:$B$300=$A185,"Bruna"&amp;IF('Bruna'!$E$6:$E$300="",""," : "&amp;'Bruna'!$E$6:$E$300)&amp;" ["&amp;'Bruna'!$F$6:$F$300&amp;"]",""),IF('Stella'!$B$6:$B$300=$A185,"Stella"&amp;IF('Stella'!$E$6:$E$300="",""," : "&amp;'Stella'!$E$6:$E$300)&amp;" ["&amp;'Stella'!$F$6:$F$300&amp;"]",""),IF('Igor'!$B$6:$B$300=$A185,"Igor"&amp;IF('Igor'!$E$6:$E$300="",""," : "&amp;'Igor'!$E$6:$E$300)&amp;" ["&amp;'Igor'!$F$6:$F$300&amp;"]","")))</f>
        <v/>
      </c>
    </row>
    <row r="186" ht="28" customHeight="1">
      <c r="A186" s="13" t="inlineStr">
        <is>
          <t>SBM-018</t>
        </is>
      </c>
      <c r="B186" s="14" t="inlineStr">
        <is>
          <t>Etapa 2: Construção das métricas | Atividade 7: Operacionalização das métricas | Atividade 8: Aplicação das métricas</t>
        </is>
      </c>
      <c r="C186" s="14" t="inlineStr">
        <is>
          <t>Aplicação da SBM</t>
        </is>
      </c>
      <c r="D186" s="14" t="n"/>
      <c r="E186" s="15" t="inlineStr">
        <is>
          <t>Realizar ajustes necessários</t>
        </is>
      </c>
      <c r="F186" s="13" t="n"/>
      <c r="G186" s="16">
        <f>IF($A186="","",_xlfn.TEXTJOIN("; ",TRUE,IF(COUNTIF('Clarice'!$B$6:$B$300,$A186)&gt;0,"Clarice",""),IF(COUNTIF('Luisa'!$B$6:$B$300,$A186)&gt;0,"Luisa",""),IF(COUNTIF('Lui'!$B$6:$B$300,$A186)&gt;0,"Lui",""),IF(COUNTIF('Thaís'!$B$6:$B$300,$A186)&gt;0,"Thaís",""),IF(COUNTIF('Daniel'!$B$6:$B$300,$A186)&gt;0,"Daniel",""),IF(COUNTIF('Fernando'!$B$6:$B$300,$A186)&gt;0,"Fernando",""),IF(COUNTIF('Stephanie'!$B$6:$B$300,$A186)&gt;0,"Stephanie",""),IF(COUNTIF('Fox'!$B$6:$B$300,$A186)&gt;0,"Fox",""),IF(COUNTIF('Bruna'!$B$6:$B$300,$A186)&gt;0,"Bruna",""),IF(COUNTIF('Stella'!$B$6:$B$300,$A186)&gt;0,"Stella",""),IF(COUNTIF('Igor'!$B$6:$B$300,$A186)&gt;0,"Igor","")))</f>
        <v/>
      </c>
      <c r="H186" s="13" t="n"/>
      <c r="I186" s="13" t="inlineStr">
        <is>
          <t>Não iniciado</t>
        </is>
      </c>
      <c r="J186" s="17">
        <f>IF(OR($A186="",(COUNTIF('Clarice'!$B$6:$B$300,$A186)+COUNTIF('Luisa'!$B$6:$B$300,$A186)+COUNTIF('Lui'!$B$6:$B$300,$A186)+COUNTIF('Thaís'!$B$6:$B$300,$A186)+COUNTIF('Daniel'!$B$6:$B$300,$A186)+COUNTIF('Fernando'!$B$6:$B$300,$A186)+COUNTIF('Stephanie'!$B$6:$B$300,$A186)+COUNTIF('Fox'!$B$6:$B$300,$A186)+COUNTIF('Bruna'!$B$6:$B$300,$A186)+COUNTIF('Stella'!$B$6:$B$300,$A186)+COUNTIF('Igor'!$B$6:$B$300,$A186))=0),"",(COUNTIFS('Clarice'!$B$6:$B$300,$A186,'Clarice'!$F$6:$F$300,"Concluído")+COUNTIFS('Luisa'!$B$6:$B$300,$A186,'Luisa'!$F$6:$F$300,"Concluído")+COUNTIFS('Lui'!$B$6:$B$300,$A186,'Lui'!$F$6:$F$300,"Concluído")+COUNTIFS('Thaís'!$B$6:$B$300,$A186,'Thaís'!$F$6:$F$300,"Concluído")+COUNTIFS('Daniel'!$B$6:$B$300,$A186,'Daniel'!$F$6:$F$300,"Concluído")+COUNTIFS('Fernando'!$B$6:$B$300,$A186,'Fernando'!$F$6:$F$300,"Concluído")+COUNTIFS('Stephanie'!$B$6:$B$300,$A186,'Stephanie'!$F$6:$F$300,"Concluído")+COUNTIFS('Fox'!$B$6:$B$300,$A186,'Fox'!$F$6:$F$300,"Concluído")+COUNTIFS('Bruna'!$B$6:$B$300,$A186,'Bruna'!$F$6:$F$300,"Concluído")+COUNTIFS('Stella'!$B$6:$B$300,$A186,'Stella'!$F$6:$F$300,"Concluído")+COUNTIFS('Igor'!$B$6:$B$300,$A186,'Igor'!$F$6:$F$300,"Concluído"))&amp;" / "&amp;(COUNTIF('Clarice'!$B$6:$B$300,$A186)+COUNTIF('Luisa'!$B$6:$B$300,$A186)+COUNTIF('Lui'!$B$6:$B$300,$A186)+COUNTIF('Thaís'!$B$6:$B$300,$A186)+COUNTIF('Daniel'!$B$6:$B$300,$A186)+COUNTIF('Fernando'!$B$6:$B$300,$A186)+COUNTIF('Stephanie'!$B$6:$B$300,$A186)+COUNTIF('Fox'!$B$6:$B$300,$A186)+COUNTIF('Bruna'!$B$6:$B$300,$A186)+COUNTIF('Stella'!$B$6:$B$300,$A186)+COUNTIF('Igor'!$B$6:$B$300,$A186)))</f>
        <v/>
      </c>
      <c r="K186" s="18" t="n">
        <v>46174</v>
      </c>
      <c r="L186" s="18" t="n">
        <v>46178</v>
      </c>
      <c r="M186" s="18" t="n">
        <v>46174</v>
      </c>
      <c r="N186" s="18" t="n">
        <v>46255</v>
      </c>
      <c r="O186" s="19" t="n"/>
      <c r="P186" s="20">
        <f>IF($A186="","",IF(M186&lt;&gt;"",M186,IF(K186&lt;&gt;"",K186,"")))</f>
        <v/>
      </c>
      <c r="Q186" s="20">
        <f>IF($A186="","",IF(N186&lt;&gt;"",N186,IF(L186&lt;&gt;"",L186,"")))</f>
        <v/>
      </c>
      <c r="R186" s="15" t="n"/>
      <c r="S186" s="16">
        <f t="array" ref="S186">IF($A186="","",_xlfn.TEXTJOIN(CHAR(10),TRUE,IF('Clarice'!$B$6:$B$300=$A186,"Clarice"&amp;IF('Clarice'!$E$6:$E$300="",""," : "&amp;'Clarice'!$E$6:$E$300)&amp;" ["&amp;'Clarice'!$F$6:$F$300&amp;"]",""),IF('Luisa'!$B$6:$B$300=$A186,"Luisa"&amp;IF('Luisa'!$E$6:$E$300="",""," : "&amp;'Luisa'!$E$6:$E$300)&amp;" ["&amp;'Luisa'!$F$6:$F$300&amp;"]",""),IF('Lui'!$B$6:$B$300=$A186,"Lui"&amp;IF('Lui'!$E$6:$E$300="",""," : "&amp;'Lui'!$E$6:$E$300)&amp;" ["&amp;'Lui'!$F$6:$F$300&amp;"]",""),IF('Thaís'!$B$6:$B$300=$A186,"Thaís"&amp;IF('Thaís'!$E$6:$E$300="",""," : "&amp;'Thaís'!$E$6:$E$300)&amp;" ["&amp;'Thaís'!$F$6:$F$300&amp;"]",""),IF('Daniel'!$B$6:$B$300=$A186,"Daniel"&amp;IF('Daniel'!$E$6:$E$300="",""," : "&amp;'Daniel'!$E$6:$E$300)&amp;" ["&amp;'Daniel'!$F$6:$F$300&amp;"]",""),IF('Fernando'!$B$6:$B$300=$A186,"Fernando"&amp;IF('Fernando'!$E$6:$E$300="",""," : "&amp;'Fernando'!$E$6:$E$300)&amp;" ["&amp;'Fernando'!$F$6:$F$300&amp;"]",""),IF('Stephanie'!$B$6:$B$300=$A186,"Stephanie"&amp;IF('Stephanie'!$E$6:$E$300="",""," : "&amp;'Stephanie'!$E$6:$E$300)&amp;" ["&amp;'Stephanie'!$F$6:$F$300&amp;"]",""),IF('Fox'!$B$6:$B$300=$A186,"Fox"&amp;IF('Fox'!$E$6:$E$300="",""," : "&amp;'Fox'!$E$6:$E$300)&amp;" ["&amp;'Fox'!$F$6:$F$300&amp;"]",""),IF('Bruna'!$B$6:$B$300=$A186,"Bruna"&amp;IF('Bruna'!$E$6:$E$300="",""," : "&amp;'Bruna'!$E$6:$E$300)&amp;" ["&amp;'Bruna'!$F$6:$F$300&amp;"]",""),IF('Stella'!$B$6:$B$300=$A186,"Stella"&amp;IF('Stella'!$E$6:$E$300="",""," : "&amp;'Stella'!$E$6:$E$300)&amp;" ["&amp;'Stella'!$F$6:$F$300&amp;"]",""),IF('Igor'!$B$6:$B$300=$A186,"Igor"&amp;IF('Igor'!$E$6:$E$300="",""," : "&amp;'Igor'!$E$6:$E$300)&amp;" ["&amp;'Igor'!$F$6:$F$300&amp;"]","")))</f>
        <v/>
      </c>
    </row>
    <row r="187" ht="28" customHeight="1">
      <c r="A187" s="13" t="inlineStr">
        <is>
          <t>SBM-019</t>
        </is>
      </c>
      <c r="B187" s="14" t="inlineStr">
        <is>
          <t>Etapa 2: Construção das métricas | Atividade 7: Operacionalização das métricas | Atividade 8: Aplicação das métricas</t>
        </is>
      </c>
      <c r="C187" s="14" t="inlineStr">
        <is>
          <t>Aplicação da SBM</t>
        </is>
      </c>
      <c r="D187" s="14" t="n"/>
      <c r="E187" s="15" t="inlineStr">
        <is>
          <t>Fazer script no R para aplicação</t>
        </is>
      </c>
      <c r="F187" s="13" t="n"/>
      <c r="G187" s="16">
        <f>IF($A187="","",_xlfn.TEXTJOIN("; ",TRUE,IF(COUNTIF('Clarice'!$B$6:$B$300,$A187)&gt;0,"Clarice",""),IF(COUNTIF('Luisa'!$B$6:$B$300,$A187)&gt;0,"Luisa",""),IF(COUNTIF('Lui'!$B$6:$B$300,$A187)&gt;0,"Lui",""),IF(COUNTIF('Thaís'!$B$6:$B$300,$A187)&gt;0,"Thaís",""),IF(COUNTIF('Daniel'!$B$6:$B$300,$A187)&gt;0,"Daniel",""),IF(COUNTIF('Fernando'!$B$6:$B$300,$A187)&gt;0,"Fernando",""),IF(COUNTIF('Stephanie'!$B$6:$B$300,$A187)&gt;0,"Stephanie",""),IF(COUNTIF('Fox'!$B$6:$B$300,$A187)&gt;0,"Fox",""),IF(COUNTIF('Bruna'!$B$6:$B$300,$A187)&gt;0,"Bruna",""),IF(COUNTIF('Stella'!$B$6:$B$300,$A187)&gt;0,"Stella",""),IF(COUNTIF('Igor'!$B$6:$B$300,$A187)&gt;0,"Igor","")))</f>
        <v/>
      </c>
      <c r="H187" s="13" t="n"/>
      <c r="I187" s="13" t="inlineStr">
        <is>
          <t>Não iniciado</t>
        </is>
      </c>
      <c r="J187" s="17">
        <f>IF(OR($A187="",(COUNTIF('Clarice'!$B$6:$B$300,$A187)+COUNTIF('Luisa'!$B$6:$B$300,$A187)+COUNTIF('Lui'!$B$6:$B$300,$A187)+COUNTIF('Thaís'!$B$6:$B$300,$A187)+COUNTIF('Daniel'!$B$6:$B$300,$A187)+COUNTIF('Fernando'!$B$6:$B$300,$A187)+COUNTIF('Stephanie'!$B$6:$B$300,$A187)+COUNTIF('Fox'!$B$6:$B$300,$A187)+COUNTIF('Bruna'!$B$6:$B$300,$A187)+COUNTIF('Stella'!$B$6:$B$300,$A187)+COUNTIF('Igor'!$B$6:$B$300,$A187))=0),"",(COUNTIFS('Clarice'!$B$6:$B$300,$A187,'Clarice'!$F$6:$F$300,"Concluído")+COUNTIFS('Luisa'!$B$6:$B$300,$A187,'Luisa'!$F$6:$F$300,"Concluído")+COUNTIFS('Lui'!$B$6:$B$300,$A187,'Lui'!$F$6:$F$300,"Concluído")+COUNTIFS('Thaís'!$B$6:$B$300,$A187,'Thaís'!$F$6:$F$300,"Concluído")+COUNTIFS('Daniel'!$B$6:$B$300,$A187,'Daniel'!$F$6:$F$300,"Concluído")+COUNTIFS('Fernando'!$B$6:$B$300,$A187,'Fernando'!$F$6:$F$300,"Concluído")+COUNTIFS('Stephanie'!$B$6:$B$300,$A187,'Stephanie'!$F$6:$F$300,"Concluído")+COUNTIFS('Fox'!$B$6:$B$300,$A187,'Fox'!$F$6:$F$300,"Concluído")+COUNTIFS('Bruna'!$B$6:$B$300,$A187,'Bruna'!$F$6:$F$300,"Concluído")+COUNTIFS('Stella'!$B$6:$B$300,$A187,'Stella'!$F$6:$F$300,"Concluído")+COUNTIFS('Igor'!$B$6:$B$300,$A187,'Igor'!$F$6:$F$300,"Concluído"))&amp;" / "&amp;(COUNTIF('Clarice'!$B$6:$B$300,$A187)+COUNTIF('Luisa'!$B$6:$B$300,$A187)+COUNTIF('Lui'!$B$6:$B$300,$A187)+COUNTIF('Thaís'!$B$6:$B$300,$A187)+COUNTIF('Daniel'!$B$6:$B$300,$A187)+COUNTIF('Fernando'!$B$6:$B$300,$A187)+COUNTIF('Stephanie'!$B$6:$B$300,$A187)+COUNTIF('Fox'!$B$6:$B$300,$A187)+COUNTIF('Bruna'!$B$6:$B$300,$A187)+COUNTIF('Stella'!$B$6:$B$300,$A187)+COUNTIF('Igor'!$B$6:$B$300,$A187)))</f>
        <v/>
      </c>
      <c r="K187" s="18" t="n">
        <v>46174</v>
      </c>
      <c r="L187" s="18" t="n">
        <v>46178</v>
      </c>
      <c r="M187" s="18" t="n">
        <v>46174</v>
      </c>
      <c r="N187" s="18" t="n">
        <v>46255</v>
      </c>
      <c r="O187" s="19" t="n"/>
      <c r="P187" s="20">
        <f>IF($A187="","",IF(M187&lt;&gt;"",M187,IF(K187&lt;&gt;"",K187,"")))</f>
        <v/>
      </c>
      <c r="Q187" s="20">
        <f>IF($A187="","",IF(N187&lt;&gt;"",N187,IF(L187&lt;&gt;"",L187,"")))</f>
        <v/>
      </c>
      <c r="R187" s="15" t="n"/>
      <c r="S187" s="16">
        <f t="array" ref="S187">IF($A187="","",_xlfn.TEXTJOIN(CHAR(10),TRUE,IF('Clarice'!$B$6:$B$300=$A187,"Clarice"&amp;IF('Clarice'!$E$6:$E$300="",""," : "&amp;'Clarice'!$E$6:$E$300)&amp;" ["&amp;'Clarice'!$F$6:$F$300&amp;"]",""),IF('Luisa'!$B$6:$B$300=$A187,"Luisa"&amp;IF('Luisa'!$E$6:$E$300="",""," : "&amp;'Luisa'!$E$6:$E$300)&amp;" ["&amp;'Luisa'!$F$6:$F$300&amp;"]",""),IF('Lui'!$B$6:$B$300=$A187,"Lui"&amp;IF('Lui'!$E$6:$E$300="",""," : "&amp;'Lui'!$E$6:$E$300)&amp;" ["&amp;'Lui'!$F$6:$F$300&amp;"]",""),IF('Thaís'!$B$6:$B$300=$A187,"Thaís"&amp;IF('Thaís'!$E$6:$E$300="",""," : "&amp;'Thaís'!$E$6:$E$300)&amp;" ["&amp;'Thaís'!$F$6:$F$300&amp;"]",""),IF('Daniel'!$B$6:$B$300=$A187,"Daniel"&amp;IF('Daniel'!$E$6:$E$300="",""," : "&amp;'Daniel'!$E$6:$E$300)&amp;" ["&amp;'Daniel'!$F$6:$F$300&amp;"]",""),IF('Fernando'!$B$6:$B$300=$A187,"Fernando"&amp;IF('Fernando'!$E$6:$E$300="",""," : "&amp;'Fernando'!$E$6:$E$300)&amp;" ["&amp;'Fernando'!$F$6:$F$300&amp;"]",""),IF('Stephanie'!$B$6:$B$300=$A187,"Stephanie"&amp;IF('Stephanie'!$E$6:$E$300="",""," : "&amp;'Stephanie'!$E$6:$E$300)&amp;" ["&amp;'Stephanie'!$F$6:$F$300&amp;"]",""),IF('Fox'!$B$6:$B$300=$A187,"Fox"&amp;IF('Fox'!$E$6:$E$300="",""," : "&amp;'Fox'!$E$6:$E$300)&amp;" ["&amp;'Fox'!$F$6:$F$300&amp;"]",""),IF('Bruna'!$B$6:$B$300=$A187,"Bruna"&amp;IF('Bruna'!$E$6:$E$300="",""," : "&amp;'Bruna'!$E$6:$E$300)&amp;" ["&amp;'Bruna'!$F$6:$F$300&amp;"]",""),IF('Stella'!$B$6:$B$300=$A187,"Stella"&amp;IF('Stella'!$E$6:$E$300="",""," : "&amp;'Stella'!$E$6:$E$300)&amp;" ["&amp;'Stella'!$F$6:$F$300&amp;"]",""),IF('Igor'!$B$6:$B$300=$A187,"Igor"&amp;IF('Igor'!$E$6:$E$300="",""," : "&amp;'Igor'!$E$6:$E$300)&amp;" ["&amp;'Igor'!$F$6:$F$300&amp;"]","")))</f>
        <v/>
      </c>
    </row>
    <row r="188">
      <c r="A188" s="21" t="n"/>
      <c r="B188" s="21" t="inlineStr">
        <is>
          <t>Etapa 2: Construção das métricas | Atividade 7: Operacionalização das métricas | Atividade 8: Aplicação das métricas</t>
        </is>
      </c>
      <c r="C188" s="21" t="inlineStr">
        <is>
          <t>Aplicação da SBM</t>
        </is>
      </c>
      <c r="D188" s="21" t="inlineStr">
        <is>
          <t>UTGCA</t>
        </is>
      </c>
      <c r="E188" s="21" t="inlineStr">
        <is>
          <t>UTGCA</t>
        </is>
      </c>
      <c r="F188" s="21" t="inlineStr">
        <is>
          <t>Luisa</t>
        </is>
      </c>
      <c r="G188" s="21">
        <f>IF($A188="","",_xlfn.TEXTJOIN("; ",TRUE,IF(COUNTIF('Clarice'!$B$6:$B$300,$A188)&gt;0,"Clarice",""),IF(COUNTIF('Luisa'!$B$6:$B$300,$A188)&gt;0,"Luisa",""),IF(COUNTIF('Lui'!$B$6:$B$300,$A188)&gt;0,"Lui",""),IF(COUNTIF('Thaís'!$B$6:$B$300,$A188)&gt;0,"Thaís",""),IF(COUNTIF('Daniel'!$B$6:$B$300,$A188)&gt;0,"Daniel",""),IF(COUNTIF('Fernando'!$B$6:$B$300,$A188)&gt;0,"Fernando",""),IF(COUNTIF('Stephanie'!$B$6:$B$300,$A188)&gt;0,"Stephanie",""),IF(COUNTIF('Fox'!$B$6:$B$300,$A188)&gt;0,"Fox",""),IF(COUNTIF('Bruna'!$B$6:$B$300,$A188)&gt;0,"Bruna",""),IF(COUNTIF('Stella'!$B$6:$B$300,$A188)&gt;0,"Stella",""),IF(COUNTIF('Igor'!$B$6:$B$300,$A188)&gt;0,"Igor","")))</f>
        <v/>
      </c>
      <c r="H188" s="21" t="n"/>
      <c r="I188" s="21" t="n"/>
      <c r="J188" s="21">
        <f>IF(OR($A188="",(COUNTIF('Clarice'!$B$6:$B$300,$A188)+COUNTIF('Luisa'!$B$6:$B$300,$A188)+COUNTIF('Lui'!$B$6:$B$300,$A188)+COUNTIF('Thaís'!$B$6:$B$300,$A188)+COUNTIF('Daniel'!$B$6:$B$300,$A188)+COUNTIF('Fernando'!$B$6:$B$300,$A188)+COUNTIF('Stephanie'!$B$6:$B$300,$A188)+COUNTIF('Fox'!$B$6:$B$300,$A188)+COUNTIF('Bruna'!$B$6:$B$300,$A188)+COUNTIF('Stella'!$B$6:$B$300,$A188)+COUNTIF('Igor'!$B$6:$B$300,$A188))=0),"",(COUNTIFS('Clarice'!$B$6:$B$300,$A188,'Clarice'!$F$6:$F$300,"Concluído")+COUNTIFS('Luisa'!$B$6:$B$300,$A188,'Luisa'!$F$6:$F$300,"Concluído")+COUNTIFS('Lui'!$B$6:$B$300,$A188,'Lui'!$F$6:$F$300,"Concluído")+COUNTIFS('Thaís'!$B$6:$B$300,$A188,'Thaís'!$F$6:$F$300,"Concluído")+COUNTIFS('Daniel'!$B$6:$B$300,$A188,'Daniel'!$F$6:$F$300,"Concluído")+COUNTIFS('Fernando'!$B$6:$B$300,$A188,'Fernando'!$F$6:$F$300,"Concluído")+COUNTIFS('Stephanie'!$B$6:$B$300,$A188,'Stephanie'!$F$6:$F$300,"Concluído")+COUNTIFS('Fox'!$B$6:$B$300,$A188,'Fox'!$F$6:$F$300,"Concluído")+COUNTIFS('Bruna'!$B$6:$B$300,$A188,'Bruna'!$F$6:$F$300,"Concluído")+COUNTIFS('Stella'!$B$6:$B$300,$A188,'Stella'!$F$6:$F$300,"Concluído")+COUNTIFS('Igor'!$B$6:$B$300,$A188,'Igor'!$F$6:$F$300,"Concluído"))&amp;" / "&amp;(COUNTIF('Clarice'!$B$6:$B$300,$A188)+COUNTIF('Luisa'!$B$6:$B$300,$A188)+COUNTIF('Lui'!$B$6:$B$300,$A188)+COUNTIF('Thaís'!$B$6:$B$300,$A188)+COUNTIF('Daniel'!$B$6:$B$300,$A188)+COUNTIF('Fernando'!$B$6:$B$300,$A188)+COUNTIF('Stephanie'!$B$6:$B$300,$A188)+COUNTIF('Fox'!$B$6:$B$300,$A188)+COUNTIF('Bruna'!$B$6:$B$300,$A188)+COUNTIF('Stella'!$B$6:$B$300,$A188)+COUNTIF('Igor'!$B$6:$B$300,$A188)))</f>
        <v/>
      </c>
      <c r="K188" s="21" t="n"/>
      <c r="L188" s="21" t="n"/>
      <c r="M188" s="21" t="n"/>
      <c r="N188" s="21" t="n"/>
      <c r="O188" s="21" t="n"/>
      <c r="P188" s="22">
        <f>IF($A188="","",IF(M188&lt;&gt;"",M188,IF(K188&lt;&gt;"",K188,"")))</f>
        <v/>
      </c>
      <c r="Q188" s="22">
        <f>IF($A188="","",IF(N188&lt;&gt;"",N188,IF(L188&lt;&gt;"",L188,"")))</f>
        <v/>
      </c>
      <c r="R188" s="21" t="n"/>
      <c r="S188" s="21">
        <f t="array" ref="S188">IF($A188="","",_xlfn.TEXTJOIN(CHAR(10),TRUE,IF('Clarice'!$B$6:$B$300=$A188,"Clarice"&amp;IF('Clarice'!$E$6:$E$300="",""," : "&amp;'Clarice'!$E$6:$E$300)&amp;" ["&amp;'Clarice'!$F$6:$F$300&amp;"]",""),IF('Luisa'!$B$6:$B$300=$A188,"Luisa"&amp;IF('Luisa'!$E$6:$E$300="",""," : "&amp;'Luisa'!$E$6:$E$300)&amp;" ["&amp;'Luisa'!$F$6:$F$300&amp;"]",""),IF('Lui'!$B$6:$B$300=$A188,"Lui"&amp;IF('Lui'!$E$6:$E$300="",""," : "&amp;'Lui'!$E$6:$E$300)&amp;" ["&amp;'Lui'!$F$6:$F$300&amp;"]",""),IF('Thaís'!$B$6:$B$300=$A188,"Thaís"&amp;IF('Thaís'!$E$6:$E$300="",""," : "&amp;'Thaís'!$E$6:$E$300)&amp;" ["&amp;'Thaís'!$F$6:$F$300&amp;"]",""),IF('Daniel'!$B$6:$B$300=$A188,"Daniel"&amp;IF('Daniel'!$E$6:$E$300="",""," : "&amp;'Daniel'!$E$6:$E$300)&amp;" ["&amp;'Daniel'!$F$6:$F$300&amp;"]",""),IF('Fernando'!$B$6:$B$300=$A188,"Fernando"&amp;IF('Fernando'!$E$6:$E$300="",""," : "&amp;'Fernando'!$E$6:$E$300)&amp;" ["&amp;'Fernando'!$F$6:$F$300&amp;"]",""),IF('Stephanie'!$B$6:$B$300=$A188,"Stephanie"&amp;IF('Stephanie'!$E$6:$E$300="",""," : "&amp;'Stephanie'!$E$6:$E$300)&amp;" ["&amp;'Stephanie'!$F$6:$F$300&amp;"]",""),IF('Fox'!$B$6:$B$300=$A188,"Fox"&amp;IF('Fox'!$E$6:$E$300="",""," : "&amp;'Fox'!$E$6:$E$300)&amp;" ["&amp;'Fox'!$F$6:$F$300&amp;"]",""),IF('Bruna'!$B$6:$B$300=$A188,"Bruna"&amp;IF('Bruna'!$E$6:$E$300="",""," : "&amp;'Bruna'!$E$6:$E$300)&amp;" ["&amp;'Bruna'!$F$6:$F$300&amp;"]",""),IF('Stella'!$B$6:$B$300=$A188,"Stella"&amp;IF('Stella'!$E$6:$E$300="",""," : "&amp;'Stella'!$E$6:$E$300)&amp;" ["&amp;'Stella'!$F$6:$F$300&amp;"]",""),IF('Igor'!$B$6:$B$300=$A188,"Igor"&amp;IF('Igor'!$E$6:$E$300="",""," : "&amp;'Igor'!$E$6:$E$300)&amp;" ["&amp;'Igor'!$F$6:$F$300&amp;"]","")))</f>
        <v/>
      </c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1" t="n"/>
      <c r="AP188" s="21" t="n"/>
      <c r="AQ188" s="21" t="n"/>
      <c r="AR188" s="21" t="n"/>
      <c r="AS188" s="21" t="n"/>
      <c r="AT188" s="21" t="n"/>
      <c r="AU188" s="21" t="n"/>
      <c r="AV188" s="21" t="n"/>
      <c r="AW188" s="21" t="n"/>
      <c r="AX188" s="21" t="n"/>
      <c r="AY188" s="21" t="n"/>
      <c r="AZ188" s="21" t="n"/>
      <c r="BA188" s="21" t="n"/>
      <c r="BB188" s="21" t="n"/>
      <c r="BC188" s="21" t="n"/>
      <c r="BD188" s="21" t="n"/>
      <c r="BE188" s="21" t="n"/>
      <c r="BF188" s="21" t="n"/>
      <c r="BG188" s="21" t="n"/>
      <c r="BH188" s="21" t="n"/>
      <c r="BI188" s="21" t="n"/>
    </row>
    <row r="189" ht="28" customHeight="1">
      <c r="A189" s="13" t="inlineStr">
        <is>
          <t>SBM-020</t>
        </is>
      </c>
      <c r="B189" s="14" t="inlineStr">
        <is>
          <t>Etapa 2: Construção das métricas | Atividade 7: Operacionalização das métricas | Atividade 8: Aplicação das métricas</t>
        </is>
      </c>
      <c r="C189" s="14" t="inlineStr">
        <is>
          <t>Aplicação da SBM</t>
        </is>
      </c>
      <c r="D189" s="14" t="inlineStr">
        <is>
          <t>UTGCA</t>
        </is>
      </c>
      <c r="E189" s="15" t="inlineStr">
        <is>
          <t>Delimitar os dados úteis para a aplicação (UTGCA)</t>
        </is>
      </c>
      <c r="F189" s="13" t="inlineStr">
        <is>
          <t>Luisa</t>
        </is>
      </c>
      <c r="G189" s="16">
        <f>IF($A189="","",_xlfn.TEXTJOIN("; ",TRUE,IF(COUNTIF('Clarice'!$B$6:$B$300,$A189)&gt;0,"Clarice",""),IF(COUNTIF('Luisa'!$B$6:$B$300,$A189)&gt;0,"Luisa",""),IF(COUNTIF('Lui'!$B$6:$B$300,$A189)&gt;0,"Lui",""),IF(COUNTIF('Thaís'!$B$6:$B$300,$A189)&gt;0,"Thaís",""),IF(COUNTIF('Daniel'!$B$6:$B$300,$A189)&gt;0,"Daniel",""),IF(COUNTIF('Fernando'!$B$6:$B$300,$A189)&gt;0,"Fernando",""),IF(COUNTIF('Stephanie'!$B$6:$B$300,$A189)&gt;0,"Stephanie",""),IF(COUNTIF('Fox'!$B$6:$B$300,$A189)&gt;0,"Fox",""),IF(COUNTIF('Bruna'!$B$6:$B$300,$A189)&gt;0,"Bruna",""),IF(COUNTIF('Stella'!$B$6:$B$300,$A189)&gt;0,"Stella",""),IF(COUNTIF('Igor'!$B$6:$B$300,$A189)&gt;0,"Igor","")))</f>
        <v/>
      </c>
      <c r="H189" s="13" t="n"/>
      <c r="I189" s="13" t="inlineStr">
        <is>
          <t>Em andamento</t>
        </is>
      </c>
      <c r="J189" s="17">
        <f>IF(OR($A189="",(COUNTIF('Clarice'!$B$6:$B$300,$A189)+COUNTIF('Luisa'!$B$6:$B$300,$A189)+COUNTIF('Lui'!$B$6:$B$300,$A189)+COUNTIF('Thaís'!$B$6:$B$300,$A189)+COUNTIF('Daniel'!$B$6:$B$300,$A189)+COUNTIF('Fernando'!$B$6:$B$300,$A189)+COUNTIF('Stephanie'!$B$6:$B$300,$A189)+COUNTIF('Fox'!$B$6:$B$300,$A189)+COUNTIF('Bruna'!$B$6:$B$300,$A189)+COUNTIF('Stella'!$B$6:$B$300,$A189)+COUNTIF('Igor'!$B$6:$B$300,$A189))=0),"",(COUNTIFS('Clarice'!$B$6:$B$300,$A189,'Clarice'!$F$6:$F$300,"Concluído")+COUNTIFS('Luisa'!$B$6:$B$300,$A189,'Luisa'!$F$6:$F$300,"Concluído")+COUNTIFS('Lui'!$B$6:$B$300,$A189,'Lui'!$F$6:$F$300,"Concluído")+COUNTIFS('Thaís'!$B$6:$B$300,$A189,'Thaís'!$F$6:$F$300,"Concluído")+COUNTIFS('Daniel'!$B$6:$B$300,$A189,'Daniel'!$F$6:$F$300,"Concluído")+COUNTIFS('Fernando'!$B$6:$B$300,$A189,'Fernando'!$F$6:$F$300,"Concluído")+COUNTIFS('Stephanie'!$B$6:$B$300,$A189,'Stephanie'!$F$6:$F$300,"Concluído")+COUNTIFS('Fox'!$B$6:$B$300,$A189,'Fox'!$F$6:$F$300,"Concluído")+COUNTIFS('Bruna'!$B$6:$B$300,$A189,'Bruna'!$F$6:$F$300,"Concluído")+COUNTIFS('Stella'!$B$6:$B$300,$A189,'Stella'!$F$6:$F$300,"Concluído")+COUNTIFS('Igor'!$B$6:$B$300,$A189,'Igor'!$F$6:$F$300,"Concluído"))&amp;" / "&amp;(COUNTIF('Clarice'!$B$6:$B$300,$A189)+COUNTIF('Luisa'!$B$6:$B$300,$A189)+COUNTIF('Lui'!$B$6:$B$300,$A189)+COUNTIF('Thaís'!$B$6:$B$300,$A189)+COUNTIF('Daniel'!$B$6:$B$300,$A189)+COUNTIF('Fernando'!$B$6:$B$300,$A189)+COUNTIF('Stephanie'!$B$6:$B$300,$A189)+COUNTIF('Fox'!$B$6:$B$300,$A189)+COUNTIF('Bruna'!$B$6:$B$300,$A189)+COUNTIF('Stella'!$B$6:$B$300,$A189)+COUNTIF('Igor'!$B$6:$B$300,$A189)))</f>
        <v/>
      </c>
      <c r="K189" s="18" t="n">
        <v>46160</v>
      </c>
      <c r="L189" s="18" t="n">
        <v>46164</v>
      </c>
      <c r="M189" s="18" t="n">
        <v>46160</v>
      </c>
      <c r="N189" s="18" t="n">
        <v>46213</v>
      </c>
      <c r="O189" s="19" t="n"/>
      <c r="P189" s="20">
        <f>IF($A189="","",IF(M189&lt;&gt;"",M189,IF(K189&lt;&gt;"",K189,"")))</f>
        <v/>
      </c>
      <c r="Q189" s="20">
        <f>IF($A189="","",IF(N189&lt;&gt;"",N189,IF(L189&lt;&gt;"",L189,"")))</f>
        <v/>
      </c>
      <c r="R189" s="15" t="n"/>
      <c r="S189" s="16">
        <f t="array" ref="S189">IF($A189="","",_xlfn.TEXTJOIN(CHAR(10),TRUE,IF('Clarice'!$B$6:$B$300=$A189,"Clarice"&amp;IF('Clarice'!$E$6:$E$300="",""," : "&amp;'Clarice'!$E$6:$E$300)&amp;" ["&amp;'Clarice'!$F$6:$F$300&amp;"]",""),IF('Luisa'!$B$6:$B$300=$A189,"Luisa"&amp;IF('Luisa'!$E$6:$E$300="",""," : "&amp;'Luisa'!$E$6:$E$300)&amp;" ["&amp;'Luisa'!$F$6:$F$300&amp;"]",""),IF('Lui'!$B$6:$B$300=$A189,"Lui"&amp;IF('Lui'!$E$6:$E$300="",""," : "&amp;'Lui'!$E$6:$E$300)&amp;" ["&amp;'Lui'!$F$6:$F$300&amp;"]",""),IF('Thaís'!$B$6:$B$300=$A189,"Thaís"&amp;IF('Thaís'!$E$6:$E$300="",""," : "&amp;'Thaís'!$E$6:$E$300)&amp;" ["&amp;'Thaís'!$F$6:$F$300&amp;"]",""),IF('Daniel'!$B$6:$B$300=$A189,"Daniel"&amp;IF('Daniel'!$E$6:$E$300="",""," : "&amp;'Daniel'!$E$6:$E$300)&amp;" ["&amp;'Daniel'!$F$6:$F$300&amp;"]",""),IF('Fernando'!$B$6:$B$300=$A189,"Fernando"&amp;IF('Fernando'!$E$6:$E$300="",""," : "&amp;'Fernando'!$E$6:$E$300)&amp;" ["&amp;'Fernando'!$F$6:$F$300&amp;"]",""),IF('Stephanie'!$B$6:$B$300=$A189,"Stephanie"&amp;IF('Stephanie'!$E$6:$E$300="",""," : "&amp;'Stephanie'!$E$6:$E$300)&amp;" ["&amp;'Stephanie'!$F$6:$F$300&amp;"]",""),IF('Fox'!$B$6:$B$300=$A189,"Fox"&amp;IF('Fox'!$E$6:$E$300="",""," : "&amp;'Fox'!$E$6:$E$300)&amp;" ["&amp;'Fox'!$F$6:$F$300&amp;"]",""),IF('Bruna'!$B$6:$B$300=$A189,"Bruna"&amp;IF('Bruna'!$E$6:$E$300="",""," : "&amp;'Bruna'!$E$6:$E$300)&amp;" ["&amp;'Bruna'!$F$6:$F$300&amp;"]",""),IF('Stella'!$B$6:$B$300=$A189,"Stella"&amp;IF('Stella'!$E$6:$E$300="",""," : "&amp;'Stella'!$E$6:$E$300)&amp;" ["&amp;'Stella'!$F$6:$F$300&amp;"]",""),IF('Igor'!$B$6:$B$300=$A189,"Igor"&amp;IF('Igor'!$E$6:$E$300="",""," : "&amp;'Igor'!$E$6:$E$300)&amp;" ["&amp;'Igor'!$F$6:$F$300&amp;"]","")))</f>
        <v/>
      </c>
    </row>
    <row r="190" ht="28" customHeight="1">
      <c r="A190" s="13" t="inlineStr">
        <is>
          <t>SBM-021</t>
        </is>
      </c>
      <c r="B190" s="14" t="inlineStr">
        <is>
          <t>Etapa 2: Construção das métricas | Atividade 7: Operacionalização das métricas | Atividade 8: Aplicação das métricas</t>
        </is>
      </c>
      <c r="C190" s="14" t="inlineStr">
        <is>
          <t>Aplicação da SBM</t>
        </is>
      </c>
      <c r="D190" s="14" t="inlineStr">
        <is>
          <t>UTGCA</t>
        </is>
      </c>
      <c r="E190" s="15" t="inlineStr">
        <is>
          <t>Preparar os dados para aplicação (UTGCA)</t>
        </is>
      </c>
      <c r="F190" s="13" t="inlineStr">
        <is>
          <t>Luisa</t>
        </is>
      </c>
      <c r="G190" s="16">
        <f>IF($A190="","",_xlfn.TEXTJOIN("; ",TRUE,IF(COUNTIF('Clarice'!$B$6:$B$300,$A190)&gt;0,"Clarice",""),IF(COUNTIF('Luisa'!$B$6:$B$300,$A190)&gt;0,"Luisa",""),IF(COUNTIF('Lui'!$B$6:$B$300,$A190)&gt;0,"Lui",""),IF(COUNTIF('Thaís'!$B$6:$B$300,$A190)&gt;0,"Thaís",""),IF(COUNTIF('Daniel'!$B$6:$B$300,$A190)&gt;0,"Daniel",""),IF(COUNTIF('Fernando'!$B$6:$B$300,$A190)&gt;0,"Fernando",""),IF(COUNTIF('Stephanie'!$B$6:$B$300,$A190)&gt;0,"Stephanie",""),IF(COUNTIF('Fox'!$B$6:$B$300,$A190)&gt;0,"Fox",""),IF(COUNTIF('Bruna'!$B$6:$B$300,$A190)&gt;0,"Bruna",""),IF(COUNTIF('Stella'!$B$6:$B$300,$A190)&gt;0,"Stella",""),IF(COUNTIF('Igor'!$B$6:$B$300,$A190)&gt;0,"Igor","")))</f>
        <v/>
      </c>
      <c r="H190" s="13" t="n"/>
      <c r="I190" s="13" t="inlineStr">
        <is>
          <t>Não iniciado</t>
        </is>
      </c>
      <c r="J190" s="17">
        <f>IF(OR($A190="",(COUNTIF('Clarice'!$B$6:$B$300,$A190)+COUNTIF('Luisa'!$B$6:$B$300,$A190)+COUNTIF('Lui'!$B$6:$B$300,$A190)+COUNTIF('Thaís'!$B$6:$B$300,$A190)+COUNTIF('Daniel'!$B$6:$B$300,$A190)+COUNTIF('Fernando'!$B$6:$B$300,$A190)+COUNTIF('Stephanie'!$B$6:$B$300,$A190)+COUNTIF('Fox'!$B$6:$B$300,$A190)+COUNTIF('Bruna'!$B$6:$B$300,$A190)+COUNTIF('Stella'!$B$6:$B$300,$A190)+COUNTIF('Igor'!$B$6:$B$300,$A190))=0),"",(COUNTIFS('Clarice'!$B$6:$B$300,$A190,'Clarice'!$F$6:$F$300,"Concluído")+COUNTIFS('Luisa'!$B$6:$B$300,$A190,'Luisa'!$F$6:$F$300,"Concluído")+COUNTIFS('Lui'!$B$6:$B$300,$A190,'Lui'!$F$6:$F$300,"Concluído")+COUNTIFS('Thaís'!$B$6:$B$300,$A190,'Thaís'!$F$6:$F$300,"Concluído")+COUNTIFS('Daniel'!$B$6:$B$300,$A190,'Daniel'!$F$6:$F$300,"Concluído")+COUNTIFS('Fernando'!$B$6:$B$300,$A190,'Fernando'!$F$6:$F$300,"Concluído")+COUNTIFS('Stephanie'!$B$6:$B$300,$A190,'Stephanie'!$F$6:$F$300,"Concluído")+COUNTIFS('Fox'!$B$6:$B$300,$A190,'Fox'!$F$6:$F$300,"Concluído")+COUNTIFS('Bruna'!$B$6:$B$300,$A190,'Bruna'!$F$6:$F$300,"Concluído")+COUNTIFS('Stella'!$B$6:$B$300,$A190,'Stella'!$F$6:$F$300,"Concluído")+COUNTIFS('Igor'!$B$6:$B$300,$A190,'Igor'!$F$6:$F$300,"Concluído"))&amp;" / "&amp;(COUNTIF('Clarice'!$B$6:$B$300,$A190)+COUNTIF('Luisa'!$B$6:$B$300,$A190)+COUNTIF('Lui'!$B$6:$B$300,$A190)+COUNTIF('Thaís'!$B$6:$B$300,$A190)+COUNTIF('Daniel'!$B$6:$B$300,$A190)+COUNTIF('Fernando'!$B$6:$B$300,$A190)+COUNTIF('Stephanie'!$B$6:$B$300,$A190)+COUNTIF('Fox'!$B$6:$B$300,$A190)+COUNTIF('Bruna'!$B$6:$B$300,$A190)+COUNTIF('Stella'!$B$6:$B$300,$A190)+COUNTIF('Igor'!$B$6:$B$300,$A190)))</f>
        <v/>
      </c>
      <c r="K190" s="18" t="n">
        <v>46160</v>
      </c>
      <c r="L190" s="18" t="n">
        <v>46164</v>
      </c>
      <c r="M190" s="18" t="n">
        <v>46160</v>
      </c>
      <c r="N190" s="18" t="n">
        <v>46213</v>
      </c>
      <c r="O190" s="19" t="n"/>
      <c r="P190" s="20">
        <f>IF($A190="","",IF(M190&lt;&gt;"",M190,IF(K190&lt;&gt;"",K190,"")))</f>
        <v/>
      </c>
      <c r="Q190" s="20">
        <f>IF($A190="","",IF(N190&lt;&gt;"",N190,IF(L190&lt;&gt;"",L190,"")))</f>
        <v/>
      </c>
      <c r="R190" s="15" t="n"/>
      <c r="S190" s="16">
        <f t="array" ref="S190">IF($A190="","",_xlfn.TEXTJOIN(CHAR(10),TRUE,IF('Clarice'!$B$6:$B$300=$A190,"Clarice"&amp;IF('Clarice'!$E$6:$E$300="",""," : "&amp;'Clarice'!$E$6:$E$300)&amp;" ["&amp;'Clarice'!$F$6:$F$300&amp;"]",""),IF('Luisa'!$B$6:$B$300=$A190,"Luisa"&amp;IF('Luisa'!$E$6:$E$300="",""," : "&amp;'Luisa'!$E$6:$E$300)&amp;" ["&amp;'Luisa'!$F$6:$F$300&amp;"]",""),IF('Lui'!$B$6:$B$300=$A190,"Lui"&amp;IF('Lui'!$E$6:$E$300="",""," : "&amp;'Lui'!$E$6:$E$300)&amp;" ["&amp;'Lui'!$F$6:$F$300&amp;"]",""),IF('Thaís'!$B$6:$B$300=$A190,"Thaís"&amp;IF('Thaís'!$E$6:$E$300="",""," : "&amp;'Thaís'!$E$6:$E$300)&amp;" ["&amp;'Thaís'!$F$6:$F$300&amp;"]",""),IF('Daniel'!$B$6:$B$300=$A190,"Daniel"&amp;IF('Daniel'!$E$6:$E$300="",""," : "&amp;'Daniel'!$E$6:$E$300)&amp;" ["&amp;'Daniel'!$F$6:$F$300&amp;"]",""),IF('Fernando'!$B$6:$B$300=$A190,"Fernando"&amp;IF('Fernando'!$E$6:$E$300="",""," : "&amp;'Fernando'!$E$6:$E$300)&amp;" ["&amp;'Fernando'!$F$6:$F$300&amp;"]",""),IF('Stephanie'!$B$6:$B$300=$A190,"Stephanie"&amp;IF('Stephanie'!$E$6:$E$300="",""," : "&amp;'Stephanie'!$E$6:$E$300)&amp;" ["&amp;'Stephanie'!$F$6:$F$300&amp;"]",""),IF('Fox'!$B$6:$B$300=$A190,"Fox"&amp;IF('Fox'!$E$6:$E$300="",""," : "&amp;'Fox'!$E$6:$E$300)&amp;" ["&amp;'Fox'!$F$6:$F$300&amp;"]",""),IF('Bruna'!$B$6:$B$300=$A190,"Bruna"&amp;IF('Bruna'!$E$6:$E$300="",""," : "&amp;'Bruna'!$E$6:$E$300)&amp;" ["&amp;'Bruna'!$F$6:$F$300&amp;"]",""),IF('Stella'!$B$6:$B$300=$A190,"Stella"&amp;IF('Stella'!$E$6:$E$300="",""," : "&amp;'Stella'!$E$6:$E$300)&amp;" ["&amp;'Stella'!$F$6:$F$300&amp;"]",""),IF('Igor'!$B$6:$B$300=$A190,"Igor"&amp;IF('Igor'!$E$6:$E$300="",""," : "&amp;'Igor'!$E$6:$E$300)&amp;" ["&amp;'Igor'!$F$6:$F$300&amp;"]","")))</f>
        <v/>
      </c>
    </row>
    <row r="191" ht="15.5" customHeight="1">
      <c r="A191" s="13" t="inlineStr">
        <is>
          <t>SBM-022</t>
        </is>
      </c>
      <c r="B191" s="14" t="inlineStr">
        <is>
          <t>Etapa 2: Construção das métricas | Atividade 7: Operacionalização das métricas | Atividade 8: Aplicação das métricas</t>
        </is>
      </c>
      <c r="C191" s="14" t="inlineStr">
        <is>
          <t>Aplicação da SBM</t>
        </is>
      </c>
      <c r="D191" s="14" t="inlineStr">
        <is>
          <t>UTGCA</t>
        </is>
      </c>
      <c r="E191" s="15" t="inlineStr">
        <is>
          <t>Calcular o parâmetro - condição (UTGCA)</t>
        </is>
      </c>
      <c r="F191" s="13" t="inlineStr">
        <is>
          <t>Luisa</t>
        </is>
      </c>
      <c r="G191" s="16">
        <f>IF($A191="","",_xlfn.TEXTJOIN("; ",TRUE,IF(COUNTIF('Clarice'!$B$6:$B$300,$A191)&gt;0,"Clarice",""),IF(COUNTIF('Luisa'!$B$6:$B$300,$A191)&gt;0,"Luisa",""),IF(COUNTIF('Lui'!$B$6:$B$300,$A191)&gt;0,"Lui",""),IF(COUNTIF('Thaís'!$B$6:$B$300,$A191)&gt;0,"Thaís",""),IF(COUNTIF('Daniel'!$B$6:$B$300,$A191)&gt;0,"Daniel",""),IF(COUNTIF('Fernando'!$B$6:$B$300,$A191)&gt;0,"Fernando",""),IF(COUNTIF('Stephanie'!$B$6:$B$300,$A191)&gt;0,"Stephanie",""),IF(COUNTIF('Fox'!$B$6:$B$300,$A191)&gt;0,"Fox",""),IF(COUNTIF('Bruna'!$B$6:$B$300,$A191)&gt;0,"Bruna",""),IF(COUNTIF('Stella'!$B$6:$B$300,$A191)&gt;0,"Stella",""),IF(COUNTIF('Igor'!$B$6:$B$300,$A191)&gt;0,"Igor","")))</f>
        <v/>
      </c>
      <c r="H191" s="13" t="n"/>
      <c r="I191" s="13" t="inlineStr">
        <is>
          <t>Não iniciado</t>
        </is>
      </c>
      <c r="J191" s="17">
        <f>IF(OR($A191="",(COUNTIF('Clarice'!$B$6:$B$300,$A191)+COUNTIF('Luisa'!$B$6:$B$300,$A191)+COUNTIF('Lui'!$B$6:$B$300,$A191)+COUNTIF('Thaís'!$B$6:$B$300,$A191)+COUNTIF('Daniel'!$B$6:$B$300,$A191)+COUNTIF('Fernando'!$B$6:$B$300,$A191)+COUNTIF('Stephanie'!$B$6:$B$300,$A191)+COUNTIF('Fox'!$B$6:$B$300,$A191)+COUNTIF('Bruna'!$B$6:$B$300,$A191)+COUNTIF('Stella'!$B$6:$B$300,$A191)+COUNTIF('Igor'!$B$6:$B$300,$A191))=0),"",(COUNTIFS('Clarice'!$B$6:$B$300,$A191,'Clarice'!$F$6:$F$300,"Concluído")+COUNTIFS('Luisa'!$B$6:$B$300,$A191,'Luisa'!$F$6:$F$300,"Concluído")+COUNTIFS('Lui'!$B$6:$B$300,$A191,'Lui'!$F$6:$F$300,"Concluído")+COUNTIFS('Thaís'!$B$6:$B$300,$A191,'Thaís'!$F$6:$F$300,"Concluído")+COUNTIFS('Daniel'!$B$6:$B$300,$A191,'Daniel'!$F$6:$F$300,"Concluído")+COUNTIFS('Fernando'!$B$6:$B$300,$A191,'Fernando'!$F$6:$F$300,"Concluído")+COUNTIFS('Stephanie'!$B$6:$B$300,$A191,'Stephanie'!$F$6:$F$300,"Concluído")+COUNTIFS('Fox'!$B$6:$B$300,$A191,'Fox'!$F$6:$F$300,"Concluído")+COUNTIFS('Bruna'!$B$6:$B$300,$A191,'Bruna'!$F$6:$F$300,"Concluído")+COUNTIFS('Stella'!$B$6:$B$300,$A191,'Stella'!$F$6:$F$300,"Concluído")+COUNTIFS('Igor'!$B$6:$B$300,$A191,'Igor'!$F$6:$F$300,"Concluído"))&amp;" / "&amp;(COUNTIF('Clarice'!$B$6:$B$300,$A191)+COUNTIF('Luisa'!$B$6:$B$300,$A191)+COUNTIF('Lui'!$B$6:$B$300,$A191)+COUNTIF('Thaís'!$B$6:$B$300,$A191)+COUNTIF('Daniel'!$B$6:$B$300,$A191)+COUNTIF('Fernando'!$B$6:$B$300,$A191)+COUNTIF('Stephanie'!$B$6:$B$300,$A191)+COUNTIF('Fox'!$B$6:$B$300,$A191)+COUNTIF('Bruna'!$B$6:$B$300,$A191)+COUNTIF('Stella'!$B$6:$B$300,$A191)+COUNTIF('Igor'!$B$6:$B$300,$A191)))</f>
        <v/>
      </c>
      <c r="K191" s="18" t="n">
        <v>46160</v>
      </c>
      <c r="L191" s="18" t="n">
        <v>46164</v>
      </c>
      <c r="M191" s="18" t="n">
        <v>46160</v>
      </c>
      <c r="N191" s="18" t="n">
        <v>46213</v>
      </c>
      <c r="O191" s="19" t="n"/>
      <c r="P191" s="20">
        <f>IF($A191="","",IF(M191&lt;&gt;"",M191,IF(K191&lt;&gt;"",K191,"")))</f>
        <v/>
      </c>
      <c r="Q191" s="20">
        <f>IF($A191="","",IF(N191&lt;&gt;"",N191,IF(L191&lt;&gt;"",L191,"")))</f>
        <v/>
      </c>
      <c r="R191" s="15" t="n"/>
      <c r="S191" s="16">
        <f t="array" ref="S191">IF($A191="","",_xlfn.TEXTJOIN(CHAR(10),TRUE,IF('Clarice'!$B$6:$B$300=$A191,"Clarice"&amp;IF('Clarice'!$E$6:$E$300="",""," : "&amp;'Clarice'!$E$6:$E$300)&amp;" ["&amp;'Clarice'!$F$6:$F$300&amp;"]",""),IF('Luisa'!$B$6:$B$300=$A191,"Luisa"&amp;IF('Luisa'!$E$6:$E$300="",""," : "&amp;'Luisa'!$E$6:$E$300)&amp;" ["&amp;'Luisa'!$F$6:$F$300&amp;"]",""),IF('Lui'!$B$6:$B$300=$A191,"Lui"&amp;IF('Lui'!$E$6:$E$300="",""," : "&amp;'Lui'!$E$6:$E$300)&amp;" ["&amp;'Lui'!$F$6:$F$300&amp;"]",""),IF('Thaís'!$B$6:$B$300=$A191,"Thaís"&amp;IF('Thaís'!$E$6:$E$300="",""," : "&amp;'Thaís'!$E$6:$E$300)&amp;" ["&amp;'Thaís'!$F$6:$F$300&amp;"]",""),IF('Daniel'!$B$6:$B$300=$A191,"Daniel"&amp;IF('Daniel'!$E$6:$E$300="",""," : "&amp;'Daniel'!$E$6:$E$300)&amp;" ["&amp;'Daniel'!$F$6:$F$300&amp;"]",""),IF('Fernando'!$B$6:$B$300=$A191,"Fernando"&amp;IF('Fernando'!$E$6:$E$300="",""," : "&amp;'Fernando'!$E$6:$E$300)&amp;" ["&amp;'Fernando'!$F$6:$F$300&amp;"]",""),IF('Stephanie'!$B$6:$B$300=$A191,"Stephanie"&amp;IF('Stephanie'!$E$6:$E$300="",""," : "&amp;'Stephanie'!$E$6:$E$300)&amp;" ["&amp;'Stephanie'!$F$6:$F$300&amp;"]",""),IF('Fox'!$B$6:$B$300=$A191,"Fox"&amp;IF('Fox'!$E$6:$E$300="",""," : "&amp;'Fox'!$E$6:$E$300)&amp;" ["&amp;'Fox'!$F$6:$F$300&amp;"]",""),IF('Bruna'!$B$6:$B$300=$A191,"Bruna"&amp;IF('Bruna'!$E$6:$E$300="",""," : "&amp;'Bruna'!$E$6:$E$300)&amp;" ["&amp;'Bruna'!$F$6:$F$300&amp;"]",""),IF('Stella'!$B$6:$B$300=$A191,"Stella"&amp;IF('Stella'!$E$6:$E$300="",""," : "&amp;'Stella'!$E$6:$E$300)&amp;" ["&amp;'Stella'!$F$6:$F$300&amp;"]",""),IF('Igor'!$B$6:$B$300=$A191,"Igor"&amp;IF('Igor'!$E$6:$E$300="",""," : "&amp;'Igor'!$E$6:$E$300)&amp;" ["&amp;'Igor'!$F$6:$F$300&amp;"]","")))</f>
        <v/>
      </c>
    </row>
    <row r="192" ht="15.5" customHeight="1">
      <c r="A192" s="13" t="inlineStr">
        <is>
          <t>SBM-023</t>
        </is>
      </c>
      <c r="B192" s="14" t="inlineStr">
        <is>
          <t>Etapa 2: Construção das métricas | Atividade 7: Operacionalização das métricas | Atividade 8: Aplicação das métricas</t>
        </is>
      </c>
      <c r="C192" s="14" t="inlineStr">
        <is>
          <t>Aplicação da SBM</t>
        </is>
      </c>
      <c r="D192" s="14" t="inlineStr">
        <is>
          <t>UTGCA</t>
        </is>
      </c>
      <c r="E192" s="15" t="inlineStr">
        <is>
          <t>Calcular o parâmetro - valor estratégico</t>
        </is>
      </c>
      <c r="F192" s="13" t="inlineStr">
        <is>
          <t>Luisa</t>
        </is>
      </c>
      <c r="G192" s="16">
        <f>IF($A192="","",_xlfn.TEXTJOIN("; ",TRUE,IF(COUNTIF('Clarice'!$B$6:$B$300,$A192)&gt;0,"Clarice",""),IF(COUNTIF('Luisa'!$B$6:$B$300,$A192)&gt;0,"Luisa",""),IF(COUNTIF('Lui'!$B$6:$B$300,$A192)&gt;0,"Lui",""),IF(COUNTIF('Thaís'!$B$6:$B$300,$A192)&gt;0,"Thaís",""),IF(COUNTIF('Daniel'!$B$6:$B$300,$A192)&gt;0,"Daniel",""),IF(COUNTIF('Fernando'!$B$6:$B$300,$A192)&gt;0,"Fernando",""),IF(COUNTIF('Stephanie'!$B$6:$B$300,$A192)&gt;0,"Stephanie",""),IF(COUNTIF('Fox'!$B$6:$B$300,$A192)&gt;0,"Fox",""),IF(COUNTIF('Bruna'!$B$6:$B$300,$A192)&gt;0,"Bruna",""),IF(COUNTIF('Stella'!$B$6:$B$300,$A192)&gt;0,"Stella",""),IF(COUNTIF('Igor'!$B$6:$B$300,$A192)&gt;0,"Igor","")))</f>
        <v/>
      </c>
      <c r="H192" s="13" t="n"/>
      <c r="I192" s="13" t="inlineStr">
        <is>
          <t>Não iniciado</t>
        </is>
      </c>
      <c r="J192" s="17">
        <f>IF(OR($A192="",(COUNTIF('Clarice'!$B$6:$B$300,$A192)+COUNTIF('Luisa'!$B$6:$B$300,$A192)+COUNTIF('Lui'!$B$6:$B$300,$A192)+COUNTIF('Thaís'!$B$6:$B$300,$A192)+COUNTIF('Daniel'!$B$6:$B$300,$A192)+COUNTIF('Fernando'!$B$6:$B$300,$A192)+COUNTIF('Stephanie'!$B$6:$B$300,$A192)+COUNTIF('Fox'!$B$6:$B$300,$A192)+COUNTIF('Bruna'!$B$6:$B$300,$A192)+COUNTIF('Stella'!$B$6:$B$300,$A192)+COUNTIF('Igor'!$B$6:$B$300,$A192))=0),"",(COUNTIFS('Clarice'!$B$6:$B$300,$A192,'Clarice'!$F$6:$F$300,"Concluído")+COUNTIFS('Luisa'!$B$6:$B$300,$A192,'Luisa'!$F$6:$F$300,"Concluído")+COUNTIFS('Lui'!$B$6:$B$300,$A192,'Lui'!$F$6:$F$300,"Concluído")+COUNTIFS('Thaís'!$B$6:$B$300,$A192,'Thaís'!$F$6:$F$300,"Concluído")+COUNTIFS('Daniel'!$B$6:$B$300,$A192,'Daniel'!$F$6:$F$300,"Concluído")+COUNTIFS('Fernando'!$B$6:$B$300,$A192,'Fernando'!$F$6:$F$300,"Concluído")+COUNTIFS('Stephanie'!$B$6:$B$300,$A192,'Stephanie'!$F$6:$F$300,"Concluído")+COUNTIFS('Fox'!$B$6:$B$300,$A192,'Fox'!$F$6:$F$300,"Concluído")+COUNTIFS('Bruna'!$B$6:$B$300,$A192,'Bruna'!$F$6:$F$300,"Concluído")+COUNTIFS('Stella'!$B$6:$B$300,$A192,'Stella'!$F$6:$F$300,"Concluído")+COUNTIFS('Igor'!$B$6:$B$300,$A192,'Igor'!$F$6:$F$300,"Concluído"))&amp;" / "&amp;(COUNTIF('Clarice'!$B$6:$B$300,$A192)+COUNTIF('Luisa'!$B$6:$B$300,$A192)+COUNTIF('Lui'!$B$6:$B$300,$A192)+COUNTIF('Thaís'!$B$6:$B$300,$A192)+COUNTIF('Daniel'!$B$6:$B$300,$A192)+COUNTIF('Fernando'!$B$6:$B$300,$A192)+COUNTIF('Stephanie'!$B$6:$B$300,$A192)+COUNTIF('Fox'!$B$6:$B$300,$A192)+COUNTIF('Bruna'!$B$6:$B$300,$A192)+COUNTIF('Stella'!$B$6:$B$300,$A192)+COUNTIF('Igor'!$B$6:$B$300,$A192)))</f>
        <v/>
      </c>
      <c r="K192" s="18" t="n">
        <v>46160</v>
      </c>
      <c r="L192" s="18" t="n">
        <v>46164</v>
      </c>
      <c r="M192" s="18" t="n">
        <v>46160</v>
      </c>
      <c r="N192" s="18" t="n">
        <v>46213</v>
      </c>
      <c r="O192" s="19" t="n"/>
      <c r="P192" s="20">
        <f>IF($A192="","",IF(M192&lt;&gt;"",M192,IF(K192&lt;&gt;"",K192,"")))</f>
        <v/>
      </c>
      <c r="Q192" s="20">
        <f>IF($A192="","",IF(N192&lt;&gt;"",N192,IF(L192&lt;&gt;"",L192,"")))</f>
        <v/>
      </c>
      <c r="R192" s="15" t="n"/>
      <c r="S192" s="16">
        <f t="array" ref="S192">IF($A192="","",_xlfn.TEXTJOIN(CHAR(10),TRUE,IF('Clarice'!$B$6:$B$300=$A192,"Clarice"&amp;IF('Clarice'!$E$6:$E$300="",""," : "&amp;'Clarice'!$E$6:$E$300)&amp;" ["&amp;'Clarice'!$F$6:$F$300&amp;"]",""),IF('Luisa'!$B$6:$B$300=$A192,"Luisa"&amp;IF('Luisa'!$E$6:$E$300="",""," : "&amp;'Luisa'!$E$6:$E$300)&amp;" ["&amp;'Luisa'!$F$6:$F$300&amp;"]",""),IF('Lui'!$B$6:$B$300=$A192,"Lui"&amp;IF('Lui'!$E$6:$E$300="",""," : "&amp;'Lui'!$E$6:$E$300)&amp;" ["&amp;'Lui'!$F$6:$F$300&amp;"]",""),IF('Thaís'!$B$6:$B$300=$A192,"Thaís"&amp;IF('Thaís'!$E$6:$E$300="",""," : "&amp;'Thaís'!$E$6:$E$300)&amp;" ["&amp;'Thaís'!$F$6:$F$300&amp;"]",""),IF('Daniel'!$B$6:$B$300=$A192,"Daniel"&amp;IF('Daniel'!$E$6:$E$300="",""," : "&amp;'Daniel'!$E$6:$E$300)&amp;" ["&amp;'Daniel'!$F$6:$F$300&amp;"]",""),IF('Fernando'!$B$6:$B$300=$A192,"Fernando"&amp;IF('Fernando'!$E$6:$E$300="",""," : "&amp;'Fernando'!$E$6:$E$300)&amp;" ["&amp;'Fernando'!$F$6:$F$300&amp;"]",""),IF('Stephanie'!$B$6:$B$300=$A192,"Stephanie"&amp;IF('Stephanie'!$E$6:$E$300="",""," : "&amp;'Stephanie'!$E$6:$E$300)&amp;" ["&amp;'Stephanie'!$F$6:$F$300&amp;"]",""),IF('Fox'!$B$6:$B$300=$A192,"Fox"&amp;IF('Fox'!$E$6:$E$300="",""," : "&amp;'Fox'!$E$6:$E$300)&amp;" ["&amp;'Fox'!$F$6:$F$300&amp;"]",""),IF('Bruna'!$B$6:$B$300=$A192,"Bruna"&amp;IF('Bruna'!$E$6:$E$300="",""," : "&amp;'Bruna'!$E$6:$E$300)&amp;" ["&amp;'Bruna'!$F$6:$F$300&amp;"]",""),IF('Stella'!$B$6:$B$300=$A192,"Stella"&amp;IF('Stella'!$E$6:$E$300="",""," : "&amp;'Stella'!$E$6:$E$300)&amp;" ["&amp;'Stella'!$F$6:$F$300&amp;"]",""),IF('Igor'!$B$6:$B$300=$A192,"Igor"&amp;IF('Igor'!$E$6:$E$300="",""," : "&amp;'Igor'!$E$6:$E$300)&amp;" ["&amp;'Igor'!$F$6:$F$300&amp;"]","")))</f>
        <v/>
      </c>
    </row>
    <row r="193" ht="28" customHeight="1">
      <c r="A193" s="13" t="inlineStr">
        <is>
          <t>SBM-024</t>
        </is>
      </c>
      <c r="B193" s="14" t="inlineStr">
        <is>
          <t>Etapa 2: Construção das métricas | Atividade 7: Operacionalização das métricas | Atividade 8: Aplicação das métricas</t>
        </is>
      </c>
      <c r="C193" s="14" t="inlineStr">
        <is>
          <t>Aplicação da SBM</t>
        </is>
      </c>
      <c r="D193" s="14" t="inlineStr">
        <is>
          <t>UTGCA</t>
        </is>
      </c>
      <c r="E193" s="15" t="inlineStr">
        <is>
          <t>Estruturar as fórmulas no excel ou script no R para aplicação</t>
        </is>
      </c>
      <c r="F193" s="13" t="inlineStr">
        <is>
          <t>Luisa</t>
        </is>
      </c>
      <c r="G193" s="16">
        <f>IF($A193="","",_xlfn.TEXTJOIN("; ",TRUE,IF(COUNTIF('Clarice'!$B$6:$B$300,$A193)&gt;0,"Clarice",""),IF(COUNTIF('Luisa'!$B$6:$B$300,$A193)&gt;0,"Luisa",""),IF(COUNTIF('Lui'!$B$6:$B$300,$A193)&gt;0,"Lui",""),IF(COUNTIF('Thaís'!$B$6:$B$300,$A193)&gt;0,"Thaís",""),IF(COUNTIF('Daniel'!$B$6:$B$300,$A193)&gt;0,"Daniel",""),IF(COUNTIF('Fernando'!$B$6:$B$300,$A193)&gt;0,"Fernando",""),IF(COUNTIF('Stephanie'!$B$6:$B$300,$A193)&gt;0,"Stephanie",""),IF(COUNTIF('Fox'!$B$6:$B$300,$A193)&gt;0,"Fox",""),IF(COUNTIF('Bruna'!$B$6:$B$300,$A193)&gt;0,"Bruna",""),IF(COUNTIF('Stella'!$B$6:$B$300,$A193)&gt;0,"Stella",""),IF(COUNTIF('Igor'!$B$6:$B$300,$A193)&gt;0,"Igor","")))</f>
        <v/>
      </c>
      <c r="H193" s="13" t="n"/>
      <c r="I193" s="13" t="inlineStr">
        <is>
          <t>Não iniciado</t>
        </is>
      </c>
      <c r="J193" s="17">
        <f>IF(OR($A193="",(COUNTIF('Clarice'!$B$6:$B$300,$A193)+COUNTIF('Luisa'!$B$6:$B$300,$A193)+COUNTIF('Lui'!$B$6:$B$300,$A193)+COUNTIF('Thaís'!$B$6:$B$300,$A193)+COUNTIF('Daniel'!$B$6:$B$300,$A193)+COUNTIF('Fernando'!$B$6:$B$300,$A193)+COUNTIF('Stephanie'!$B$6:$B$300,$A193)+COUNTIF('Fox'!$B$6:$B$300,$A193)+COUNTIF('Bruna'!$B$6:$B$300,$A193)+COUNTIF('Stella'!$B$6:$B$300,$A193)+COUNTIF('Igor'!$B$6:$B$300,$A193))=0),"",(COUNTIFS('Clarice'!$B$6:$B$300,$A193,'Clarice'!$F$6:$F$300,"Concluído")+COUNTIFS('Luisa'!$B$6:$B$300,$A193,'Luisa'!$F$6:$F$300,"Concluído")+COUNTIFS('Lui'!$B$6:$B$300,$A193,'Lui'!$F$6:$F$300,"Concluído")+COUNTIFS('Thaís'!$B$6:$B$300,$A193,'Thaís'!$F$6:$F$300,"Concluído")+COUNTIFS('Daniel'!$B$6:$B$300,$A193,'Daniel'!$F$6:$F$300,"Concluído")+COUNTIFS('Fernando'!$B$6:$B$300,$A193,'Fernando'!$F$6:$F$300,"Concluído")+COUNTIFS('Stephanie'!$B$6:$B$300,$A193,'Stephanie'!$F$6:$F$300,"Concluído")+COUNTIFS('Fox'!$B$6:$B$300,$A193,'Fox'!$F$6:$F$300,"Concluído")+COUNTIFS('Bruna'!$B$6:$B$300,$A193,'Bruna'!$F$6:$F$300,"Concluído")+COUNTIFS('Stella'!$B$6:$B$300,$A193,'Stella'!$F$6:$F$300,"Concluído")+COUNTIFS('Igor'!$B$6:$B$300,$A193,'Igor'!$F$6:$F$300,"Concluído"))&amp;" / "&amp;(COUNTIF('Clarice'!$B$6:$B$300,$A193)+COUNTIF('Luisa'!$B$6:$B$300,$A193)+COUNTIF('Lui'!$B$6:$B$300,$A193)+COUNTIF('Thaís'!$B$6:$B$300,$A193)+COUNTIF('Daniel'!$B$6:$B$300,$A193)+COUNTIF('Fernando'!$B$6:$B$300,$A193)+COUNTIF('Stephanie'!$B$6:$B$300,$A193)+COUNTIF('Fox'!$B$6:$B$300,$A193)+COUNTIF('Bruna'!$B$6:$B$300,$A193)+COUNTIF('Stella'!$B$6:$B$300,$A193)+COUNTIF('Igor'!$B$6:$B$300,$A193)))</f>
        <v/>
      </c>
      <c r="K193" s="18" t="n">
        <v>46160</v>
      </c>
      <c r="L193" s="18" t="n">
        <v>46164</v>
      </c>
      <c r="M193" s="18" t="n">
        <v>46160</v>
      </c>
      <c r="N193" s="18" t="n">
        <v>46213</v>
      </c>
      <c r="O193" s="19" t="n"/>
      <c r="P193" s="20">
        <f>IF($A193="","",IF(M193&lt;&gt;"",M193,IF(K193&lt;&gt;"",K193,"")))</f>
        <v/>
      </c>
      <c r="Q193" s="20">
        <f>IF($A193="","",IF(N193&lt;&gt;"",N193,IF(L193&lt;&gt;"",L193,"")))</f>
        <v/>
      </c>
      <c r="R193" s="15" t="n"/>
      <c r="S193" s="16">
        <f t="array" ref="S193">IF($A193="","",_xlfn.TEXTJOIN(CHAR(10),TRUE,IF('Clarice'!$B$6:$B$300=$A193,"Clarice"&amp;IF('Clarice'!$E$6:$E$300="",""," : "&amp;'Clarice'!$E$6:$E$300)&amp;" ["&amp;'Clarice'!$F$6:$F$300&amp;"]",""),IF('Luisa'!$B$6:$B$300=$A193,"Luisa"&amp;IF('Luisa'!$E$6:$E$300="",""," : "&amp;'Luisa'!$E$6:$E$300)&amp;" ["&amp;'Luisa'!$F$6:$F$300&amp;"]",""),IF('Lui'!$B$6:$B$300=$A193,"Lui"&amp;IF('Lui'!$E$6:$E$300="",""," : "&amp;'Lui'!$E$6:$E$300)&amp;" ["&amp;'Lui'!$F$6:$F$300&amp;"]",""),IF('Thaís'!$B$6:$B$300=$A193,"Thaís"&amp;IF('Thaís'!$E$6:$E$300="",""," : "&amp;'Thaís'!$E$6:$E$300)&amp;" ["&amp;'Thaís'!$F$6:$F$300&amp;"]",""),IF('Daniel'!$B$6:$B$300=$A193,"Daniel"&amp;IF('Daniel'!$E$6:$E$300="",""," : "&amp;'Daniel'!$E$6:$E$300)&amp;" ["&amp;'Daniel'!$F$6:$F$300&amp;"]",""),IF('Fernando'!$B$6:$B$300=$A193,"Fernando"&amp;IF('Fernando'!$E$6:$E$300="",""," : "&amp;'Fernando'!$E$6:$E$300)&amp;" ["&amp;'Fernando'!$F$6:$F$300&amp;"]",""),IF('Stephanie'!$B$6:$B$300=$A193,"Stephanie"&amp;IF('Stephanie'!$E$6:$E$300="",""," : "&amp;'Stephanie'!$E$6:$E$300)&amp;" ["&amp;'Stephanie'!$F$6:$F$300&amp;"]",""),IF('Fox'!$B$6:$B$300=$A193,"Fox"&amp;IF('Fox'!$E$6:$E$300="",""," : "&amp;'Fox'!$E$6:$E$300)&amp;" ["&amp;'Fox'!$F$6:$F$300&amp;"]",""),IF('Bruna'!$B$6:$B$300=$A193,"Bruna"&amp;IF('Bruna'!$E$6:$E$300="",""," : "&amp;'Bruna'!$E$6:$E$300)&amp;" ["&amp;'Bruna'!$F$6:$F$300&amp;"]",""),IF('Stella'!$B$6:$B$300=$A193,"Stella"&amp;IF('Stella'!$E$6:$E$300="",""," : "&amp;'Stella'!$E$6:$E$300)&amp;" ["&amp;'Stella'!$F$6:$F$300&amp;"]",""),IF('Igor'!$B$6:$B$300=$A193,"Igor"&amp;IF('Igor'!$E$6:$E$300="",""," : "&amp;'Igor'!$E$6:$E$300)&amp;" ["&amp;'Igor'!$F$6:$F$300&amp;"]","")))</f>
        <v/>
      </c>
    </row>
    <row r="194" ht="28" customHeight="1">
      <c r="A194" s="13" t="inlineStr">
        <is>
          <t>SBM-025</t>
        </is>
      </c>
      <c r="B194" s="14" t="inlineStr">
        <is>
          <t>Etapa 2: Construção das métricas | Atividade 7: Operacionalização das métricas | Atividade 8: Aplicação das métricas</t>
        </is>
      </c>
      <c r="C194" s="14" t="inlineStr">
        <is>
          <t>Aplicação da SBM</t>
        </is>
      </c>
      <c r="D194" s="14" t="inlineStr">
        <is>
          <t>UTGCA</t>
        </is>
      </c>
      <c r="E194" s="15" t="inlineStr">
        <is>
          <t>Rodar a métrica</t>
        </is>
      </c>
      <c r="F194" s="13" t="inlineStr">
        <is>
          <t>Luisa</t>
        </is>
      </c>
      <c r="G194" s="16">
        <f>IF($A194="","",_xlfn.TEXTJOIN("; ",TRUE,IF(COUNTIF('Clarice'!$B$6:$B$300,$A194)&gt;0,"Clarice",""),IF(COUNTIF('Luisa'!$B$6:$B$300,$A194)&gt;0,"Luisa",""),IF(COUNTIF('Lui'!$B$6:$B$300,$A194)&gt;0,"Lui",""),IF(COUNTIF('Thaís'!$B$6:$B$300,$A194)&gt;0,"Thaís",""),IF(COUNTIF('Daniel'!$B$6:$B$300,$A194)&gt;0,"Daniel",""),IF(COUNTIF('Fernando'!$B$6:$B$300,$A194)&gt;0,"Fernando",""),IF(COUNTIF('Stephanie'!$B$6:$B$300,$A194)&gt;0,"Stephanie",""),IF(COUNTIF('Fox'!$B$6:$B$300,$A194)&gt;0,"Fox",""),IF(COUNTIF('Bruna'!$B$6:$B$300,$A194)&gt;0,"Bruna",""),IF(COUNTIF('Stella'!$B$6:$B$300,$A194)&gt;0,"Stella",""),IF(COUNTIF('Igor'!$B$6:$B$300,$A194)&gt;0,"Igor","")))</f>
        <v/>
      </c>
      <c r="H194" s="13" t="n"/>
      <c r="I194" s="13" t="inlineStr">
        <is>
          <t>Não iniciado</t>
        </is>
      </c>
      <c r="J194" s="17">
        <f>IF(OR($A194="",(COUNTIF('Clarice'!$B$6:$B$300,$A194)+COUNTIF('Luisa'!$B$6:$B$300,$A194)+COUNTIF('Lui'!$B$6:$B$300,$A194)+COUNTIF('Thaís'!$B$6:$B$300,$A194)+COUNTIF('Daniel'!$B$6:$B$300,$A194)+COUNTIF('Fernando'!$B$6:$B$300,$A194)+COUNTIF('Stephanie'!$B$6:$B$300,$A194)+COUNTIF('Fox'!$B$6:$B$300,$A194)+COUNTIF('Bruna'!$B$6:$B$300,$A194)+COUNTIF('Stella'!$B$6:$B$300,$A194)+COUNTIF('Igor'!$B$6:$B$300,$A194))=0),"",(COUNTIFS('Clarice'!$B$6:$B$300,$A194,'Clarice'!$F$6:$F$300,"Concluído")+COUNTIFS('Luisa'!$B$6:$B$300,$A194,'Luisa'!$F$6:$F$300,"Concluído")+COUNTIFS('Lui'!$B$6:$B$300,$A194,'Lui'!$F$6:$F$300,"Concluído")+COUNTIFS('Thaís'!$B$6:$B$300,$A194,'Thaís'!$F$6:$F$300,"Concluído")+COUNTIFS('Daniel'!$B$6:$B$300,$A194,'Daniel'!$F$6:$F$300,"Concluído")+COUNTIFS('Fernando'!$B$6:$B$300,$A194,'Fernando'!$F$6:$F$300,"Concluído")+COUNTIFS('Stephanie'!$B$6:$B$300,$A194,'Stephanie'!$F$6:$F$300,"Concluído")+COUNTIFS('Fox'!$B$6:$B$300,$A194,'Fox'!$F$6:$F$300,"Concluído")+COUNTIFS('Bruna'!$B$6:$B$300,$A194,'Bruna'!$F$6:$F$300,"Concluído")+COUNTIFS('Stella'!$B$6:$B$300,$A194,'Stella'!$F$6:$F$300,"Concluído")+COUNTIFS('Igor'!$B$6:$B$300,$A194,'Igor'!$F$6:$F$300,"Concluído"))&amp;" / "&amp;(COUNTIF('Clarice'!$B$6:$B$300,$A194)+COUNTIF('Luisa'!$B$6:$B$300,$A194)+COUNTIF('Lui'!$B$6:$B$300,$A194)+COUNTIF('Thaís'!$B$6:$B$300,$A194)+COUNTIF('Daniel'!$B$6:$B$300,$A194)+COUNTIF('Fernando'!$B$6:$B$300,$A194)+COUNTIF('Stephanie'!$B$6:$B$300,$A194)+COUNTIF('Fox'!$B$6:$B$300,$A194)+COUNTIF('Bruna'!$B$6:$B$300,$A194)+COUNTIF('Stella'!$B$6:$B$300,$A194)+COUNTIF('Igor'!$B$6:$B$300,$A194)))</f>
        <v/>
      </c>
      <c r="K194" s="18" t="n">
        <v>46160</v>
      </c>
      <c r="L194" s="18" t="n">
        <v>46164</v>
      </c>
      <c r="M194" s="18" t="n">
        <v>46160</v>
      </c>
      <c r="N194" s="18" t="n">
        <v>46213</v>
      </c>
      <c r="O194" s="19" t="n"/>
      <c r="P194" s="20">
        <f>IF($A194="","",IF(M194&lt;&gt;"",M194,IF(K194&lt;&gt;"",K194,"")))</f>
        <v/>
      </c>
      <c r="Q194" s="20">
        <f>IF($A194="","",IF(N194&lt;&gt;"",N194,IF(L194&lt;&gt;"",L194,"")))</f>
        <v/>
      </c>
      <c r="R194" s="15" t="n"/>
      <c r="S194" s="16">
        <f t="array" ref="S194">IF($A194="","",_xlfn.TEXTJOIN(CHAR(10),TRUE,IF('Clarice'!$B$6:$B$300=$A194,"Clarice"&amp;IF('Clarice'!$E$6:$E$300="",""," : "&amp;'Clarice'!$E$6:$E$300)&amp;" ["&amp;'Clarice'!$F$6:$F$300&amp;"]",""),IF('Luisa'!$B$6:$B$300=$A194,"Luisa"&amp;IF('Luisa'!$E$6:$E$300="",""," : "&amp;'Luisa'!$E$6:$E$300)&amp;" ["&amp;'Luisa'!$F$6:$F$300&amp;"]",""),IF('Lui'!$B$6:$B$300=$A194,"Lui"&amp;IF('Lui'!$E$6:$E$300="",""," : "&amp;'Lui'!$E$6:$E$300)&amp;" ["&amp;'Lui'!$F$6:$F$300&amp;"]",""),IF('Thaís'!$B$6:$B$300=$A194,"Thaís"&amp;IF('Thaís'!$E$6:$E$300="",""," : "&amp;'Thaís'!$E$6:$E$300)&amp;" ["&amp;'Thaís'!$F$6:$F$300&amp;"]",""),IF('Daniel'!$B$6:$B$300=$A194,"Daniel"&amp;IF('Daniel'!$E$6:$E$300="",""," : "&amp;'Daniel'!$E$6:$E$300)&amp;" ["&amp;'Daniel'!$F$6:$F$300&amp;"]",""),IF('Fernando'!$B$6:$B$300=$A194,"Fernando"&amp;IF('Fernando'!$E$6:$E$300="",""," : "&amp;'Fernando'!$E$6:$E$300)&amp;" ["&amp;'Fernando'!$F$6:$F$300&amp;"]",""),IF('Stephanie'!$B$6:$B$300=$A194,"Stephanie"&amp;IF('Stephanie'!$E$6:$E$300="",""," : "&amp;'Stephanie'!$E$6:$E$300)&amp;" ["&amp;'Stephanie'!$F$6:$F$300&amp;"]",""),IF('Fox'!$B$6:$B$300=$A194,"Fox"&amp;IF('Fox'!$E$6:$E$300="",""," : "&amp;'Fox'!$E$6:$E$300)&amp;" ["&amp;'Fox'!$F$6:$F$300&amp;"]",""),IF('Bruna'!$B$6:$B$300=$A194,"Bruna"&amp;IF('Bruna'!$E$6:$E$300="",""," : "&amp;'Bruna'!$E$6:$E$300)&amp;" ["&amp;'Bruna'!$F$6:$F$300&amp;"]",""),IF('Stella'!$B$6:$B$300=$A194,"Stella"&amp;IF('Stella'!$E$6:$E$300="",""," : "&amp;'Stella'!$E$6:$E$300)&amp;" ["&amp;'Stella'!$F$6:$F$300&amp;"]",""),IF('Igor'!$B$6:$B$300=$A194,"Igor"&amp;IF('Igor'!$E$6:$E$300="",""," : "&amp;'Igor'!$E$6:$E$300)&amp;" ["&amp;'Igor'!$F$6:$F$300&amp;"]","")))</f>
        <v/>
      </c>
    </row>
    <row r="195" ht="15.5" customHeight="1">
      <c r="A195" s="13" t="inlineStr">
        <is>
          <t>SBM-026</t>
        </is>
      </c>
      <c r="B195" s="14" t="inlineStr">
        <is>
          <t>Etapa 2: Construção das métricas | Atividade 7: Operacionalização das métricas | Atividade 8: Aplicação das métricas</t>
        </is>
      </c>
      <c r="C195" s="14" t="inlineStr">
        <is>
          <t>Aplicação da SBM</t>
        </is>
      </c>
      <c r="D195" s="14" t="inlineStr">
        <is>
          <t>UTGCA</t>
        </is>
      </c>
      <c r="E195" s="15" t="inlineStr">
        <is>
          <t>Apresentar e consolidar os resultados internamente</t>
        </is>
      </c>
      <c r="F195" s="13" t="inlineStr">
        <is>
          <t>Luisa</t>
        </is>
      </c>
      <c r="G195" s="16">
        <f>IF($A195="","",_xlfn.TEXTJOIN("; ",TRUE,IF(COUNTIF('Clarice'!$B$6:$B$300,$A195)&gt;0,"Clarice",""),IF(COUNTIF('Luisa'!$B$6:$B$300,$A195)&gt;0,"Luisa",""),IF(COUNTIF('Lui'!$B$6:$B$300,$A195)&gt;0,"Lui",""),IF(COUNTIF('Thaís'!$B$6:$B$300,$A195)&gt;0,"Thaís",""),IF(COUNTIF('Daniel'!$B$6:$B$300,$A195)&gt;0,"Daniel",""),IF(COUNTIF('Fernando'!$B$6:$B$300,$A195)&gt;0,"Fernando",""),IF(COUNTIF('Stephanie'!$B$6:$B$300,$A195)&gt;0,"Stephanie",""),IF(COUNTIF('Fox'!$B$6:$B$300,$A195)&gt;0,"Fox",""),IF(COUNTIF('Bruna'!$B$6:$B$300,$A195)&gt;0,"Bruna",""),IF(COUNTIF('Stella'!$B$6:$B$300,$A195)&gt;0,"Stella",""),IF(COUNTIF('Igor'!$B$6:$B$300,$A195)&gt;0,"Igor","")))</f>
        <v/>
      </c>
      <c r="H195" s="13" t="n"/>
      <c r="I195" s="13" t="inlineStr">
        <is>
          <t>Não iniciado</t>
        </is>
      </c>
      <c r="J195" s="17">
        <f>IF(OR($A195="",(COUNTIF('Clarice'!$B$6:$B$300,$A195)+COUNTIF('Luisa'!$B$6:$B$300,$A195)+COUNTIF('Lui'!$B$6:$B$300,$A195)+COUNTIF('Thaís'!$B$6:$B$300,$A195)+COUNTIF('Daniel'!$B$6:$B$300,$A195)+COUNTIF('Fernando'!$B$6:$B$300,$A195)+COUNTIF('Stephanie'!$B$6:$B$300,$A195)+COUNTIF('Fox'!$B$6:$B$300,$A195)+COUNTIF('Bruna'!$B$6:$B$300,$A195)+COUNTIF('Stella'!$B$6:$B$300,$A195)+COUNTIF('Igor'!$B$6:$B$300,$A195))=0),"",(COUNTIFS('Clarice'!$B$6:$B$300,$A195,'Clarice'!$F$6:$F$300,"Concluído")+COUNTIFS('Luisa'!$B$6:$B$300,$A195,'Luisa'!$F$6:$F$300,"Concluído")+COUNTIFS('Lui'!$B$6:$B$300,$A195,'Lui'!$F$6:$F$300,"Concluído")+COUNTIFS('Thaís'!$B$6:$B$300,$A195,'Thaís'!$F$6:$F$300,"Concluído")+COUNTIFS('Daniel'!$B$6:$B$300,$A195,'Daniel'!$F$6:$F$300,"Concluído")+COUNTIFS('Fernando'!$B$6:$B$300,$A195,'Fernando'!$F$6:$F$300,"Concluído")+COUNTIFS('Stephanie'!$B$6:$B$300,$A195,'Stephanie'!$F$6:$F$300,"Concluído")+COUNTIFS('Fox'!$B$6:$B$300,$A195,'Fox'!$F$6:$F$300,"Concluído")+COUNTIFS('Bruna'!$B$6:$B$300,$A195,'Bruna'!$F$6:$F$300,"Concluído")+COUNTIFS('Stella'!$B$6:$B$300,$A195,'Stella'!$F$6:$F$300,"Concluído")+COUNTIFS('Igor'!$B$6:$B$300,$A195,'Igor'!$F$6:$F$300,"Concluído"))&amp;" / "&amp;(COUNTIF('Clarice'!$B$6:$B$300,$A195)+COUNTIF('Luisa'!$B$6:$B$300,$A195)+COUNTIF('Lui'!$B$6:$B$300,$A195)+COUNTIF('Thaís'!$B$6:$B$300,$A195)+COUNTIF('Daniel'!$B$6:$B$300,$A195)+COUNTIF('Fernando'!$B$6:$B$300,$A195)+COUNTIF('Stephanie'!$B$6:$B$300,$A195)+COUNTIF('Fox'!$B$6:$B$300,$A195)+COUNTIF('Bruna'!$B$6:$B$300,$A195)+COUNTIF('Stella'!$B$6:$B$300,$A195)+COUNTIF('Igor'!$B$6:$B$300,$A195)))</f>
        <v/>
      </c>
      <c r="K195" s="18" t="n">
        <v>46167</v>
      </c>
      <c r="L195" s="18" t="n">
        <v>46171</v>
      </c>
      <c r="M195" s="18" t="n">
        <v>46167</v>
      </c>
      <c r="N195" s="18" t="n">
        <v>46220</v>
      </c>
      <c r="O195" s="19" t="n"/>
      <c r="P195" s="20">
        <f>IF($A195="","",IF(M195&lt;&gt;"",M195,IF(K195&lt;&gt;"",K195,"")))</f>
        <v/>
      </c>
      <c r="Q195" s="20">
        <f>IF($A195="","",IF(N195&lt;&gt;"",N195,IF(L195&lt;&gt;"",L195,"")))</f>
        <v/>
      </c>
      <c r="R195" s="15" t="n"/>
      <c r="S195" s="16">
        <f t="array" ref="S195">IF($A195="","",_xlfn.TEXTJOIN(CHAR(10),TRUE,IF('Clarice'!$B$6:$B$300=$A195,"Clarice"&amp;IF('Clarice'!$E$6:$E$300="",""," : "&amp;'Clarice'!$E$6:$E$300)&amp;" ["&amp;'Clarice'!$F$6:$F$300&amp;"]",""),IF('Luisa'!$B$6:$B$300=$A195,"Luisa"&amp;IF('Luisa'!$E$6:$E$300="",""," : "&amp;'Luisa'!$E$6:$E$300)&amp;" ["&amp;'Luisa'!$F$6:$F$300&amp;"]",""),IF('Lui'!$B$6:$B$300=$A195,"Lui"&amp;IF('Lui'!$E$6:$E$300="",""," : "&amp;'Lui'!$E$6:$E$300)&amp;" ["&amp;'Lui'!$F$6:$F$300&amp;"]",""),IF('Thaís'!$B$6:$B$300=$A195,"Thaís"&amp;IF('Thaís'!$E$6:$E$300="",""," : "&amp;'Thaís'!$E$6:$E$300)&amp;" ["&amp;'Thaís'!$F$6:$F$300&amp;"]",""),IF('Daniel'!$B$6:$B$300=$A195,"Daniel"&amp;IF('Daniel'!$E$6:$E$300="",""," : "&amp;'Daniel'!$E$6:$E$300)&amp;" ["&amp;'Daniel'!$F$6:$F$300&amp;"]",""),IF('Fernando'!$B$6:$B$300=$A195,"Fernando"&amp;IF('Fernando'!$E$6:$E$300="",""," : "&amp;'Fernando'!$E$6:$E$300)&amp;" ["&amp;'Fernando'!$F$6:$F$300&amp;"]",""),IF('Stephanie'!$B$6:$B$300=$A195,"Stephanie"&amp;IF('Stephanie'!$E$6:$E$300="",""," : "&amp;'Stephanie'!$E$6:$E$300)&amp;" ["&amp;'Stephanie'!$F$6:$F$300&amp;"]",""),IF('Fox'!$B$6:$B$300=$A195,"Fox"&amp;IF('Fox'!$E$6:$E$300="",""," : "&amp;'Fox'!$E$6:$E$300)&amp;" ["&amp;'Fox'!$F$6:$F$300&amp;"]",""),IF('Bruna'!$B$6:$B$300=$A195,"Bruna"&amp;IF('Bruna'!$E$6:$E$300="",""," : "&amp;'Bruna'!$E$6:$E$300)&amp;" ["&amp;'Bruna'!$F$6:$F$300&amp;"]",""),IF('Stella'!$B$6:$B$300=$A195,"Stella"&amp;IF('Stella'!$E$6:$E$300="",""," : "&amp;'Stella'!$E$6:$E$300)&amp;" ["&amp;'Stella'!$F$6:$F$300&amp;"]",""),IF('Igor'!$B$6:$B$300=$A195,"Igor"&amp;IF('Igor'!$E$6:$E$300="",""," : "&amp;'Igor'!$E$6:$E$300)&amp;" ["&amp;'Igor'!$F$6:$F$300&amp;"]","")))</f>
        <v/>
      </c>
    </row>
    <row r="196" ht="28" customHeight="1">
      <c r="A196" s="13" t="inlineStr">
        <is>
          <t>SBM-027</t>
        </is>
      </c>
      <c r="B196" s="14" t="inlineStr">
        <is>
          <t>Etapa 2: Construção das métricas | Atividade 7: Operacionalização das métricas | Atividade 8: Aplicação das métricas</t>
        </is>
      </c>
      <c r="C196" s="14" t="inlineStr">
        <is>
          <t>Aplicação da SBM</t>
        </is>
      </c>
      <c r="D196" s="14" t="inlineStr">
        <is>
          <t>UTGCA</t>
        </is>
      </c>
      <c r="E196" s="15" t="inlineStr">
        <is>
          <t>Identificar lacunas de dados para recomendar para a Petrobras</t>
        </is>
      </c>
      <c r="F196" s="13" t="inlineStr">
        <is>
          <t>Luisa</t>
        </is>
      </c>
      <c r="G196" s="16">
        <f>IF($A196="","",_xlfn.TEXTJOIN("; ",TRUE,IF(COUNTIF('Clarice'!$B$6:$B$300,$A196)&gt;0,"Clarice",""),IF(COUNTIF('Luisa'!$B$6:$B$300,$A196)&gt;0,"Luisa",""),IF(COUNTIF('Lui'!$B$6:$B$300,$A196)&gt;0,"Lui",""),IF(COUNTIF('Thaís'!$B$6:$B$300,$A196)&gt;0,"Thaís",""),IF(COUNTIF('Daniel'!$B$6:$B$300,$A196)&gt;0,"Daniel",""),IF(COUNTIF('Fernando'!$B$6:$B$300,$A196)&gt;0,"Fernando",""),IF(COUNTIF('Stephanie'!$B$6:$B$300,$A196)&gt;0,"Stephanie",""),IF(COUNTIF('Fox'!$B$6:$B$300,$A196)&gt;0,"Fox",""),IF(COUNTIF('Bruna'!$B$6:$B$300,$A196)&gt;0,"Bruna",""),IF(COUNTIF('Stella'!$B$6:$B$300,$A196)&gt;0,"Stella",""),IF(COUNTIF('Igor'!$B$6:$B$300,$A196)&gt;0,"Igor","")))</f>
        <v/>
      </c>
      <c r="H196" s="13" t="n"/>
      <c r="I196" s="13" t="inlineStr">
        <is>
          <t>Em andamento</t>
        </is>
      </c>
      <c r="J196" s="17">
        <f>IF(OR($A196="",(COUNTIF('Clarice'!$B$6:$B$300,$A196)+COUNTIF('Luisa'!$B$6:$B$300,$A196)+COUNTIF('Lui'!$B$6:$B$300,$A196)+COUNTIF('Thaís'!$B$6:$B$300,$A196)+COUNTIF('Daniel'!$B$6:$B$300,$A196)+COUNTIF('Fernando'!$B$6:$B$300,$A196)+COUNTIF('Stephanie'!$B$6:$B$300,$A196)+COUNTIF('Fox'!$B$6:$B$300,$A196)+COUNTIF('Bruna'!$B$6:$B$300,$A196)+COUNTIF('Stella'!$B$6:$B$300,$A196)+COUNTIF('Igor'!$B$6:$B$300,$A196))=0),"",(COUNTIFS('Clarice'!$B$6:$B$300,$A196,'Clarice'!$F$6:$F$300,"Concluído")+COUNTIFS('Luisa'!$B$6:$B$300,$A196,'Luisa'!$F$6:$F$300,"Concluído")+COUNTIFS('Lui'!$B$6:$B$300,$A196,'Lui'!$F$6:$F$300,"Concluído")+COUNTIFS('Thaís'!$B$6:$B$300,$A196,'Thaís'!$F$6:$F$300,"Concluído")+COUNTIFS('Daniel'!$B$6:$B$300,$A196,'Daniel'!$F$6:$F$300,"Concluído")+COUNTIFS('Fernando'!$B$6:$B$300,$A196,'Fernando'!$F$6:$F$300,"Concluído")+COUNTIFS('Stephanie'!$B$6:$B$300,$A196,'Stephanie'!$F$6:$F$300,"Concluído")+COUNTIFS('Fox'!$B$6:$B$300,$A196,'Fox'!$F$6:$F$300,"Concluído")+COUNTIFS('Bruna'!$B$6:$B$300,$A196,'Bruna'!$F$6:$F$300,"Concluído")+COUNTIFS('Stella'!$B$6:$B$300,$A196,'Stella'!$F$6:$F$300,"Concluído")+COUNTIFS('Igor'!$B$6:$B$300,$A196,'Igor'!$F$6:$F$300,"Concluído"))&amp;" / "&amp;(COUNTIF('Clarice'!$B$6:$B$300,$A196)+COUNTIF('Luisa'!$B$6:$B$300,$A196)+COUNTIF('Lui'!$B$6:$B$300,$A196)+COUNTIF('Thaís'!$B$6:$B$300,$A196)+COUNTIF('Daniel'!$B$6:$B$300,$A196)+COUNTIF('Fernando'!$B$6:$B$300,$A196)+COUNTIF('Stephanie'!$B$6:$B$300,$A196)+COUNTIF('Fox'!$B$6:$B$300,$A196)+COUNTIF('Bruna'!$B$6:$B$300,$A196)+COUNTIF('Stella'!$B$6:$B$300,$A196)+COUNTIF('Igor'!$B$6:$B$300,$A196)))</f>
        <v/>
      </c>
      <c r="K196" s="18" t="n">
        <v>46167</v>
      </c>
      <c r="L196" s="18" t="n">
        <v>46171</v>
      </c>
      <c r="M196" s="18" t="n">
        <v>46167</v>
      </c>
      <c r="N196" s="18" t="n">
        <v>46220</v>
      </c>
      <c r="O196" s="19" t="n"/>
      <c r="P196" s="20">
        <f>IF($A196="","",IF(M196&lt;&gt;"",M196,IF(K196&lt;&gt;"",K196,"")))</f>
        <v/>
      </c>
      <c r="Q196" s="20">
        <f>IF($A196="","",IF(N196&lt;&gt;"",N196,IF(L196&lt;&gt;"",L196,"")))</f>
        <v/>
      </c>
      <c r="R196" s="15" t="n"/>
      <c r="S196" s="16">
        <f t="array" ref="S196">IF($A196="","",_xlfn.TEXTJOIN(CHAR(10),TRUE,IF('Clarice'!$B$6:$B$300=$A196,"Clarice"&amp;IF('Clarice'!$E$6:$E$300="",""," : "&amp;'Clarice'!$E$6:$E$300)&amp;" ["&amp;'Clarice'!$F$6:$F$300&amp;"]",""),IF('Luisa'!$B$6:$B$300=$A196,"Luisa"&amp;IF('Luisa'!$E$6:$E$300="",""," : "&amp;'Luisa'!$E$6:$E$300)&amp;" ["&amp;'Luisa'!$F$6:$F$300&amp;"]",""),IF('Lui'!$B$6:$B$300=$A196,"Lui"&amp;IF('Lui'!$E$6:$E$300="",""," : "&amp;'Lui'!$E$6:$E$300)&amp;" ["&amp;'Lui'!$F$6:$F$300&amp;"]",""),IF('Thaís'!$B$6:$B$300=$A196,"Thaís"&amp;IF('Thaís'!$E$6:$E$300="",""," : "&amp;'Thaís'!$E$6:$E$300)&amp;" ["&amp;'Thaís'!$F$6:$F$300&amp;"]",""),IF('Daniel'!$B$6:$B$300=$A196,"Daniel"&amp;IF('Daniel'!$E$6:$E$300="",""," : "&amp;'Daniel'!$E$6:$E$300)&amp;" ["&amp;'Daniel'!$F$6:$F$300&amp;"]",""),IF('Fernando'!$B$6:$B$300=$A196,"Fernando"&amp;IF('Fernando'!$E$6:$E$300="",""," : "&amp;'Fernando'!$E$6:$E$300)&amp;" ["&amp;'Fernando'!$F$6:$F$300&amp;"]",""),IF('Stephanie'!$B$6:$B$300=$A196,"Stephanie"&amp;IF('Stephanie'!$E$6:$E$300="",""," : "&amp;'Stephanie'!$E$6:$E$300)&amp;" ["&amp;'Stephanie'!$F$6:$F$300&amp;"]",""),IF('Fox'!$B$6:$B$300=$A196,"Fox"&amp;IF('Fox'!$E$6:$E$300="",""," : "&amp;'Fox'!$E$6:$E$300)&amp;" ["&amp;'Fox'!$F$6:$F$300&amp;"]",""),IF('Bruna'!$B$6:$B$300=$A196,"Bruna"&amp;IF('Bruna'!$E$6:$E$300="",""," : "&amp;'Bruna'!$E$6:$E$300)&amp;" ["&amp;'Bruna'!$F$6:$F$300&amp;"]",""),IF('Stella'!$B$6:$B$300=$A196,"Stella"&amp;IF('Stella'!$E$6:$E$300="",""," : "&amp;'Stella'!$E$6:$E$300)&amp;" ["&amp;'Stella'!$F$6:$F$300&amp;"]",""),IF('Igor'!$B$6:$B$300=$A196,"Igor"&amp;IF('Igor'!$E$6:$E$300="",""," : "&amp;'Igor'!$E$6:$E$300)&amp;" ["&amp;'Igor'!$F$6:$F$300&amp;"]","")))</f>
        <v/>
      </c>
    </row>
    <row r="197" ht="53" customHeight="1">
      <c r="A197" s="13" t="inlineStr">
        <is>
          <t>SBM-028</t>
        </is>
      </c>
      <c r="B197" s="14" t="inlineStr">
        <is>
          <t>Etapa 2: Construção das métricas | Atividade 7: Operacionalização das métricas | Atividade 8: Aplicação das métricas</t>
        </is>
      </c>
      <c r="C197" s="14" t="inlineStr">
        <is>
          <t>Aplicação da SBM</t>
        </is>
      </c>
      <c r="D197" s="14" t="inlineStr">
        <is>
          <t>UTGCA</t>
        </is>
      </c>
      <c r="E197" s="15" t="inlineStr">
        <is>
          <t>Realizar as atividades pré-campo</t>
        </is>
      </c>
      <c r="F197" s="13" t="inlineStr">
        <is>
          <t>Luisa</t>
        </is>
      </c>
      <c r="G197" s="16">
        <f>IF($A197="","",_xlfn.TEXTJOIN("; ",TRUE,IF(COUNTIF('Clarice'!$B$6:$B$300,$A197)&gt;0,"Clarice",""),IF(COUNTIF('Luisa'!$B$6:$B$300,$A197)&gt;0,"Luisa",""),IF(COUNTIF('Lui'!$B$6:$B$300,$A197)&gt;0,"Lui",""),IF(COUNTIF('Thaís'!$B$6:$B$300,$A197)&gt;0,"Thaís",""),IF(COUNTIF('Daniel'!$B$6:$B$300,$A197)&gt;0,"Daniel",""),IF(COUNTIF('Fernando'!$B$6:$B$300,$A197)&gt;0,"Fernando",""),IF(COUNTIF('Stephanie'!$B$6:$B$300,$A197)&gt;0,"Stephanie",""),IF(COUNTIF('Fox'!$B$6:$B$300,$A197)&gt;0,"Fox",""),IF(COUNTIF('Bruna'!$B$6:$B$300,$A197)&gt;0,"Bruna",""),IF(COUNTIF('Stella'!$B$6:$B$300,$A197)&gt;0,"Stella",""),IF(COUNTIF('Igor'!$B$6:$B$300,$A197)&gt;0,"Igor","")))</f>
        <v/>
      </c>
      <c r="H197" s="13" t="n"/>
      <c r="I197" s="13" t="inlineStr">
        <is>
          <t>Em andamento</t>
        </is>
      </c>
      <c r="J197" s="17">
        <f>IF(OR($A197="",(COUNTIF('Clarice'!$B$6:$B$300,$A197)+COUNTIF('Luisa'!$B$6:$B$300,$A197)+COUNTIF('Lui'!$B$6:$B$300,$A197)+COUNTIF('Thaís'!$B$6:$B$300,$A197)+COUNTIF('Daniel'!$B$6:$B$300,$A197)+COUNTIF('Fernando'!$B$6:$B$300,$A197)+COUNTIF('Stephanie'!$B$6:$B$300,$A197)+COUNTIF('Fox'!$B$6:$B$300,$A197)+COUNTIF('Bruna'!$B$6:$B$300,$A197)+COUNTIF('Stella'!$B$6:$B$300,$A197)+COUNTIF('Igor'!$B$6:$B$300,$A197))=0),"",(COUNTIFS('Clarice'!$B$6:$B$300,$A197,'Clarice'!$F$6:$F$300,"Concluído")+COUNTIFS('Luisa'!$B$6:$B$300,$A197,'Luisa'!$F$6:$F$300,"Concluído")+COUNTIFS('Lui'!$B$6:$B$300,$A197,'Lui'!$F$6:$F$300,"Concluído")+COUNTIFS('Thaís'!$B$6:$B$300,$A197,'Thaís'!$F$6:$F$300,"Concluído")+COUNTIFS('Daniel'!$B$6:$B$300,$A197,'Daniel'!$F$6:$F$300,"Concluído")+COUNTIFS('Fernando'!$B$6:$B$300,$A197,'Fernando'!$F$6:$F$300,"Concluído")+COUNTIFS('Stephanie'!$B$6:$B$300,$A197,'Stephanie'!$F$6:$F$300,"Concluído")+COUNTIFS('Fox'!$B$6:$B$300,$A197,'Fox'!$F$6:$F$300,"Concluído")+COUNTIFS('Bruna'!$B$6:$B$300,$A197,'Bruna'!$F$6:$F$300,"Concluído")+COUNTIFS('Stella'!$B$6:$B$300,$A197,'Stella'!$F$6:$F$300,"Concluído")+COUNTIFS('Igor'!$B$6:$B$300,$A197,'Igor'!$F$6:$F$300,"Concluído"))&amp;" / "&amp;(COUNTIF('Clarice'!$B$6:$B$300,$A197)+COUNTIF('Luisa'!$B$6:$B$300,$A197)+COUNTIF('Lui'!$B$6:$B$300,$A197)+COUNTIF('Thaís'!$B$6:$B$300,$A197)+COUNTIF('Daniel'!$B$6:$B$300,$A197)+COUNTIF('Fernando'!$B$6:$B$300,$A197)+COUNTIF('Stephanie'!$B$6:$B$300,$A197)+COUNTIF('Fox'!$B$6:$B$300,$A197)+COUNTIF('Bruna'!$B$6:$B$300,$A197)+COUNTIF('Stella'!$B$6:$B$300,$A197)+COUNTIF('Igor'!$B$6:$B$300,$A197)))</f>
        <v/>
      </c>
      <c r="K197" s="18" t="n">
        <v>46216</v>
      </c>
      <c r="L197" s="18" t="n">
        <v>46248</v>
      </c>
      <c r="M197" s="19" t="n"/>
      <c r="N197" s="19" t="n"/>
      <c r="O197" s="19" t="n"/>
      <c r="P197" s="20">
        <f>IF($A197="","",IF(M197&lt;&gt;"",M197,IF(K197&lt;&gt;"",K197,"")))</f>
        <v/>
      </c>
      <c r="Q197" s="20">
        <f>IF($A197="","",IF(N197&lt;&gt;"",N197,IF(L197&lt;&gt;"",L197,"")))</f>
        <v/>
      </c>
      <c r="R197" s="15" t="inlineStr">
        <is>
          <t>Ex: delineamento amostral, alinhamento com Petrobras, compra de materiais, preparação de documentos e materiais)</t>
        </is>
      </c>
      <c r="S197" s="16">
        <f t="array" ref="S197">IF($A197="","",_xlfn.TEXTJOIN(CHAR(10),TRUE,IF('Clarice'!$B$6:$B$300=$A197,"Clarice"&amp;IF('Clarice'!$E$6:$E$300="",""," : "&amp;'Clarice'!$E$6:$E$300)&amp;" ["&amp;'Clarice'!$F$6:$F$300&amp;"]",""),IF('Luisa'!$B$6:$B$300=$A197,"Luisa"&amp;IF('Luisa'!$E$6:$E$300="",""," : "&amp;'Luisa'!$E$6:$E$300)&amp;" ["&amp;'Luisa'!$F$6:$F$300&amp;"]",""),IF('Lui'!$B$6:$B$300=$A197,"Lui"&amp;IF('Lui'!$E$6:$E$300="",""," : "&amp;'Lui'!$E$6:$E$300)&amp;" ["&amp;'Lui'!$F$6:$F$300&amp;"]",""),IF('Thaís'!$B$6:$B$300=$A197,"Thaís"&amp;IF('Thaís'!$E$6:$E$300="",""," : "&amp;'Thaís'!$E$6:$E$300)&amp;" ["&amp;'Thaís'!$F$6:$F$300&amp;"]",""),IF('Daniel'!$B$6:$B$300=$A197,"Daniel"&amp;IF('Daniel'!$E$6:$E$300="",""," : "&amp;'Daniel'!$E$6:$E$300)&amp;" ["&amp;'Daniel'!$F$6:$F$300&amp;"]",""),IF('Fernando'!$B$6:$B$300=$A197,"Fernando"&amp;IF('Fernando'!$E$6:$E$300="",""," : "&amp;'Fernando'!$E$6:$E$300)&amp;" ["&amp;'Fernando'!$F$6:$F$300&amp;"]",""),IF('Stephanie'!$B$6:$B$300=$A197,"Stephanie"&amp;IF('Stephanie'!$E$6:$E$300="",""," : "&amp;'Stephanie'!$E$6:$E$300)&amp;" ["&amp;'Stephanie'!$F$6:$F$300&amp;"]",""),IF('Fox'!$B$6:$B$300=$A197,"Fox"&amp;IF('Fox'!$E$6:$E$300="",""," : "&amp;'Fox'!$E$6:$E$300)&amp;" ["&amp;'Fox'!$F$6:$F$300&amp;"]",""),IF('Bruna'!$B$6:$B$300=$A197,"Bruna"&amp;IF('Bruna'!$E$6:$E$300="",""," : "&amp;'Bruna'!$E$6:$E$300)&amp;" ["&amp;'Bruna'!$F$6:$F$300&amp;"]",""),IF('Stella'!$B$6:$B$300=$A197,"Stella"&amp;IF('Stella'!$E$6:$E$300="",""," : "&amp;'Stella'!$E$6:$E$300)&amp;" ["&amp;'Stella'!$F$6:$F$300&amp;"]",""),IF('Igor'!$B$6:$B$300=$A197,"Igor"&amp;IF('Igor'!$E$6:$E$300="",""," : "&amp;'Igor'!$E$6:$E$300)&amp;" ["&amp;'Igor'!$F$6:$F$300&amp;"]","")))</f>
        <v/>
      </c>
    </row>
    <row r="198" ht="40.5" customHeight="1">
      <c r="A198" s="13" t="inlineStr">
        <is>
          <t>SBM-029</t>
        </is>
      </c>
      <c r="B198" s="14" t="inlineStr">
        <is>
          <t>Etapa 2: Construção das métricas | Atividade 7: Operacionalização das métricas | Atividade 8: Aplicação das métricas</t>
        </is>
      </c>
      <c r="C198" s="14" t="inlineStr">
        <is>
          <t>Aplicação da SBM</t>
        </is>
      </c>
      <c r="D198" s="14" t="inlineStr">
        <is>
          <t>UTGCA</t>
        </is>
      </c>
      <c r="E198" s="15" t="inlineStr">
        <is>
          <t>Realizar o campo</t>
        </is>
      </c>
      <c r="F198" s="13" t="inlineStr">
        <is>
          <t>Luisa</t>
        </is>
      </c>
      <c r="G198" s="16">
        <f>IF($A198="","",_xlfn.TEXTJOIN("; ",TRUE,IF(COUNTIF('Clarice'!$B$6:$B$300,$A198)&gt;0,"Clarice",""),IF(COUNTIF('Luisa'!$B$6:$B$300,$A198)&gt;0,"Luisa",""),IF(COUNTIF('Lui'!$B$6:$B$300,$A198)&gt;0,"Lui",""),IF(COUNTIF('Thaís'!$B$6:$B$300,$A198)&gt;0,"Thaís",""),IF(COUNTIF('Daniel'!$B$6:$B$300,$A198)&gt;0,"Daniel",""),IF(COUNTIF('Fernando'!$B$6:$B$300,$A198)&gt;0,"Fernando",""),IF(COUNTIF('Stephanie'!$B$6:$B$300,$A198)&gt;0,"Stephanie",""),IF(COUNTIF('Fox'!$B$6:$B$300,$A198)&gt;0,"Fox",""),IF(COUNTIF('Bruna'!$B$6:$B$300,$A198)&gt;0,"Bruna",""),IF(COUNTIF('Stella'!$B$6:$B$300,$A198)&gt;0,"Stella",""),IF(COUNTIF('Igor'!$B$6:$B$300,$A198)&gt;0,"Igor","")))</f>
        <v/>
      </c>
      <c r="H198" s="13" t="n"/>
      <c r="I198" s="13" t="inlineStr">
        <is>
          <t>Não iniciado</t>
        </is>
      </c>
      <c r="J198" s="17">
        <f>IF(OR($A198="",(COUNTIF('Clarice'!$B$6:$B$300,$A198)+COUNTIF('Luisa'!$B$6:$B$300,$A198)+COUNTIF('Lui'!$B$6:$B$300,$A198)+COUNTIF('Thaís'!$B$6:$B$300,$A198)+COUNTIF('Daniel'!$B$6:$B$300,$A198)+COUNTIF('Fernando'!$B$6:$B$300,$A198)+COUNTIF('Stephanie'!$B$6:$B$300,$A198)+COUNTIF('Fox'!$B$6:$B$300,$A198)+COUNTIF('Bruna'!$B$6:$B$300,$A198)+COUNTIF('Stella'!$B$6:$B$300,$A198)+COUNTIF('Igor'!$B$6:$B$300,$A198))=0),"",(COUNTIFS('Clarice'!$B$6:$B$300,$A198,'Clarice'!$F$6:$F$300,"Concluído")+COUNTIFS('Luisa'!$B$6:$B$300,$A198,'Luisa'!$F$6:$F$300,"Concluído")+COUNTIFS('Lui'!$B$6:$B$300,$A198,'Lui'!$F$6:$F$300,"Concluído")+COUNTIFS('Thaís'!$B$6:$B$300,$A198,'Thaís'!$F$6:$F$300,"Concluído")+COUNTIFS('Daniel'!$B$6:$B$300,$A198,'Daniel'!$F$6:$F$300,"Concluído")+COUNTIFS('Fernando'!$B$6:$B$300,$A198,'Fernando'!$F$6:$F$300,"Concluído")+COUNTIFS('Stephanie'!$B$6:$B$300,$A198,'Stephanie'!$F$6:$F$300,"Concluído")+COUNTIFS('Fox'!$B$6:$B$300,$A198,'Fox'!$F$6:$F$300,"Concluído")+COUNTIFS('Bruna'!$B$6:$B$300,$A198,'Bruna'!$F$6:$F$300,"Concluído")+COUNTIFS('Stella'!$B$6:$B$300,$A198,'Stella'!$F$6:$F$300,"Concluído")+COUNTIFS('Igor'!$B$6:$B$300,$A198,'Igor'!$F$6:$F$300,"Concluído"))&amp;" / "&amp;(COUNTIF('Clarice'!$B$6:$B$300,$A198)+COUNTIF('Luisa'!$B$6:$B$300,$A198)+COUNTIF('Lui'!$B$6:$B$300,$A198)+COUNTIF('Thaís'!$B$6:$B$300,$A198)+COUNTIF('Daniel'!$B$6:$B$300,$A198)+COUNTIF('Fernando'!$B$6:$B$300,$A198)+COUNTIF('Stephanie'!$B$6:$B$300,$A198)+COUNTIF('Fox'!$B$6:$B$300,$A198)+COUNTIF('Bruna'!$B$6:$B$300,$A198)+COUNTIF('Stella'!$B$6:$B$300,$A198)+COUNTIF('Igor'!$B$6:$B$300,$A198)))</f>
        <v/>
      </c>
      <c r="K198" s="18" t="n">
        <v>46251</v>
      </c>
      <c r="L198" s="18" t="n">
        <v>46255</v>
      </c>
      <c r="M198" s="19" t="n"/>
      <c r="N198" s="19" t="n"/>
      <c r="O198" s="19" t="n"/>
      <c r="P198" s="20">
        <f>IF($A198="","",IF(M198&lt;&gt;"",M198,IF(K198&lt;&gt;"",K198,"")))</f>
        <v/>
      </c>
      <c r="Q198" s="20">
        <f>IF($A198="","",IF(N198&lt;&gt;"",N198,IF(L198&lt;&gt;"",L198,"")))</f>
        <v/>
      </c>
      <c r="R198" s="15" t="n"/>
      <c r="S198" s="16">
        <f t="array" ref="S198">IF($A198="","",_xlfn.TEXTJOIN(CHAR(10),TRUE,IF('Clarice'!$B$6:$B$300=$A198,"Clarice"&amp;IF('Clarice'!$E$6:$E$300="",""," : "&amp;'Clarice'!$E$6:$E$300)&amp;" ["&amp;'Clarice'!$F$6:$F$300&amp;"]",""),IF('Luisa'!$B$6:$B$300=$A198,"Luisa"&amp;IF('Luisa'!$E$6:$E$300="",""," : "&amp;'Luisa'!$E$6:$E$300)&amp;" ["&amp;'Luisa'!$F$6:$F$300&amp;"]",""),IF('Lui'!$B$6:$B$300=$A198,"Lui"&amp;IF('Lui'!$E$6:$E$300="",""," : "&amp;'Lui'!$E$6:$E$300)&amp;" ["&amp;'Lui'!$F$6:$F$300&amp;"]",""),IF('Thaís'!$B$6:$B$300=$A198,"Thaís"&amp;IF('Thaís'!$E$6:$E$300="",""," : "&amp;'Thaís'!$E$6:$E$300)&amp;" ["&amp;'Thaís'!$F$6:$F$300&amp;"]",""),IF('Daniel'!$B$6:$B$300=$A198,"Daniel"&amp;IF('Daniel'!$E$6:$E$300="",""," : "&amp;'Daniel'!$E$6:$E$300)&amp;" ["&amp;'Daniel'!$F$6:$F$300&amp;"]",""),IF('Fernando'!$B$6:$B$300=$A198,"Fernando"&amp;IF('Fernando'!$E$6:$E$300="",""," : "&amp;'Fernando'!$E$6:$E$300)&amp;" ["&amp;'Fernando'!$F$6:$F$300&amp;"]",""),IF('Stephanie'!$B$6:$B$300=$A198,"Stephanie"&amp;IF('Stephanie'!$E$6:$E$300="",""," : "&amp;'Stephanie'!$E$6:$E$300)&amp;" ["&amp;'Stephanie'!$F$6:$F$300&amp;"]",""),IF('Fox'!$B$6:$B$300=$A198,"Fox"&amp;IF('Fox'!$E$6:$E$300="",""," : "&amp;'Fox'!$E$6:$E$300)&amp;" ["&amp;'Fox'!$F$6:$F$300&amp;"]",""),IF('Bruna'!$B$6:$B$300=$A198,"Bruna"&amp;IF('Bruna'!$E$6:$E$300="",""," : "&amp;'Bruna'!$E$6:$E$300)&amp;" ["&amp;'Bruna'!$F$6:$F$300&amp;"]",""),IF('Stella'!$B$6:$B$300=$A198,"Stella"&amp;IF('Stella'!$E$6:$E$300="",""," : "&amp;'Stella'!$E$6:$E$300)&amp;" ["&amp;'Stella'!$F$6:$F$300&amp;"]",""),IF('Igor'!$B$6:$B$300=$A198,"Igor"&amp;IF('Igor'!$E$6:$E$300="",""," : "&amp;'Igor'!$E$6:$E$300)&amp;" ["&amp;'Igor'!$F$6:$F$300&amp;"]","")))</f>
        <v/>
      </c>
    </row>
    <row r="199" ht="40.5" customHeight="1">
      <c r="A199" s="13" t="inlineStr">
        <is>
          <t>SBM-030</t>
        </is>
      </c>
      <c r="B199" s="14" t="inlineStr">
        <is>
          <t>Etapa 2: Construção das métricas | Atividade 7: Operacionalização das métricas | Atividade 8: Aplicação das métricas</t>
        </is>
      </c>
      <c r="C199" s="14" t="inlineStr">
        <is>
          <t>Aplicação da SBM</t>
        </is>
      </c>
      <c r="D199" s="14" t="inlineStr">
        <is>
          <t>UTGCA</t>
        </is>
      </c>
      <c r="E199" s="15" t="inlineStr">
        <is>
          <t>Realizar as atividade pós-campo</t>
        </is>
      </c>
      <c r="F199" s="13" t="inlineStr">
        <is>
          <t>Luisa</t>
        </is>
      </c>
      <c r="G199" s="16">
        <f>IF($A199="","",_xlfn.TEXTJOIN("; ",TRUE,IF(COUNTIF('Clarice'!$B$6:$B$300,$A199)&gt;0,"Clarice",""),IF(COUNTIF('Luisa'!$B$6:$B$300,$A199)&gt;0,"Luisa",""),IF(COUNTIF('Lui'!$B$6:$B$300,$A199)&gt;0,"Lui",""),IF(COUNTIF('Thaís'!$B$6:$B$300,$A199)&gt;0,"Thaís",""),IF(COUNTIF('Daniel'!$B$6:$B$300,$A199)&gt;0,"Daniel",""),IF(COUNTIF('Fernando'!$B$6:$B$300,$A199)&gt;0,"Fernando",""),IF(COUNTIF('Stephanie'!$B$6:$B$300,$A199)&gt;0,"Stephanie",""),IF(COUNTIF('Fox'!$B$6:$B$300,$A199)&gt;0,"Fox",""),IF(COUNTIF('Bruna'!$B$6:$B$300,$A199)&gt;0,"Bruna",""),IF(COUNTIF('Stella'!$B$6:$B$300,$A199)&gt;0,"Stella",""),IF(COUNTIF('Igor'!$B$6:$B$300,$A199)&gt;0,"Igor","")))</f>
        <v/>
      </c>
      <c r="H199" s="13" t="n"/>
      <c r="I199" s="13" t="inlineStr">
        <is>
          <t>Não iniciado</t>
        </is>
      </c>
      <c r="J199" s="17">
        <f>IF(OR($A199="",(COUNTIF('Clarice'!$B$6:$B$300,$A199)+COUNTIF('Luisa'!$B$6:$B$300,$A199)+COUNTIF('Lui'!$B$6:$B$300,$A199)+COUNTIF('Thaís'!$B$6:$B$300,$A199)+COUNTIF('Daniel'!$B$6:$B$300,$A199)+COUNTIF('Fernando'!$B$6:$B$300,$A199)+COUNTIF('Stephanie'!$B$6:$B$300,$A199)+COUNTIF('Fox'!$B$6:$B$300,$A199)+COUNTIF('Bruna'!$B$6:$B$300,$A199)+COUNTIF('Stella'!$B$6:$B$300,$A199)+COUNTIF('Igor'!$B$6:$B$300,$A199))=0),"",(COUNTIFS('Clarice'!$B$6:$B$300,$A199,'Clarice'!$F$6:$F$300,"Concluído")+COUNTIFS('Luisa'!$B$6:$B$300,$A199,'Luisa'!$F$6:$F$300,"Concluído")+COUNTIFS('Lui'!$B$6:$B$300,$A199,'Lui'!$F$6:$F$300,"Concluído")+COUNTIFS('Thaís'!$B$6:$B$300,$A199,'Thaís'!$F$6:$F$300,"Concluído")+COUNTIFS('Daniel'!$B$6:$B$300,$A199,'Daniel'!$F$6:$F$300,"Concluído")+COUNTIFS('Fernando'!$B$6:$B$300,$A199,'Fernando'!$F$6:$F$300,"Concluído")+COUNTIFS('Stephanie'!$B$6:$B$300,$A199,'Stephanie'!$F$6:$F$300,"Concluído")+COUNTIFS('Fox'!$B$6:$B$300,$A199,'Fox'!$F$6:$F$300,"Concluído")+COUNTIFS('Bruna'!$B$6:$B$300,$A199,'Bruna'!$F$6:$F$300,"Concluído")+COUNTIFS('Stella'!$B$6:$B$300,$A199,'Stella'!$F$6:$F$300,"Concluído")+COUNTIFS('Igor'!$B$6:$B$300,$A199,'Igor'!$F$6:$F$300,"Concluído"))&amp;" / "&amp;(COUNTIF('Clarice'!$B$6:$B$300,$A199)+COUNTIF('Luisa'!$B$6:$B$300,$A199)+COUNTIF('Lui'!$B$6:$B$300,$A199)+COUNTIF('Thaís'!$B$6:$B$300,$A199)+COUNTIF('Daniel'!$B$6:$B$300,$A199)+COUNTIF('Fernando'!$B$6:$B$300,$A199)+COUNTIF('Stephanie'!$B$6:$B$300,$A199)+COUNTIF('Fox'!$B$6:$B$300,$A199)+COUNTIF('Bruna'!$B$6:$B$300,$A199)+COUNTIF('Stella'!$B$6:$B$300,$A199)+COUNTIF('Igor'!$B$6:$B$300,$A199)))</f>
        <v/>
      </c>
      <c r="K199" s="18" t="n">
        <v>46258</v>
      </c>
      <c r="L199" s="18" t="n">
        <v>46283</v>
      </c>
      <c r="M199" s="19" t="n"/>
      <c r="N199" s="19" t="n"/>
      <c r="O199" s="19" t="n"/>
      <c r="P199" s="20">
        <f>IF($A199="","",IF(M199&lt;&gt;"",M199,IF(K199&lt;&gt;"",K199,"")))</f>
        <v/>
      </c>
      <c r="Q199" s="20">
        <f>IF($A199="","",IF(N199&lt;&gt;"",N199,IF(L199&lt;&gt;"",L199,"")))</f>
        <v/>
      </c>
      <c r="R199" s="15" t="n"/>
      <c r="S199" s="16">
        <f t="array" ref="S199">IF($A199="","",_xlfn.TEXTJOIN(CHAR(10),TRUE,IF('Clarice'!$B$6:$B$300=$A199,"Clarice"&amp;IF('Clarice'!$E$6:$E$300="",""," : "&amp;'Clarice'!$E$6:$E$300)&amp;" ["&amp;'Clarice'!$F$6:$F$300&amp;"]",""),IF('Luisa'!$B$6:$B$300=$A199,"Luisa"&amp;IF('Luisa'!$E$6:$E$300="",""," : "&amp;'Luisa'!$E$6:$E$300)&amp;" ["&amp;'Luisa'!$F$6:$F$300&amp;"]",""),IF('Lui'!$B$6:$B$300=$A199,"Lui"&amp;IF('Lui'!$E$6:$E$300="",""," : "&amp;'Lui'!$E$6:$E$300)&amp;" ["&amp;'Lui'!$F$6:$F$300&amp;"]",""),IF('Thaís'!$B$6:$B$300=$A199,"Thaís"&amp;IF('Thaís'!$E$6:$E$300="",""," : "&amp;'Thaís'!$E$6:$E$300)&amp;" ["&amp;'Thaís'!$F$6:$F$300&amp;"]",""),IF('Daniel'!$B$6:$B$300=$A199,"Daniel"&amp;IF('Daniel'!$E$6:$E$300="",""," : "&amp;'Daniel'!$E$6:$E$300)&amp;" ["&amp;'Daniel'!$F$6:$F$300&amp;"]",""),IF('Fernando'!$B$6:$B$300=$A199,"Fernando"&amp;IF('Fernando'!$E$6:$E$300="",""," : "&amp;'Fernando'!$E$6:$E$300)&amp;" ["&amp;'Fernando'!$F$6:$F$300&amp;"]",""),IF('Stephanie'!$B$6:$B$300=$A199,"Stephanie"&amp;IF('Stephanie'!$E$6:$E$300="",""," : "&amp;'Stephanie'!$E$6:$E$300)&amp;" ["&amp;'Stephanie'!$F$6:$F$300&amp;"]",""),IF('Fox'!$B$6:$B$300=$A199,"Fox"&amp;IF('Fox'!$E$6:$E$300="",""," : "&amp;'Fox'!$E$6:$E$300)&amp;" ["&amp;'Fox'!$F$6:$F$300&amp;"]",""),IF('Bruna'!$B$6:$B$300=$A199,"Bruna"&amp;IF('Bruna'!$E$6:$E$300="",""," : "&amp;'Bruna'!$E$6:$E$300)&amp;" ["&amp;'Bruna'!$F$6:$F$300&amp;"]",""),IF('Stella'!$B$6:$B$300=$A199,"Stella"&amp;IF('Stella'!$E$6:$E$300="",""," : "&amp;'Stella'!$E$6:$E$300)&amp;" ["&amp;'Stella'!$F$6:$F$300&amp;"]",""),IF('Igor'!$B$6:$B$300=$A199,"Igor"&amp;IF('Igor'!$E$6:$E$300="",""," : "&amp;'Igor'!$E$6:$E$300)&amp;" ["&amp;'Igor'!$F$6:$F$300&amp;"]","")))</f>
        <v/>
      </c>
    </row>
    <row r="200">
      <c r="A200" s="21" t="n"/>
      <c r="B200" s="21" t="inlineStr">
        <is>
          <t>Etapa 2: Construção das métricas | Atividade 7: Operacionalização das métricas | Atividade 8: Aplicação das métricas</t>
        </is>
      </c>
      <c r="C200" s="21" t="inlineStr">
        <is>
          <t>Aplicação da SBM</t>
        </is>
      </c>
      <c r="D200" s="21" t="inlineStr">
        <is>
          <t>Boaventura &amp; GR3</t>
        </is>
      </c>
      <c r="E200" s="21" t="inlineStr">
        <is>
          <t>Boaventura &amp; GR3</t>
        </is>
      </c>
      <c r="F200" s="21" t="inlineStr">
        <is>
          <t>Luisa</t>
        </is>
      </c>
      <c r="G200" s="21">
        <f>IF($A200="","",_xlfn.TEXTJOIN("; ",TRUE,IF(COUNTIF('Clarice'!$B$6:$B$300,$A200)&gt;0,"Clarice",""),IF(COUNTIF('Luisa'!$B$6:$B$300,$A200)&gt;0,"Luisa",""),IF(COUNTIF('Lui'!$B$6:$B$300,$A200)&gt;0,"Lui",""),IF(COUNTIF('Thaís'!$B$6:$B$300,$A200)&gt;0,"Thaís",""),IF(COUNTIF('Daniel'!$B$6:$B$300,$A200)&gt;0,"Daniel",""),IF(COUNTIF('Fernando'!$B$6:$B$300,$A200)&gt;0,"Fernando",""),IF(COUNTIF('Stephanie'!$B$6:$B$300,$A200)&gt;0,"Stephanie",""),IF(COUNTIF('Fox'!$B$6:$B$300,$A200)&gt;0,"Fox",""),IF(COUNTIF('Bruna'!$B$6:$B$300,$A200)&gt;0,"Bruna",""),IF(COUNTIF('Stella'!$B$6:$B$300,$A200)&gt;0,"Stella",""),IF(COUNTIF('Igor'!$B$6:$B$300,$A200)&gt;0,"Igor","")))</f>
        <v/>
      </c>
      <c r="H200" s="21" t="n"/>
      <c r="I200" s="21" t="n"/>
      <c r="J200" s="21">
        <f>IF(OR($A200="",(COUNTIF('Clarice'!$B$6:$B$300,$A200)+COUNTIF('Luisa'!$B$6:$B$300,$A200)+COUNTIF('Lui'!$B$6:$B$300,$A200)+COUNTIF('Thaís'!$B$6:$B$300,$A200)+COUNTIF('Daniel'!$B$6:$B$300,$A200)+COUNTIF('Fernando'!$B$6:$B$300,$A200)+COUNTIF('Stephanie'!$B$6:$B$300,$A200)+COUNTIF('Fox'!$B$6:$B$300,$A200)+COUNTIF('Bruna'!$B$6:$B$300,$A200)+COUNTIF('Stella'!$B$6:$B$300,$A200)+COUNTIF('Igor'!$B$6:$B$300,$A200))=0),"",(COUNTIFS('Clarice'!$B$6:$B$300,$A200,'Clarice'!$F$6:$F$300,"Concluído")+COUNTIFS('Luisa'!$B$6:$B$300,$A200,'Luisa'!$F$6:$F$300,"Concluído")+COUNTIFS('Lui'!$B$6:$B$300,$A200,'Lui'!$F$6:$F$300,"Concluído")+COUNTIFS('Thaís'!$B$6:$B$300,$A200,'Thaís'!$F$6:$F$300,"Concluído")+COUNTIFS('Daniel'!$B$6:$B$300,$A200,'Daniel'!$F$6:$F$300,"Concluído")+COUNTIFS('Fernando'!$B$6:$B$300,$A200,'Fernando'!$F$6:$F$300,"Concluído")+COUNTIFS('Stephanie'!$B$6:$B$300,$A200,'Stephanie'!$F$6:$F$300,"Concluído")+COUNTIFS('Fox'!$B$6:$B$300,$A200,'Fox'!$F$6:$F$300,"Concluído")+COUNTIFS('Bruna'!$B$6:$B$300,$A200,'Bruna'!$F$6:$F$300,"Concluído")+COUNTIFS('Stella'!$B$6:$B$300,$A200,'Stella'!$F$6:$F$300,"Concluído")+COUNTIFS('Igor'!$B$6:$B$300,$A200,'Igor'!$F$6:$F$300,"Concluído"))&amp;" / "&amp;(COUNTIF('Clarice'!$B$6:$B$300,$A200)+COUNTIF('Luisa'!$B$6:$B$300,$A200)+COUNTIF('Lui'!$B$6:$B$300,$A200)+COUNTIF('Thaís'!$B$6:$B$300,$A200)+COUNTIF('Daniel'!$B$6:$B$300,$A200)+COUNTIF('Fernando'!$B$6:$B$300,$A200)+COUNTIF('Stephanie'!$B$6:$B$300,$A200)+COUNTIF('Fox'!$B$6:$B$300,$A200)+COUNTIF('Bruna'!$B$6:$B$300,$A200)+COUNTIF('Stella'!$B$6:$B$300,$A200)+COUNTIF('Igor'!$B$6:$B$300,$A200)))</f>
        <v/>
      </c>
      <c r="K200" s="21" t="n"/>
      <c r="L200" s="21" t="n"/>
      <c r="M200" s="21" t="n"/>
      <c r="N200" s="21" t="n"/>
      <c r="O200" s="21" t="n"/>
      <c r="P200" s="22">
        <f>IF($A200="","",IF(M200&lt;&gt;"",M200,IF(K200&lt;&gt;"",K200,"")))</f>
        <v/>
      </c>
      <c r="Q200" s="22">
        <f>IF($A200="","",IF(N200&lt;&gt;"",N200,IF(L200&lt;&gt;"",L200,"")))</f>
        <v/>
      </c>
      <c r="R200" s="21" t="n"/>
      <c r="S200" s="21">
        <f t="array" ref="S200">IF($A200="","",_xlfn.TEXTJOIN(CHAR(10),TRUE,IF('Clarice'!$B$6:$B$300=$A200,"Clarice"&amp;IF('Clarice'!$E$6:$E$300="",""," : "&amp;'Clarice'!$E$6:$E$300)&amp;" ["&amp;'Clarice'!$F$6:$F$300&amp;"]",""),IF('Luisa'!$B$6:$B$300=$A200,"Luisa"&amp;IF('Luisa'!$E$6:$E$300="",""," : "&amp;'Luisa'!$E$6:$E$300)&amp;" ["&amp;'Luisa'!$F$6:$F$300&amp;"]",""),IF('Lui'!$B$6:$B$300=$A200,"Lui"&amp;IF('Lui'!$E$6:$E$300="",""," : "&amp;'Lui'!$E$6:$E$300)&amp;" ["&amp;'Lui'!$F$6:$F$300&amp;"]",""),IF('Thaís'!$B$6:$B$300=$A200,"Thaís"&amp;IF('Thaís'!$E$6:$E$300="",""," : "&amp;'Thaís'!$E$6:$E$300)&amp;" ["&amp;'Thaís'!$F$6:$F$300&amp;"]",""),IF('Daniel'!$B$6:$B$300=$A200,"Daniel"&amp;IF('Daniel'!$E$6:$E$300="",""," : "&amp;'Daniel'!$E$6:$E$300)&amp;" ["&amp;'Daniel'!$F$6:$F$300&amp;"]",""),IF('Fernando'!$B$6:$B$300=$A200,"Fernando"&amp;IF('Fernando'!$E$6:$E$300="",""," : "&amp;'Fernando'!$E$6:$E$300)&amp;" ["&amp;'Fernando'!$F$6:$F$300&amp;"]",""),IF('Stephanie'!$B$6:$B$300=$A200,"Stephanie"&amp;IF('Stephanie'!$E$6:$E$300="",""," : "&amp;'Stephanie'!$E$6:$E$300)&amp;" ["&amp;'Stephanie'!$F$6:$F$300&amp;"]",""),IF('Fox'!$B$6:$B$300=$A200,"Fox"&amp;IF('Fox'!$E$6:$E$300="",""," : "&amp;'Fox'!$E$6:$E$300)&amp;" ["&amp;'Fox'!$F$6:$F$300&amp;"]",""),IF('Bruna'!$B$6:$B$300=$A200,"Bruna"&amp;IF('Bruna'!$E$6:$E$300="",""," : "&amp;'Bruna'!$E$6:$E$300)&amp;" ["&amp;'Bruna'!$F$6:$F$300&amp;"]",""),IF('Stella'!$B$6:$B$300=$A200,"Stella"&amp;IF('Stella'!$E$6:$E$300="",""," : "&amp;'Stella'!$E$6:$E$300)&amp;" ["&amp;'Stella'!$F$6:$F$300&amp;"]",""),IF('Igor'!$B$6:$B$300=$A200,"Igor"&amp;IF('Igor'!$E$6:$E$300="",""," : "&amp;'Igor'!$E$6:$E$300)&amp;" ["&amp;'Igor'!$F$6:$F$300&amp;"]","")))</f>
        <v/>
      </c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  <c r="BF200" s="21" t="n"/>
      <c r="BG200" s="21" t="n"/>
      <c r="BH200" s="21" t="n"/>
      <c r="BI200" s="21" t="n"/>
    </row>
    <row r="201" ht="40.5" customHeight="1">
      <c r="A201" s="13" t="inlineStr">
        <is>
          <t>SBM-031</t>
        </is>
      </c>
      <c r="B201" s="14" t="inlineStr">
        <is>
          <t>Etapa 2: Construção das métricas | Atividade 7: Operacionalização das métricas | Atividade 8: Aplicação das métricas</t>
        </is>
      </c>
      <c r="C201" s="14" t="inlineStr">
        <is>
          <t>Aplicação da SBM</t>
        </is>
      </c>
      <c r="D201" s="14" t="inlineStr">
        <is>
          <t>Boaventura &amp; GR3</t>
        </is>
      </c>
      <c r="E201" s="15" t="inlineStr">
        <is>
          <t>Delimitar os dados úteis para a aplicação (UTGCA)</t>
        </is>
      </c>
      <c r="F201" s="13" t="inlineStr">
        <is>
          <t>Luisa</t>
        </is>
      </c>
      <c r="G201" s="16">
        <f>IF($A201="","",_xlfn.TEXTJOIN("; ",TRUE,IF(COUNTIF('Clarice'!$B$6:$B$300,$A201)&gt;0,"Clarice",""),IF(COUNTIF('Luisa'!$B$6:$B$300,$A201)&gt;0,"Luisa",""),IF(COUNTIF('Lui'!$B$6:$B$300,$A201)&gt;0,"Lui",""),IF(COUNTIF('Thaís'!$B$6:$B$300,$A201)&gt;0,"Thaís",""),IF(COUNTIF('Daniel'!$B$6:$B$300,$A201)&gt;0,"Daniel",""),IF(COUNTIF('Fernando'!$B$6:$B$300,$A201)&gt;0,"Fernando",""),IF(COUNTIF('Stephanie'!$B$6:$B$300,$A201)&gt;0,"Stephanie",""),IF(COUNTIF('Fox'!$B$6:$B$300,$A201)&gt;0,"Fox",""),IF(COUNTIF('Bruna'!$B$6:$B$300,$A201)&gt;0,"Bruna",""),IF(COUNTIF('Stella'!$B$6:$B$300,$A201)&gt;0,"Stella",""),IF(COUNTIF('Igor'!$B$6:$B$300,$A201)&gt;0,"Igor","")))</f>
        <v/>
      </c>
      <c r="H201" s="13" t="n"/>
      <c r="I201" s="13" t="inlineStr">
        <is>
          <t>Não iniciado</t>
        </is>
      </c>
      <c r="J201" s="17">
        <f>IF(OR($A201="",(COUNTIF('Clarice'!$B$6:$B$300,$A201)+COUNTIF('Luisa'!$B$6:$B$300,$A201)+COUNTIF('Lui'!$B$6:$B$300,$A201)+COUNTIF('Thaís'!$B$6:$B$300,$A201)+COUNTIF('Daniel'!$B$6:$B$300,$A201)+COUNTIF('Fernando'!$B$6:$B$300,$A201)+COUNTIF('Stephanie'!$B$6:$B$300,$A201)+COUNTIF('Fox'!$B$6:$B$300,$A201)+COUNTIF('Bruna'!$B$6:$B$300,$A201)+COUNTIF('Stella'!$B$6:$B$300,$A201)+COUNTIF('Igor'!$B$6:$B$300,$A201))=0),"",(COUNTIFS('Clarice'!$B$6:$B$300,$A201,'Clarice'!$F$6:$F$300,"Concluído")+COUNTIFS('Luisa'!$B$6:$B$300,$A201,'Luisa'!$F$6:$F$300,"Concluído")+COUNTIFS('Lui'!$B$6:$B$300,$A201,'Lui'!$F$6:$F$300,"Concluído")+COUNTIFS('Thaís'!$B$6:$B$300,$A201,'Thaís'!$F$6:$F$300,"Concluído")+COUNTIFS('Daniel'!$B$6:$B$300,$A201,'Daniel'!$F$6:$F$300,"Concluído")+COUNTIFS('Fernando'!$B$6:$B$300,$A201,'Fernando'!$F$6:$F$300,"Concluído")+COUNTIFS('Stephanie'!$B$6:$B$300,$A201,'Stephanie'!$F$6:$F$300,"Concluído")+COUNTIFS('Fox'!$B$6:$B$300,$A201,'Fox'!$F$6:$F$300,"Concluído")+COUNTIFS('Bruna'!$B$6:$B$300,$A201,'Bruna'!$F$6:$F$300,"Concluído")+COUNTIFS('Stella'!$B$6:$B$300,$A201,'Stella'!$F$6:$F$300,"Concluído")+COUNTIFS('Igor'!$B$6:$B$300,$A201,'Igor'!$F$6:$F$300,"Concluído"))&amp;" / "&amp;(COUNTIF('Clarice'!$B$6:$B$300,$A201)+COUNTIF('Luisa'!$B$6:$B$300,$A201)+COUNTIF('Lui'!$B$6:$B$300,$A201)+COUNTIF('Thaís'!$B$6:$B$300,$A201)+COUNTIF('Daniel'!$B$6:$B$300,$A201)+COUNTIF('Fernando'!$B$6:$B$300,$A201)+COUNTIF('Stephanie'!$B$6:$B$300,$A201)+COUNTIF('Fox'!$B$6:$B$300,$A201)+COUNTIF('Bruna'!$B$6:$B$300,$A201)+COUNTIF('Stella'!$B$6:$B$300,$A201)+COUNTIF('Igor'!$B$6:$B$300,$A201)))</f>
        <v/>
      </c>
      <c r="K201" s="18" t="n">
        <v>46167</v>
      </c>
      <c r="L201" s="18" t="n">
        <v>46171</v>
      </c>
      <c r="M201" s="18" t="n">
        <v>46167</v>
      </c>
      <c r="N201" s="18" t="n">
        <v>46220</v>
      </c>
      <c r="O201" s="19" t="n"/>
      <c r="P201" s="20">
        <f>IF($A201="","",IF(M201&lt;&gt;"",M201,IF(K201&lt;&gt;"",K201,"")))</f>
        <v/>
      </c>
      <c r="Q201" s="20">
        <f>IF($A201="","",IF(N201&lt;&gt;"",N201,IF(L201&lt;&gt;"",L201,"")))</f>
        <v/>
      </c>
      <c r="R201" s="15" t="n"/>
      <c r="S201" s="16">
        <f t="array" ref="S201">IF($A201="","",_xlfn.TEXTJOIN(CHAR(10),TRUE,IF('Clarice'!$B$6:$B$300=$A201,"Clarice"&amp;IF('Clarice'!$E$6:$E$300="",""," : "&amp;'Clarice'!$E$6:$E$300)&amp;" ["&amp;'Clarice'!$F$6:$F$300&amp;"]",""),IF('Luisa'!$B$6:$B$300=$A201,"Luisa"&amp;IF('Luisa'!$E$6:$E$300="",""," : "&amp;'Luisa'!$E$6:$E$300)&amp;" ["&amp;'Luisa'!$F$6:$F$300&amp;"]",""),IF('Lui'!$B$6:$B$300=$A201,"Lui"&amp;IF('Lui'!$E$6:$E$300="",""," : "&amp;'Lui'!$E$6:$E$300)&amp;" ["&amp;'Lui'!$F$6:$F$300&amp;"]",""),IF('Thaís'!$B$6:$B$300=$A201,"Thaís"&amp;IF('Thaís'!$E$6:$E$300="",""," : "&amp;'Thaís'!$E$6:$E$300)&amp;" ["&amp;'Thaís'!$F$6:$F$300&amp;"]",""),IF('Daniel'!$B$6:$B$300=$A201,"Daniel"&amp;IF('Daniel'!$E$6:$E$300="",""," : "&amp;'Daniel'!$E$6:$E$300)&amp;" ["&amp;'Daniel'!$F$6:$F$300&amp;"]",""),IF('Fernando'!$B$6:$B$300=$A201,"Fernando"&amp;IF('Fernando'!$E$6:$E$300="",""," : "&amp;'Fernando'!$E$6:$E$300)&amp;" ["&amp;'Fernando'!$F$6:$F$300&amp;"]",""),IF('Stephanie'!$B$6:$B$300=$A201,"Stephanie"&amp;IF('Stephanie'!$E$6:$E$300="",""," : "&amp;'Stephanie'!$E$6:$E$300)&amp;" ["&amp;'Stephanie'!$F$6:$F$300&amp;"]",""),IF('Fox'!$B$6:$B$300=$A201,"Fox"&amp;IF('Fox'!$E$6:$E$300="",""," : "&amp;'Fox'!$E$6:$E$300)&amp;" ["&amp;'Fox'!$F$6:$F$300&amp;"]",""),IF('Bruna'!$B$6:$B$300=$A201,"Bruna"&amp;IF('Bruna'!$E$6:$E$300="",""," : "&amp;'Bruna'!$E$6:$E$300)&amp;" ["&amp;'Bruna'!$F$6:$F$300&amp;"]",""),IF('Stella'!$B$6:$B$300=$A201,"Stella"&amp;IF('Stella'!$E$6:$E$300="",""," : "&amp;'Stella'!$E$6:$E$300)&amp;" ["&amp;'Stella'!$F$6:$F$300&amp;"]",""),IF('Igor'!$B$6:$B$300=$A201,"Igor"&amp;IF('Igor'!$E$6:$E$300="",""," : "&amp;'Igor'!$E$6:$E$300)&amp;" ["&amp;'Igor'!$F$6:$F$300&amp;"]","")))</f>
        <v/>
      </c>
    </row>
    <row r="202" ht="40.5" customHeight="1">
      <c r="A202" s="13" t="inlineStr">
        <is>
          <t>SBM-032</t>
        </is>
      </c>
      <c r="B202" s="14" t="inlineStr">
        <is>
          <t>Etapa 2: Construção das métricas | Atividade 7: Operacionalização das métricas | Atividade 8: Aplicação das métricas</t>
        </is>
      </c>
      <c r="C202" s="14" t="inlineStr">
        <is>
          <t>Aplicação da SBM</t>
        </is>
      </c>
      <c r="D202" s="14" t="inlineStr">
        <is>
          <t>Boaventura &amp; GR3</t>
        </is>
      </c>
      <c r="E202" s="15" t="inlineStr">
        <is>
          <t>Preparar os dados para aplicação (UTGCA)</t>
        </is>
      </c>
      <c r="F202" s="13" t="inlineStr">
        <is>
          <t>Luisa</t>
        </is>
      </c>
      <c r="G202" s="16">
        <f>IF($A202="","",_xlfn.TEXTJOIN("; ",TRUE,IF(COUNTIF('Clarice'!$B$6:$B$300,$A202)&gt;0,"Clarice",""),IF(COUNTIF('Luisa'!$B$6:$B$300,$A202)&gt;0,"Luisa",""),IF(COUNTIF('Lui'!$B$6:$B$300,$A202)&gt;0,"Lui",""),IF(COUNTIF('Thaís'!$B$6:$B$300,$A202)&gt;0,"Thaís",""),IF(COUNTIF('Daniel'!$B$6:$B$300,$A202)&gt;0,"Daniel",""),IF(COUNTIF('Fernando'!$B$6:$B$300,$A202)&gt;0,"Fernando",""),IF(COUNTIF('Stephanie'!$B$6:$B$300,$A202)&gt;0,"Stephanie",""),IF(COUNTIF('Fox'!$B$6:$B$300,$A202)&gt;0,"Fox",""),IF(COUNTIF('Bruna'!$B$6:$B$300,$A202)&gt;0,"Bruna",""),IF(COUNTIF('Stella'!$B$6:$B$300,$A202)&gt;0,"Stella",""),IF(COUNTIF('Igor'!$B$6:$B$300,$A202)&gt;0,"Igor","")))</f>
        <v/>
      </c>
      <c r="H202" s="13" t="n"/>
      <c r="I202" s="13" t="inlineStr">
        <is>
          <t>Não iniciado</t>
        </is>
      </c>
      <c r="J202" s="17">
        <f>IF(OR($A202="",(COUNTIF('Clarice'!$B$6:$B$300,$A202)+COUNTIF('Luisa'!$B$6:$B$300,$A202)+COUNTIF('Lui'!$B$6:$B$300,$A202)+COUNTIF('Thaís'!$B$6:$B$300,$A202)+COUNTIF('Daniel'!$B$6:$B$300,$A202)+COUNTIF('Fernando'!$B$6:$B$300,$A202)+COUNTIF('Stephanie'!$B$6:$B$300,$A202)+COUNTIF('Fox'!$B$6:$B$300,$A202)+COUNTIF('Bruna'!$B$6:$B$300,$A202)+COUNTIF('Stella'!$B$6:$B$300,$A202)+COUNTIF('Igor'!$B$6:$B$300,$A202))=0),"",(COUNTIFS('Clarice'!$B$6:$B$300,$A202,'Clarice'!$F$6:$F$300,"Concluído")+COUNTIFS('Luisa'!$B$6:$B$300,$A202,'Luisa'!$F$6:$F$300,"Concluído")+COUNTIFS('Lui'!$B$6:$B$300,$A202,'Lui'!$F$6:$F$300,"Concluído")+COUNTIFS('Thaís'!$B$6:$B$300,$A202,'Thaís'!$F$6:$F$300,"Concluído")+COUNTIFS('Daniel'!$B$6:$B$300,$A202,'Daniel'!$F$6:$F$300,"Concluído")+COUNTIFS('Fernando'!$B$6:$B$300,$A202,'Fernando'!$F$6:$F$300,"Concluído")+COUNTIFS('Stephanie'!$B$6:$B$300,$A202,'Stephanie'!$F$6:$F$300,"Concluído")+COUNTIFS('Fox'!$B$6:$B$300,$A202,'Fox'!$F$6:$F$300,"Concluído")+COUNTIFS('Bruna'!$B$6:$B$300,$A202,'Bruna'!$F$6:$F$300,"Concluído")+COUNTIFS('Stella'!$B$6:$B$300,$A202,'Stella'!$F$6:$F$300,"Concluído")+COUNTIFS('Igor'!$B$6:$B$300,$A202,'Igor'!$F$6:$F$300,"Concluído"))&amp;" / "&amp;(COUNTIF('Clarice'!$B$6:$B$300,$A202)+COUNTIF('Luisa'!$B$6:$B$300,$A202)+COUNTIF('Lui'!$B$6:$B$300,$A202)+COUNTIF('Thaís'!$B$6:$B$300,$A202)+COUNTIF('Daniel'!$B$6:$B$300,$A202)+COUNTIF('Fernando'!$B$6:$B$300,$A202)+COUNTIF('Stephanie'!$B$6:$B$300,$A202)+COUNTIF('Fox'!$B$6:$B$300,$A202)+COUNTIF('Bruna'!$B$6:$B$300,$A202)+COUNTIF('Stella'!$B$6:$B$300,$A202)+COUNTIF('Igor'!$B$6:$B$300,$A202)))</f>
        <v/>
      </c>
      <c r="K202" s="18" t="n">
        <v>46167</v>
      </c>
      <c r="L202" s="18" t="n">
        <v>46171</v>
      </c>
      <c r="M202" s="18" t="n">
        <v>46167</v>
      </c>
      <c r="N202" s="18" t="n">
        <v>46220</v>
      </c>
      <c r="O202" s="19" t="n"/>
      <c r="P202" s="20">
        <f>IF($A202="","",IF(M202&lt;&gt;"",M202,IF(K202&lt;&gt;"",K202,"")))</f>
        <v/>
      </c>
      <c r="Q202" s="20">
        <f>IF($A202="","",IF(N202&lt;&gt;"",N202,IF(L202&lt;&gt;"",L202,"")))</f>
        <v/>
      </c>
      <c r="R202" s="15" t="n"/>
      <c r="S202" s="16">
        <f t="array" ref="S202">IF($A202="","",_xlfn.TEXTJOIN(CHAR(10),TRUE,IF('Clarice'!$B$6:$B$300=$A202,"Clarice"&amp;IF('Clarice'!$E$6:$E$300="",""," : "&amp;'Clarice'!$E$6:$E$300)&amp;" ["&amp;'Clarice'!$F$6:$F$300&amp;"]",""),IF('Luisa'!$B$6:$B$300=$A202,"Luisa"&amp;IF('Luisa'!$E$6:$E$300="",""," : "&amp;'Luisa'!$E$6:$E$300)&amp;" ["&amp;'Luisa'!$F$6:$F$300&amp;"]",""),IF('Lui'!$B$6:$B$300=$A202,"Lui"&amp;IF('Lui'!$E$6:$E$300="",""," : "&amp;'Lui'!$E$6:$E$300)&amp;" ["&amp;'Lui'!$F$6:$F$300&amp;"]",""),IF('Thaís'!$B$6:$B$300=$A202,"Thaís"&amp;IF('Thaís'!$E$6:$E$300="",""," : "&amp;'Thaís'!$E$6:$E$300)&amp;" ["&amp;'Thaís'!$F$6:$F$300&amp;"]",""),IF('Daniel'!$B$6:$B$300=$A202,"Daniel"&amp;IF('Daniel'!$E$6:$E$300="",""," : "&amp;'Daniel'!$E$6:$E$300)&amp;" ["&amp;'Daniel'!$F$6:$F$300&amp;"]",""),IF('Fernando'!$B$6:$B$300=$A202,"Fernando"&amp;IF('Fernando'!$E$6:$E$300="",""," : "&amp;'Fernando'!$E$6:$E$300)&amp;" ["&amp;'Fernando'!$F$6:$F$300&amp;"]",""),IF('Stephanie'!$B$6:$B$300=$A202,"Stephanie"&amp;IF('Stephanie'!$E$6:$E$300="",""," : "&amp;'Stephanie'!$E$6:$E$300)&amp;" ["&amp;'Stephanie'!$F$6:$F$300&amp;"]",""),IF('Fox'!$B$6:$B$300=$A202,"Fox"&amp;IF('Fox'!$E$6:$E$300="",""," : "&amp;'Fox'!$E$6:$E$300)&amp;" ["&amp;'Fox'!$F$6:$F$300&amp;"]",""),IF('Bruna'!$B$6:$B$300=$A202,"Bruna"&amp;IF('Bruna'!$E$6:$E$300="",""," : "&amp;'Bruna'!$E$6:$E$300)&amp;" ["&amp;'Bruna'!$F$6:$F$300&amp;"]",""),IF('Stella'!$B$6:$B$300=$A202,"Stella"&amp;IF('Stella'!$E$6:$E$300="",""," : "&amp;'Stella'!$E$6:$E$300)&amp;" ["&amp;'Stella'!$F$6:$F$300&amp;"]",""),IF('Igor'!$B$6:$B$300=$A202,"Igor"&amp;IF('Igor'!$E$6:$E$300="",""," : "&amp;'Igor'!$E$6:$E$300)&amp;" ["&amp;'Igor'!$F$6:$F$300&amp;"]","")))</f>
        <v/>
      </c>
    </row>
    <row r="203" ht="15.5" customHeight="1">
      <c r="A203" s="13" t="inlineStr">
        <is>
          <t>SBM-033</t>
        </is>
      </c>
      <c r="B203" s="14" t="inlineStr">
        <is>
          <t>Etapa 2: Construção das métricas | Atividade 7: Operacionalização das métricas | Atividade 8: Aplicação das métricas</t>
        </is>
      </c>
      <c r="C203" s="14" t="inlineStr">
        <is>
          <t>Aplicação da SBM</t>
        </is>
      </c>
      <c r="D203" s="14" t="inlineStr">
        <is>
          <t>Boaventura &amp; GR3</t>
        </is>
      </c>
      <c r="E203" s="15" t="inlineStr">
        <is>
          <t>Calcular o parâmetro - condição (UTGCA)</t>
        </is>
      </c>
      <c r="F203" s="13" t="inlineStr">
        <is>
          <t>Luisa</t>
        </is>
      </c>
      <c r="G203" s="16">
        <f>IF($A203="","",_xlfn.TEXTJOIN("; ",TRUE,IF(COUNTIF('Clarice'!$B$6:$B$300,$A203)&gt;0,"Clarice",""),IF(COUNTIF('Luisa'!$B$6:$B$300,$A203)&gt;0,"Luisa",""),IF(COUNTIF('Lui'!$B$6:$B$300,$A203)&gt;0,"Lui",""),IF(COUNTIF('Thaís'!$B$6:$B$300,$A203)&gt;0,"Thaís",""),IF(COUNTIF('Daniel'!$B$6:$B$300,$A203)&gt;0,"Daniel",""),IF(COUNTIF('Fernando'!$B$6:$B$300,$A203)&gt;0,"Fernando",""),IF(COUNTIF('Stephanie'!$B$6:$B$300,$A203)&gt;0,"Stephanie",""),IF(COUNTIF('Fox'!$B$6:$B$300,$A203)&gt;0,"Fox",""),IF(COUNTIF('Bruna'!$B$6:$B$300,$A203)&gt;0,"Bruna",""),IF(COUNTIF('Stella'!$B$6:$B$300,$A203)&gt;0,"Stella",""),IF(COUNTIF('Igor'!$B$6:$B$300,$A203)&gt;0,"Igor","")))</f>
        <v/>
      </c>
      <c r="H203" s="13" t="n"/>
      <c r="I203" s="13" t="inlineStr">
        <is>
          <t>Não iniciado</t>
        </is>
      </c>
      <c r="J203" s="17">
        <f>IF(OR($A203="",(COUNTIF('Clarice'!$B$6:$B$300,$A203)+COUNTIF('Luisa'!$B$6:$B$300,$A203)+COUNTIF('Lui'!$B$6:$B$300,$A203)+COUNTIF('Thaís'!$B$6:$B$300,$A203)+COUNTIF('Daniel'!$B$6:$B$300,$A203)+COUNTIF('Fernando'!$B$6:$B$300,$A203)+COUNTIF('Stephanie'!$B$6:$B$300,$A203)+COUNTIF('Fox'!$B$6:$B$300,$A203)+COUNTIF('Bruna'!$B$6:$B$300,$A203)+COUNTIF('Stella'!$B$6:$B$300,$A203)+COUNTIF('Igor'!$B$6:$B$300,$A203))=0),"",(COUNTIFS('Clarice'!$B$6:$B$300,$A203,'Clarice'!$F$6:$F$300,"Concluído")+COUNTIFS('Luisa'!$B$6:$B$300,$A203,'Luisa'!$F$6:$F$300,"Concluído")+COUNTIFS('Lui'!$B$6:$B$300,$A203,'Lui'!$F$6:$F$300,"Concluído")+COUNTIFS('Thaís'!$B$6:$B$300,$A203,'Thaís'!$F$6:$F$300,"Concluído")+COUNTIFS('Daniel'!$B$6:$B$300,$A203,'Daniel'!$F$6:$F$300,"Concluído")+COUNTIFS('Fernando'!$B$6:$B$300,$A203,'Fernando'!$F$6:$F$300,"Concluído")+COUNTIFS('Stephanie'!$B$6:$B$300,$A203,'Stephanie'!$F$6:$F$300,"Concluído")+COUNTIFS('Fox'!$B$6:$B$300,$A203,'Fox'!$F$6:$F$300,"Concluído")+COUNTIFS('Bruna'!$B$6:$B$300,$A203,'Bruna'!$F$6:$F$300,"Concluído")+COUNTIFS('Stella'!$B$6:$B$300,$A203,'Stella'!$F$6:$F$300,"Concluído")+COUNTIFS('Igor'!$B$6:$B$300,$A203,'Igor'!$F$6:$F$300,"Concluído"))&amp;" / "&amp;(COUNTIF('Clarice'!$B$6:$B$300,$A203)+COUNTIF('Luisa'!$B$6:$B$300,$A203)+COUNTIF('Lui'!$B$6:$B$300,$A203)+COUNTIF('Thaís'!$B$6:$B$300,$A203)+COUNTIF('Daniel'!$B$6:$B$300,$A203)+COUNTIF('Fernando'!$B$6:$B$300,$A203)+COUNTIF('Stephanie'!$B$6:$B$300,$A203)+COUNTIF('Fox'!$B$6:$B$300,$A203)+COUNTIF('Bruna'!$B$6:$B$300,$A203)+COUNTIF('Stella'!$B$6:$B$300,$A203)+COUNTIF('Igor'!$B$6:$B$300,$A203)))</f>
        <v/>
      </c>
      <c r="K203" s="18" t="n">
        <v>46167</v>
      </c>
      <c r="L203" s="18" t="n">
        <v>46171</v>
      </c>
      <c r="M203" s="18" t="n">
        <v>46167</v>
      </c>
      <c r="N203" s="18" t="n">
        <v>46220</v>
      </c>
      <c r="O203" s="19" t="n"/>
      <c r="P203" s="20">
        <f>IF($A203="","",IF(M203&lt;&gt;"",M203,IF(K203&lt;&gt;"",K203,"")))</f>
        <v/>
      </c>
      <c r="Q203" s="20">
        <f>IF($A203="","",IF(N203&lt;&gt;"",N203,IF(L203&lt;&gt;"",L203,"")))</f>
        <v/>
      </c>
      <c r="R203" s="15" t="n"/>
      <c r="S203" s="16">
        <f t="array" ref="S203">IF($A203="","",_xlfn.TEXTJOIN(CHAR(10),TRUE,IF('Clarice'!$B$6:$B$300=$A203,"Clarice"&amp;IF('Clarice'!$E$6:$E$300="",""," : "&amp;'Clarice'!$E$6:$E$300)&amp;" ["&amp;'Clarice'!$F$6:$F$300&amp;"]",""),IF('Luisa'!$B$6:$B$300=$A203,"Luisa"&amp;IF('Luisa'!$E$6:$E$300="",""," : "&amp;'Luisa'!$E$6:$E$300)&amp;" ["&amp;'Luisa'!$F$6:$F$300&amp;"]",""),IF('Lui'!$B$6:$B$300=$A203,"Lui"&amp;IF('Lui'!$E$6:$E$300="",""," : "&amp;'Lui'!$E$6:$E$300)&amp;" ["&amp;'Lui'!$F$6:$F$300&amp;"]",""),IF('Thaís'!$B$6:$B$300=$A203,"Thaís"&amp;IF('Thaís'!$E$6:$E$300="",""," : "&amp;'Thaís'!$E$6:$E$300)&amp;" ["&amp;'Thaís'!$F$6:$F$300&amp;"]",""),IF('Daniel'!$B$6:$B$300=$A203,"Daniel"&amp;IF('Daniel'!$E$6:$E$300="",""," : "&amp;'Daniel'!$E$6:$E$300)&amp;" ["&amp;'Daniel'!$F$6:$F$300&amp;"]",""),IF('Fernando'!$B$6:$B$300=$A203,"Fernando"&amp;IF('Fernando'!$E$6:$E$300="",""," : "&amp;'Fernando'!$E$6:$E$300)&amp;" ["&amp;'Fernando'!$F$6:$F$300&amp;"]",""),IF('Stephanie'!$B$6:$B$300=$A203,"Stephanie"&amp;IF('Stephanie'!$E$6:$E$300="",""," : "&amp;'Stephanie'!$E$6:$E$300)&amp;" ["&amp;'Stephanie'!$F$6:$F$300&amp;"]",""),IF('Fox'!$B$6:$B$300=$A203,"Fox"&amp;IF('Fox'!$E$6:$E$300="",""," : "&amp;'Fox'!$E$6:$E$300)&amp;" ["&amp;'Fox'!$F$6:$F$300&amp;"]",""),IF('Bruna'!$B$6:$B$300=$A203,"Bruna"&amp;IF('Bruna'!$E$6:$E$300="",""," : "&amp;'Bruna'!$E$6:$E$300)&amp;" ["&amp;'Bruna'!$F$6:$F$300&amp;"]",""),IF('Stella'!$B$6:$B$300=$A203,"Stella"&amp;IF('Stella'!$E$6:$E$300="",""," : "&amp;'Stella'!$E$6:$E$300)&amp;" ["&amp;'Stella'!$F$6:$F$300&amp;"]",""),IF('Igor'!$B$6:$B$300=$A203,"Igor"&amp;IF('Igor'!$E$6:$E$300="",""," : "&amp;'Igor'!$E$6:$E$300)&amp;" ["&amp;'Igor'!$F$6:$F$300&amp;"]","")))</f>
        <v/>
      </c>
    </row>
    <row r="204" ht="15.5" customHeight="1">
      <c r="A204" s="13" t="inlineStr">
        <is>
          <t>SBM-034</t>
        </is>
      </c>
      <c r="B204" s="14" t="inlineStr">
        <is>
          <t>Etapa 2: Construção das métricas | Atividade 7: Operacionalização das métricas | Atividade 8: Aplicação das métricas</t>
        </is>
      </c>
      <c r="C204" s="14" t="inlineStr">
        <is>
          <t>Aplicação da SBM</t>
        </is>
      </c>
      <c r="D204" s="14" t="inlineStr">
        <is>
          <t>Boaventura &amp; GR3</t>
        </is>
      </c>
      <c r="E204" s="15" t="inlineStr">
        <is>
          <t>Calcular o parâmetro - valor estratégico</t>
        </is>
      </c>
      <c r="F204" s="13" t="inlineStr">
        <is>
          <t>Luisa</t>
        </is>
      </c>
      <c r="G204" s="16">
        <f>IF($A204="","",_xlfn.TEXTJOIN("; ",TRUE,IF(COUNTIF('Clarice'!$B$6:$B$300,$A204)&gt;0,"Clarice",""),IF(COUNTIF('Luisa'!$B$6:$B$300,$A204)&gt;0,"Luisa",""),IF(COUNTIF('Lui'!$B$6:$B$300,$A204)&gt;0,"Lui",""),IF(COUNTIF('Thaís'!$B$6:$B$300,$A204)&gt;0,"Thaís",""),IF(COUNTIF('Daniel'!$B$6:$B$300,$A204)&gt;0,"Daniel",""),IF(COUNTIF('Fernando'!$B$6:$B$300,$A204)&gt;0,"Fernando",""),IF(COUNTIF('Stephanie'!$B$6:$B$300,$A204)&gt;0,"Stephanie",""),IF(COUNTIF('Fox'!$B$6:$B$300,$A204)&gt;0,"Fox",""),IF(COUNTIF('Bruna'!$B$6:$B$300,$A204)&gt;0,"Bruna",""),IF(COUNTIF('Stella'!$B$6:$B$300,$A204)&gt;0,"Stella",""),IF(COUNTIF('Igor'!$B$6:$B$300,$A204)&gt;0,"Igor","")))</f>
        <v/>
      </c>
      <c r="H204" s="13" t="n"/>
      <c r="I204" s="13" t="inlineStr">
        <is>
          <t>Não iniciado</t>
        </is>
      </c>
      <c r="J204" s="17">
        <f>IF(OR($A204="",(COUNTIF('Clarice'!$B$6:$B$300,$A204)+COUNTIF('Luisa'!$B$6:$B$300,$A204)+COUNTIF('Lui'!$B$6:$B$300,$A204)+COUNTIF('Thaís'!$B$6:$B$300,$A204)+COUNTIF('Daniel'!$B$6:$B$300,$A204)+COUNTIF('Fernando'!$B$6:$B$300,$A204)+COUNTIF('Stephanie'!$B$6:$B$300,$A204)+COUNTIF('Fox'!$B$6:$B$300,$A204)+COUNTIF('Bruna'!$B$6:$B$300,$A204)+COUNTIF('Stella'!$B$6:$B$300,$A204)+COUNTIF('Igor'!$B$6:$B$300,$A204))=0),"",(COUNTIFS('Clarice'!$B$6:$B$300,$A204,'Clarice'!$F$6:$F$300,"Concluído")+COUNTIFS('Luisa'!$B$6:$B$300,$A204,'Luisa'!$F$6:$F$300,"Concluído")+COUNTIFS('Lui'!$B$6:$B$300,$A204,'Lui'!$F$6:$F$300,"Concluído")+COUNTIFS('Thaís'!$B$6:$B$300,$A204,'Thaís'!$F$6:$F$300,"Concluído")+COUNTIFS('Daniel'!$B$6:$B$300,$A204,'Daniel'!$F$6:$F$300,"Concluído")+COUNTIFS('Fernando'!$B$6:$B$300,$A204,'Fernando'!$F$6:$F$300,"Concluído")+COUNTIFS('Stephanie'!$B$6:$B$300,$A204,'Stephanie'!$F$6:$F$300,"Concluído")+COUNTIFS('Fox'!$B$6:$B$300,$A204,'Fox'!$F$6:$F$300,"Concluído")+COUNTIFS('Bruna'!$B$6:$B$300,$A204,'Bruna'!$F$6:$F$300,"Concluído")+COUNTIFS('Stella'!$B$6:$B$300,$A204,'Stella'!$F$6:$F$300,"Concluído")+COUNTIFS('Igor'!$B$6:$B$300,$A204,'Igor'!$F$6:$F$300,"Concluído"))&amp;" / "&amp;(COUNTIF('Clarice'!$B$6:$B$300,$A204)+COUNTIF('Luisa'!$B$6:$B$300,$A204)+COUNTIF('Lui'!$B$6:$B$300,$A204)+COUNTIF('Thaís'!$B$6:$B$300,$A204)+COUNTIF('Daniel'!$B$6:$B$300,$A204)+COUNTIF('Fernando'!$B$6:$B$300,$A204)+COUNTIF('Stephanie'!$B$6:$B$300,$A204)+COUNTIF('Fox'!$B$6:$B$300,$A204)+COUNTIF('Bruna'!$B$6:$B$300,$A204)+COUNTIF('Stella'!$B$6:$B$300,$A204)+COUNTIF('Igor'!$B$6:$B$300,$A204)))</f>
        <v/>
      </c>
      <c r="K204" s="18" t="n">
        <v>46167</v>
      </c>
      <c r="L204" s="18" t="n">
        <v>46171</v>
      </c>
      <c r="M204" s="18" t="n">
        <v>46167</v>
      </c>
      <c r="N204" s="18" t="n">
        <v>46220</v>
      </c>
      <c r="O204" s="19" t="n"/>
      <c r="P204" s="20">
        <f>IF($A204="","",IF(M204&lt;&gt;"",M204,IF(K204&lt;&gt;"",K204,"")))</f>
        <v/>
      </c>
      <c r="Q204" s="20">
        <f>IF($A204="","",IF(N204&lt;&gt;"",N204,IF(L204&lt;&gt;"",L204,"")))</f>
        <v/>
      </c>
      <c r="R204" s="15" t="n"/>
      <c r="S204" s="16">
        <f t="array" ref="S204">IF($A204="","",_xlfn.TEXTJOIN(CHAR(10),TRUE,IF('Clarice'!$B$6:$B$300=$A204,"Clarice"&amp;IF('Clarice'!$E$6:$E$300="",""," : "&amp;'Clarice'!$E$6:$E$300)&amp;" ["&amp;'Clarice'!$F$6:$F$300&amp;"]",""),IF('Luisa'!$B$6:$B$300=$A204,"Luisa"&amp;IF('Luisa'!$E$6:$E$300="",""," : "&amp;'Luisa'!$E$6:$E$300)&amp;" ["&amp;'Luisa'!$F$6:$F$300&amp;"]",""),IF('Lui'!$B$6:$B$300=$A204,"Lui"&amp;IF('Lui'!$E$6:$E$300="",""," : "&amp;'Lui'!$E$6:$E$300)&amp;" ["&amp;'Lui'!$F$6:$F$300&amp;"]",""),IF('Thaís'!$B$6:$B$300=$A204,"Thaís"&amp;IF('Thaís'!$E$6:$E$300="",""," : "&amp;'Thaís'!$E$6:$E$300)&amp;" ["&amp;'Thaís'!$F$6:$F$300&amp;"]",""),IF('Daniel'!$B$6:$B$300=$A204,"Daniel"&amp;IF('Daniel'!$E$6:$E$300="",""," : "&amp;'Daniel'!$E$6:$E$300)&amp;" ["&amp;'Daniel'!$F$6:$F$300&amp;"]",""),IF('Fernando'!$B$6:$B$300=$A204,"Fernando"&amp;IF('Fernando'!$E$6:$E$300="",""," : "&amp;'Fernando'!$E$6:$E$300)&amp;" ["&amp;'Fernando'!$F$6:$F$300&amp;"]",""),IF('Stephanie'!$B$6:$B$300=$A204,"Stephanie"&amp;IF('Stephanie'!$E$6:$E$300="",""," : "&amp;'Stephanie'!$E$6:$E$300)&amp;" ["&amp;'Stephanie'!$F$6:$F$300&amp;"]",""),IF('Fox'!$B$6:$B$300=$A204,"Fox"&amp;IF('Fox'!$E$6:$E$300="",""," : "&amp;'Fox'!$E$6:$E$300)&amp;" ["&amp;'Fox'!$F$6:$F$300&amp;"]",""),IF('Bruna'!$B$6:$B$300=$A204,"Bruna"&amp;IF('Bruna'!$E$6:$E$300="",""," : "&amp;'Bruna'!$E$6:$E$300)&amp;" ["&amp;'Bruna'!$F$6:$F$300&amp;"]",""),IF('Stella'!$B$6:$B$300=$A204,"Stella"&amp;IF('Stella'!$E$6:$E$300="",""," : "&amp;'Stella'!$E$6:$E$300)&amp;" ["&amp;'Stella'!$F$6:$F$300&amp;"]",""),IF('Igor'!$B$6:$B$300=$A204,"Igor"&amp;IF('Igor'!$E$6:$E$300="",""," : "&amp;'Igor'!$E$6:$E$300)&amp;" ["&amp;'Igor'!$F$6:$F$300&amp;"]","")))</f>
        <v/>
      </c>
    </row>
    <row r="205" ht="28" customHeight="1">
      <c r="A205" s="13" t="inlineStr">
        <is>
          <t>SBM-035</t>
        </is>
      </c>
      <c r="B205" s="14" t="inlineStr">
        <is>
          <t>Etapa 2: Construção das métricas | Atividade 7: Operacionalização das métricas | Atividade 8: Aplicação das métricas</t>
        </is>
      </c>
      <c r="C205" s="14" t="inlineStr">
        <is>
          <t>Aplicação da SBM</t>
        </is>
      </c>
      <c r="D205" s="14" t="inlineStr">
        <is>
          <t>Boaventura &amp; GR3</t>
        </is>
      </c>
      <c r="E205" s="15" t="inlineStr">
        <is>
          <t>Estruturar as fórmulas no excel ou script no R para aplicação</t>
        </is>
      </c>
      <c r="F205" s="13" t="inlineStr">
        <is>
          <t>Luisa</t>
        </is>
      </c>
      <c r="G205" s="16">
        <f>IF($A205="","",_xlfn.TEXTJOIN("; ",TRUE,IF(COUNTIF('Clarice'!$B$6:$B$300,$A205)&gt;0,"Clarice",""),IF(COUNTIF('Luisa'!$B$6:$B$300,$A205)&gt;0,"Luisa",""),IF(COUNTIF('Lui'!$B$6:$B$300,$A205)&gt;0,"Lui",""),IF(COUNTIF('Thaís'!$B$6:$B$300,$A205)&gt;0,"Thaís",""),IF(COUNTIF('Daniel'!$B$6:$B$300,$A205)&gt;0,"Daniel",""),IF(COUNTIF('Fernando'!$B$6:$B$300,$A205)&gt;0,"Fernando",""),IF(COUNTIF('Stephanie'!$B$6:$B$300,$A205)&gt;0,"Stephanie",""),IF(COUNTIF('Fox'!$B$6:$B$300,$A205)&gt;0,"Fox",""),IF(COUNTIF('Bruna'!$B$6:$B$300,$A205)&gt;0,"Bruna",""),IF(COUNTIF('Stella'!$B$6:$B$300,$A205)&gt;0,"Stella",""),IF(COUNTIF('Igor'!$B$6:$B$300,$A205)&gt;0,"Igor","")))</f>
        <v/>
      </c>
      <c r="H205" s="13" t="n"/>
      <c r="I205" s="13" t="inlineStr">
        <is>
          <t>Não iniciado</t>
        </is>
      </c>
      <c r="J205" s="17">
        <f>IF(OR($A205="",(COUNTIF('Clarice'!$B$6:$B$300,$A205)+COUNTIF('Luisa'!$B$6:$B$300,$A205)+COUNTIF('Lui'!$B$6:$B$300,$A205)+COUNTIF('Thaís'!$B$6:$B$300,$A205)+COUNTIF('Daniel'!$B$6:$B$300,$A205)+COUNTIF('Fernando'!$B$6:$B$300,$A205)+COUNTIF('Stephanie'!$B$6:$B$300,$A205)+COUNTIF('Fox'!$B$6:$B$300,$A205)+COUNTIF('Bruna'!$B$6:$B$300,$A205)+COUNTIF('Stella'!$B$6:$B$300,$A205)+COUNTIF('Igor'!$B$6:$B$300,$A205))=0),"",(COUNTIFS('Clarice'!$B$6:$B$300,$A205,'Clarice'!$F$6:$F$300,"Concluído")+COUNTIFS('Luisa'!$B$6:$B$300,$A205,'Luisa'!$F$6:$F$300,"Concluído")+COUNTIFS('Lui'!$B$6:$B$300,$A205,'Lui'!$F$6:$F$300,"Concluído")+COUNTIFS('Thaís'!$B$6:$B$300,$A205,'Thaís'!$F$6:$F$300,"Concluído")+COUNTIFS('Daniel'!$B$6:$B$300,$A205,'Daniel'!$F$6:$F$300,"Concluído")+COUNTIFS('Fernando'!$B$6:$B$300,$A205,'Fernando'!$F$6:$F$300,"Concluído")+COUNTIFS('Stephanie'!$B$6:$B$300,$A205,'Stephanie'!$F$6:$F$300,"Concluído")+COUNTIFS('Fox'!$B$6:$B$300,$A205,'Fox'!$F$6:$F$300,"Concluído")+COUNTIFS('Bruna'!$B$6:$B$300,$A205,'Bruna'!$F$6:$F$300,"Concluído")+COUNTIFS('Stella'!$B$6:$B$300,$A205,'Stella'!$F$6:$F$300,"Concluído")+COUNTIFS('Igor'!$B$6:$B$300,$A205,'Igor'!$F$6:$F$300,"Concluído"))&amp;" / "&amp;(COUNTIF('Clarice'!$B$6:$B$300,$A205)+COUNTIF('Luisa'!$B$6:$B$300,$A205)+COUNTIF('Lui'!$B$6:$B$300,$A205)+COUNTIF('Thaís'!$B$6:$B$300,$A205)+COUNTIF('Daniel'!$B$6:$B$300,$A205)+COUNTIF('Fernando'!$B$6:$B$300,$A205)+COUNTIF('Stephanie'!$B$6:$B$300,$A205)+COUNTIF('Fox'!$B$6:$B$300,$A205)+COUNTIF('Bruna'!$B$6:$B$300,$A205)+COUNTIF('Stella'!$B$6:$B$300,$A205)+COUNTIF('Igor'!$B$6:$B$300,$A205)))</f>
        <v/>
      </c>
      <c r="K205" s="18" t="n">
        <v>46167</v>
      </c>
      <c r="L205" s="18" t="n">
        <v>46178</v>
      </c>
      <c r="M205" s="18" t="n">
        <v>46167</v>
      </c>
      <c r="N205" s="18" t="n">
        <v>46227</v>
      </c>
      <c r="O205" s="19" t="n"/>
      <c r="P205" s="20">
        <f>IF($A205="","",IF(M205&lt;&gt;"",M205,IF(K205&lt;&gt;"",K205,"")))</f>
        <v/>
      </c>
      <c r="Q205" s="20">
        <f>IF($A205="","",IF(N205&lt;&gt;"",N205,IF(L205&lt;&gt;"",L205,"")))</f>
        <v/>
      </c>
      <c r="R205" s="15" t="n"/>
      <c r="S205" s="16">
        <f t="array" ref="S205">IF($A205="","",_xlfn.TEXTJOIN(CHAR(10),TRUE,IF('Clarice'!$B$6:$B$300=$A205,"Clarice"&amp;IF('Clarice'!$E$6:$E$300="",""," : "&amp;'Clarice'!$E$6:$E$300)&amp;" ["&amp;'Clarice'!$F$6:$F$300&amp;"]",""),IF('Luisa'!$B$6:$B$300=$A205,"Luisa"&amp;IF('Luisa'!$E$6:$E$300="",""," : "&amp;'Luisa'!$E$6:$E$300)&amp;" ["&amp;'Luisa'!$F$6:$F$300&amp;"]",""),IF('Lui'!$B$6:$B$300=$A205,"Lui"&amp;IF('Lui'!$E$6:$E$300="",""," : "&amp;'Lui'!$E$6:$E$300)&amp;" ["&amp;'Lui'!$F$6:$F$300&amp;"]",""),IF('Thaís'!$B$6:$B$300=$A205,"Thaís"&amp;IF('Thaís'!$E$6:$E$300="",""," : "&amp;'Thaís'!$E$6:$E$300)&amp;" ["&amp;'Thaís'!$F$6:$F$300&amp;"]",""),IF('Daniel'!$B$6:$B$300=$A205,"Daniel"&amp;IF('Daniel'!$E$6:$E$300="",""," : "&amp;'Daniel'!$E$6:$E$300)&amp;" ["&amp;'Daniel'!$F$6:$F$300&amp;"]",""),IF('Fernando'!$B$6:$B$300=$A205,"Fernando"&amp;IF('Fernando'!$E$6:$E$300="",""," : "&amp;'Fernando'!$E$6:$E$300)&amp;" ["&amp;'Fernando'!$F$6:$F$300&amp;"]",""),IF('Stephanie'!$B$6:$B$300=$A205,"Stephanie"&amp;IF('Stephanie'!$E$6:$E$300="",""," : "&amp;'Stephanie'!$E$6:$E$300)&amp;" ["&amp;'Stephanie'!$F$6:$F$300&amp;"]",""),IF('Fox'!$B$6:$B$300=$A205,"Fox"&amp;IF('Fox'!$E$6:$E$300="",""," : "&amp;'Fox'!$E$6:$E$300)&amp;" ["&amp;'Fox'!$F$6:$F$300&amp;"]",""),IF('Bruna'!$B$6:$B$300=$A205,"Bruna"&amp;IF('Bruna'!$E$6:$E$300="",""," : "&amp;'Bruna'!$E$6:$E$300)&amp;" ["&amp;'Bruna'!$F$6:$F$300&amp;"]",""),IF('Stella'!$B$6:$B$300=$A205,"Stella"&amp;IF('Stella'!$E$6:$E$300="",""," : "&amp;'Stella'!$E$6:$E$300)&amp;" ["&amp;'Stella'!$F$6:$F$300&amp;"]",""),IF('Igor'!$B$6:$B$300=$A205,"Igor"&amp;IF('Igor'!$E$6:$E$300="",""," : "&amp;'Igor'!$E$6:$E$300)&amp;" ["&amp;'Igor'!$F$6:$F$300&amp;"]","")))</f>
        <v/>
      </c>
    </row>
    <row r="206" ht="28" customHeight="1">
      <c r="A206" s="13" t="inlineStr">
        <is>
          <t>SBM-036</t>
        </is>
      </c>
      <c r="B206" s="14" t="inlineStr">
        <is>
          <t>Etapa 2: Construção das métricas | Atividade 7: Operacionalização das métricas | Atividade 8: Aplicação das métricas</t>
        </is>
      </c>
      <c r="C206" s="14" t="inlineStr">
        <is>
          <t>Aplicação da SBM</t>
        </is>
      </c>
      <c r="D206" s="14" t="inlineStr">
        <is>
          <t>Boaventura &amp; GR3</t>
        </is>
      </c>
      <c r="E206" s="15" t="inlineStr">
        <is>
          <t>Rodar a métrica</t>
        </is>
      </c>
      <c r="F206" s="13" t="inlineStr">
        <is>
          <t>Luisa</t>
        </is>
      </c>
      <c r="G206" s="16">
        <f>IF($A206="","",_xlfn.TEXTJOIN("; ",TRUE,IF(COUNTIF('Clarice'!$B$6:$B$300,$A206)&gt;0,"Clarice",""),IF(COUNTIF('Luisa'!$B$6:$B$300,$A206)&gt;0,"Luisa",""),IF(COUNTIF('Lui'!$B$6:$B$300,$A206)&gt;0,"Lui",""),IF(COUNTIF('Thaís'!$B$6:$B$300,$A206)&gt;0,"Thaís",""),IF(COUNTIF('Daniel'!$B$6:$B$300,$A206)&gt;0,"Daniel",""),IF(COUNTIF('Fernando'!$B$6:$B$300,$A206)&gt;0,"Fernando",""),IF(COUNTIF('Stephanie'!$B$6:$B$300,$A206)&gt;0,"Stephanie",""),IF(COUNTIF('Fox'!$B$6:$B$300,$A206)&gt;0,"Fox",""),IF(COUNTIF('Bruna'!$B$6:$B$300,$A206)&gt;0,"Bruna",""),IF(COUNTIF('Stella'!$B$6:$B$300,$A206)&gt;0,"Stella",""),IF(COUNTIF('Igor'!$B$6:$B$300,$A206)&gt;0,"Igor","")))</f>
        <v/>
      </c>
      <c r="H206" s="13" t="n"/>
      <c r="I206" s="13" t="inlineStr">
        <is>
          <t>Não iniciado</t>
        </is>
      </c>
      <c r="J206" s="17">
        <f>IF(OR($A206="",(COUNTIF('Clarice'!$B$6:$B$300,$A206)+COUNTIF('Luisa'!$B$6:$B$300,$A206)+COUNTIF('Lui'!$B$6:$B$300,$A206)+COUNTIF('Thaís'!$B$6:$B$300,$A206)+COUNTIF('Daniel'!$B$6:$B$300,$A206)+COUNTIF('Fernando'!$B$6:$B$300,$A206)+COUNTIF('Stephanie'!$B$6:$B$300,$A206)+COUNTIF('Fox'!$B$6:$B$300,$A206)+COUNTIF('Bruna'!$B$6:$B$300,$A206)+COUNTIF('Stella'!$B$6:$B$300,$A206)+COUNTIF('Igor'!$B$6:$B$300,$A206))=0),"",(COUNTIFS('Clarice'!$B$6:$B$300,$A206,'Clarice'!$F$6:$F$300,"Concluído")+COUNTIFS('Luisa'!$B$6:$B$300,$A206,'Luisa'!$F$6:$F$300,"Concluído")+COUNTIFS('Lui'!$B$6:$B$300,$A206,'Lui'!$F$6:$F$300,"Concluído")+COUNTIFS('Thaís'!$B$6:$B$300,$A206,'Thaís'!$F$6:$F$300,"Concluído")+COUNTIFS('Daniel'!$B$6:$B$300,$A206,'Daniel'!$F$6:$F$300,"Concluído")+COUNTIFS('Fernando'!$B$6:$B$300,$A206,'Fernando'!$F$6:$F$300,"Concluído")+COUNTIFS('Stephanie'!$B$6:$B$300,$A206,'Stephanie'!$F$6:$F$300,"Concluído")+COUNTIFS('Fox'!$B$6:$B$300,$A206,'Fox'!$F$6:$F$300,"Concluído")+COUNTIFS('Bruna'!$B$6:$B$300,$A206,'Bruna'!$F$6:$F$300,"Concluído")+COUNTIFS('Stella'!$B$6:$B$300,$A206,'Stella'!$F$6:$F$300,"Concluído")+COUNTIFS('Igor'!$B$6:$B$300,$A206,'Igor'!$F$6:$F$300,"Concluído"))&amp;" / "&amp;(COUNTIF('Clarice'!$B$6:$B$300,$A206)+COUNTIF('Luisa'!$B$6:$B$300,$A206)+COUNTIF('Lui'!$B$6:$B$300,$A206)+COUNTIF('Thaís'!$B$6:$B$300,$A206)+COUNTIF('Daniel'!$B$6:$B$300,$A206)+COUNTIF('Fernando'!$B$6:$B$300,$A206)+COUNTIF('Stephanie'!$B$6:$B$300,$A206)+COUNTIF('Fox'!$B$6:$B$300,$A206)+COUNTIF('Bruna'!$B$6:$B$300,$A206)+COUNTIF('Stella'!$B$6:$B$300,$A206)+COUNTIF('Igor'!$B$6:$B$300,$A206)))</f>
        <v/>
      </c>
      <c r="K206" s="18" t="n">
        <v>46174</v>
      </c>
      <c r="L206" s="18" t="n">
        <v>46178</v>
      </c>
      <c r="M206" s="18" t="n">
        <v>46174</v>
      </c>
      <c r="N206" s="18" t="n">
        <v>46227</v>
      </c>
      <c r="O206" s="19" t="n"/>
      <c r="P206" s="20">
        <f>IF($A206="","",IF(M206&lt;&gt;"",M206,IF(K206&lt;&gt;"",K206,"")))</f>
        <v/>
      </c>
      <c r="Q206" s="20">
        <f>IF($A206="","",IF(N206&lt;&gt;"",N206,IF(L206&lt;&gt;"",L206,"")))</f>
        <v/>
      </c>
      <c r="R206" s="15" t="n"/>
      <c r="S206" s="16">
        <f t="array" ref="S206">IF($A206="","",_xlfn.TEXTJOIN(CHAR(10),TRUE,IF('Clarice'!$B$6:$B$300=$A206,"Clarice"&amp;IF('Clarice'!$E$6:$E$300="",""," : "&amp;'Clarice'!$E$6:$E$300)&amp;" ["&amp;'Clarice'!$F$6:$F$300&amp;"]",""),IF('Luisa'!$B$6:$B$300=$A206,"Luisa"&amp;IF('Luisa'!$E$6:$E$300="",""," : "&amp;'Luisa'!$E$6:$E$300)&amp;" ["&amp;'Luisa'!$F$6:$F$300&amp;"]",""),IF('Lui'!$B$6:$B$300=$A206,"Lui"&amp;IF('Lui'!$E$6:$E$300="",""," : "&amp;'Lui'!$E$6:$E$300)&amp;" ["&amp;'Lui'!$F$6:$F$300&amp;"]",""),IF('Thaís'!$B$6:$B$300=$A206,"Thaís"&amp;IF('Thaís'!$E$6:$E$300="",""," : "&amp;'Thaís'!$E$6:$E$300)&amp;" ["&amp;'Thaís'!$F$6:$F$300&amp;"]",""),IF('Daniel'!$B$6:$B$300=$A206,"Daniel"&amp;IF('Daniel'!$E$6:$E$300="",""," : "&amp;'Daniel'!$E$6:$E$300)&amp;" ["&amp;'Daniel'!$F$6:$F$300&amp;"]",""),IF('Fernando'!$B$6:$B$300=$A206,"Fernando"&amp;IF('Fernando'!$E$6:$E$300="",""," : "&amp;'Fernando'!$E$6:$E$300)&amp;" ["&amp;'Fernando'!$F$6:$F$300&amp;"]",""),IF('Stephanie'!$B$6:$B$300=$A206,"Stephanie"&amp;IF('Stephanie'!$E$6:$E$300="",""," : "&amp;'Stephanie'!$E$6:$E$300)&amp;" ["&amp;'Stephanie'!$F$6:$F$300&amp;"]",""),IF('Fox'!$B$6:$B$300=$A206,"Fox"&amp;IF('Fox'!$E$6:$E$300="",""," : "&amp;'Fox'!$E$6:$E$300)&amp;" ["&amp;'Fox'!$F$6:$F$300&amp;"]",""),IF('Bruna'!$B$6:$B$300=$A206,"Bruna"&amp;IF('Bruna'!$E$6:$E$300="",""," : "&amp;'Bruna'!$E$6:$E$300)&amp;" ["&amp;'Bruna'!$F$6:$F$300&amp;"]",""),IF('Stella'!$B$6:$B$300=$A206,"Stella"&amp;IF('Stella'!$E$6:$E$300="",""," : "&amp;'Stella'!$E$6:$E$300)&amp;" ["&amp;'Stella'!$F$6:$F$300&amp;"]",""),IF('Igor'!$B$6:$B$300=$A206,"Igor"&amp;IF('Igor'!$E$6:$E$300="",""," : "&amp;'Igor'!$E$6:$E$300)&amp;" ["&amp;'Igor'!$F$6:$F$300&amp;"]","")))</f>
        <v/>
      </c>
    </row>
    <row r="207" ht="15.5" customHeight="1">
      <c r="A207" s="13" t="inlineStr">
        <is>
          <t>SBM-037</t>
        </is>
      </c>
      <c r="B207" s="14" t="inlineStr">
        <is>
          <t>Etapa 2: Construção das métricas | Atividade 7: Operacionalização das métricas | Atividade 8: Aplicação das métricas</t>
        </is>
      </c>
      <c r="C207" s="14" t="inlineStr">
        <is>
          <t>Aplicação da SBM</t>
        </is>
      </c>
      <c r="D207" s="14" t="inlineStr">
        <is>
          <t>Boaventura &amp; GR3</t>
        </is>
      </c>
      <c r="E207" s="15" t="inlineStr">
        <is>
          <t>Apresentar e consolidar os resultados internamente</t>
        </is>
      </c>
      <c r="F207" s="13" t="inlineStr">
        <is>
          <t>Luisa</t>
        </is>
      </c>
      <c r="G207" s="16">
        <f>IF($A207="","",_xlfn.TEXTJOIN("; ",TRUE,IF(COUNTIF('Clarice'!$B$6:$B$300,$A207)&gt;0,"Clarice",""),IF(COUNTIF('Luisa'!$B$6:$B$300,$A207)&gt;0,"Luisa",""),IF(COUNTIF('Lui'!$B$6:$B$300,$A207)&gt;0,"Lui",""),IF(COUNTIF('Thaís'!$B$6:$B$300,$A207)&gt;0,"Thaís",""),IF(COUNTIF('Daniel'!$B$6:$B$300,$A207)&gt;0,"Daniel",""),IF(COUNTIF('Fernando'!$B$6:$B$300,$A207)&gt;0,"Fernando",""),IF(COUNTIF('Stephanie'!$B$6:$B$300,$A207)&gt;0,"Stephanie",""),IF(COUNTIF('Fox'!$B$6:$B$300,$A207)&gt;0,"Fox",""),IF(COUNTIF('Bruna'!$B$6:$B$300,$A207)&gt;0,"Bruna",""),IF(COUNTIF('Stella'!$B$6:$B$300,$A207)&gt;0,"Stella",""),IF(COUNTIF('Igor'!$B$6:$B$300,$A207)&gt;0,"Igor","")))</f>
        <v/>
      </c>
      <c r="H207" s="13" t="n"/>
      <c r="I207" s="13" t="inlineStr">
        <is>
          <t>Não iniciado</t>
        </is>
      </c>
      <c r="J207" s="17">
        <f>IF(OR($A207="",(COUNTIF('Clarice'!$B$6:$B$300,$A207)+COUNTIF('Luisa'!$B$6:$B$300,$A207)+COUNTIF('Lui'!$B$6:$B$300,$A207)+COUNTIF('Thaís'!$B$6:$B$300,$A207)+COUNTIF('Daniel'!$B$6:$B$300,$A207)+COUNTIF('Fernando'!$B$6:$B$300,$A207)+COUNTIF('Stephanie'!$B$6:$B$300,$A207)+COUNTIF('Fox'!$B$6:$B$300,$A207)+COUNTIF('Bruna'!$B$6:$B$300,$A207)+COUNTIF('Stella'!$B$6:$B$300,$A207)+COUNTIF('Igor'!$B$6:$B$300,$A207))=0),"",(COUNTIFS('Clarice'!$B$6:$B$300,$A207,'Clarice'!$F$6:$F$300,"Concluído")+COUNTIFS('Luisa'!$B$6:$B$300,$A207,'Luisa'!$F$6:$F$300,"Concluído")+COUNTIFS('Lui'!$B$6:$B$300,$A207,'Lui'!$F$6:$F$300,"Concluído")+COUNTIFS('Thaís'!$B$6:$B$300,$A207,'Thaís'!$F$6:$F$300,"Concluído")+COUNTIFS('Daniel'!$B$6:$B$300,$A207,'Daniel'!$F$6:$F$300,"Concluído")+COUNTIFS('Fernando'!$B$6:$B$300,$A207,'Fernando'!$F$6:$F$300,"Concluído")+COUNTIFS('Stephanie'!$B$6:$B$300,$A207,'Stephanie'!$F$6:$F$300,"Concluído")+COUNTIFS('Fox'!$B$6:$B$300,$A207,'Fox'!$F$6:$F$300,"Concluído")+COUNTIFS('Bruna'!$B$6:$B$300,$A207,'Bruna'!$F$6:$F$300,"Concluído")+COUNTIFS('Stella'!$B$6:$B$300,$A207,'Stella'!$F$6:$F$300,"Concluído")+COUNTIFS('Igor'!$B$6:$B$300,$A207,'Igor'!$F$6:$F$300,"Concluído"))&amp;" / "&amp;(COUNTIF('Clarice'!$B$6:$B$300,$A207)+COUNTIF('Luisa'!$B$6:$B$300,$A207)+COUNTIF('Lui'!$B$6:$B$300,$A207)+COUNTIF('Thaís'!$B$6:$B$300,$A207)+COUNTIF('Daniel'!$B$6:$B$300,$A207)+COUNTIF('Fernando'!$B$6:$B$300,$A207)+COUNTIF('Stephanie'!$B$6:$B$300,$A207)+COUNTIF('Fox'!$B$6:$B$300,$A207)+COUNTIF('Bruna'!$B$6:$B$300,$A207)+COUNTIF('Stella'!$B$6:$B$300,$A207)+COUNTIF('Igor'!$B$6:$B$300,$A207)))</f>
        <v/>
      </c>
      <c r="K207" s="18" t="n">
        <v>46174</v>
      </c>
      <c r="L207" s="18" t="n">
        <v>46178</v>
      </c>
      <c r="M207" s="18" t="n">
        <v>46174</v>
      </c>
      <c r="N207" s="18" t="n">
        <v>46227</v>
      </c>
      <c r="O207" s="19" t="n"/>
      <c r="P207" s="20">
        <f>IF($A207="","",IF(M207&lt;&gt;"",M207,IF(K207&lt;&gt;"",K207,"")))</f>
        <v/>
      </c>
      <c r="Q207" s="20">
        <f>IF($A207="","",IF(N207&lt;&gt;"",N207,IF(L207&lt;&gt;"",L207,"")))</f>
        <v/>
      </c>
      <c r="R207" s="15" t="n"/>
      <c r="S207" s="16">
        <f t="array" ref="S207">IF($A207="","",_xlfn.TEXTJOIN(CHAR(10),TRUE,IF('Clarice'!$B$6:$B$300=$A207,"Clarice"&amp;IF('Clarice'!$E$6:$E$300="",""," : "&amp;'Clarice'!$E$6:$E$300)&amp;" ["&amp;'Clarice'!$F$6:$F$300&amp;"]",""),IF('Luisa'!$B$6:$B$300=$A207,"Luisa"&amp;IF('Luisa'!$E$6:$E$300="",""," : "&amp;'Luisa'!$E$6:$E$300)&amp;" ["&amp;'Luisa'!$F$6:$F$300&amp;"]",""),IF('Lui'!$B$6:$B$300=$A207,"Lui"&amp;IF('Lui'!$E$6:$E$300="",""," : "&amp;'Lui'!$E$6:$E$300)&amp;" ["&amp;'Lui'!$F$6:$F$300&amp;"]",""),IF('Thaís'!$B$6:$B$300=$A207,"Thaís"&amp;IF('Thaís'!$E$6:$E$300="",""," : "&amp;'Thaís'!$E$6:$E$300)&amp;" ["&amp;'Thaís'!$F$6:$F$300&amp;"]",""),IF('Daniel'!$B$6:$B$300=$A207,"Daniel"&amp;IF('Daniel'!$E$6:$E$300="",""," : "&amp;'Daniel'!$E$6:$E$300)&amp;" ["&amp;'Daniel'!$F$6:$F$300&amp;"]",""),IF('Fernando'!$B$6:$B$300=$A207,"Fernando"&amp;IF('Fernando'!$E$6:$E$300="",""," : "&amp;'Fernando'!$E$6:$E$300)&amp;" ["&amp;'Fernando'!$F$6:$F$300&amp;"]",""),IF('Stephanie'!$B$6:$B$300=$A207,"Stephanie"&amp;IF('Stephanie'!$E$6:$E$300="",""," : "&amp;'Stephanie'!$E$6:$E$300)&amp;" ["&amp;'Stephanie'!$F$6:$F$300&amp;"]",""),IF('Fox'!$B$6:$B$300=$A207,"Fox"&amp;IF('Fox'!$E$6:$E$300="",""," : "&amp;'Fox'!$E$6:$E$300)&amp;" ["&amp;'Fox'!$F$6:$F$300&amp;"]",""),IF('Bruna'!$B$6:$B$300=$A207,"Bruna"&amp;IF('Bruna'!$E$6:$E$300="",""," : "&amp;'Bruna'!$E$6:$E$300)&amp;" ["&amp;'Bruna'!$F$6:$F$300&amp;"]",""),IF('Stella'!$B$6:$B$300=$A207,"Stella"&amp;IF('Stella'!$E$6:$E$300="",""," : "&amp;'Stella'!$E$6:$E$300)&amp;" ["&amp;'Stella'!$F$6:$F$300&amp;"]",""),IF('Igor'!$B$6:$B$300=$A207,"Igor"&amp;IF('Igor'!$E$6:$E$300="",""," : "&amp;'Igor'!$E$6:$E$300)&amp;" ["&amp;'Igor'!$F$6:$F$300&amp;"]","")))</f>
        <v/>
      </c>
    </row>
    <row r="208" ht="28" customHeight="1">
      <c r="A208" s="13" t="inlineStr">
        <is>
          <t>SBM-038</t>
        </is>
      </c>
      <c r="B208" s="14" t="inlineStr">
        <is>
          <t>Etapa 2: Construção das métricas | Atividade 7: Operacionalização das métricas | Atividade 8: Aplicação das métricas</t>
        </is>
      </c>
      <c r="C208" s="14" t="inlineStr">
        <is>
          <t>Aplicação da SBM</t>
        </is>
      </c>
      <c r="D208" s="14" t="inlineStr">
        <is>
          <t>Boaventura &amp; GR3</t>
        </is>
      </c>
      <c r="E208" s="15" t="inlineStr">
        <is>
          <t>Identificar lacunas de dados para recomendar para a Petrobras</t>
        </is>
      </c>
      <c r="F208" s="13" t="inlineStr">
        <is>
          <t>Luisa</t>
        </is>
      </c>
      <c r="G208" s="16">
        <f>IF($A208="","",_xlfn.TEXTJOIN("; ",TRUE,IF(COUNTIF('Clarice'!$B$6:$B$300,$A208)&gt;0,"Clarice",""),IF(COUNTIF('Luisa'!$B$6:$B$300,$A208)&gt;0,"Luisa",""),IF(COUNTIF('Lui'!$B$6:$B$300,$A208)&gt;0,"Lui",""),IF(COUNTIF('Thaís'!$B$6:$B$300,$A208)&gt;0,"Thaís",""),IF(COUNTIF('Daniel'!$B$6:$B$300,$A208)&gt;0,"Daniel",""),IF(COUNTIF('Fernando'!$B$6:$B$300,$A208)&gt;0,"Fernando",""),IF(COUNTIF('Stephanie'!$B$6:$B$300,$A208)&gt;0,"Stephanie",""),IF(COUNTIF('Fox'!$B$6:$B$300,$A208)&gt;0,"Fox",""),IF(COUNTIF('Bruna'!$B$6:$B$300,$A208)&gt;0,"Bruna",""),IF(COUNTIF('Stella'!$B$6:$B$300,$A208)&gt;0,"Stella",""),IF(COUNTIF('Igor'!$B$6:$B$300,$A208)&gt;0,"Igor","")))</f>
        <v/>
      </c>
      <c r="H208" s="13" t="n"/>
      <c r="I208" s="13" t="inlineStr">
        <is>
          <t>Não iniciado</t>
        </is>
      </c>
      <c r="J208" s="17">
        <f>IF(OR($A208="",(COUNTIF('Clarice'!$B$6:$B$300,$A208)+COUNTIF('Luisa'!$B$6:$B$300,$A208)+COUNTIF('Lui'!$B$6:$B$300,$A208)+COUNTIF('Thaís'!$B$6:$B$300,$A208)+COUNTIF('Daniel'!$B$6:$B$300,$A208)+COUNTIF('Fernando'!$B$6:$B$300,$A208)+COUNTIF('Stephanie'!$B$6:$B$300,$A208)+COUNTIF('Fox'!$B$6:$B$300,$A208)+COUNTIF('Bruna'!$B$6:$B$300,$A208)+COUNTIF('Stella'!$B$6:$B$300,$A208)+COUNTIF('Igor'!$B$6:$B$300,$A208))=0),"",(COUNTIFS('Clarice'!$B$6:$B$300,$A208,'Clarice'!$F$6:$F$300,"Concluído")+COUNTIFS('Luisa'!$B$6:$B$300,$A208,'Luisa'!$F$6:$F$300,"Concluído")+COUNTIFS('Lui'!$B$6:$B$300,$A208,'Lui'!$F$6:$F$300,"Concluído")+COUNTIFS('Thaís'!$B$6:$B$300,$A208,'Thaís'!$F$6:$F$300,"Concluído")+COUNTIFS('Daniel'!$B$6:$B$300,$A208,'Daniel'!$F$6:$F$300,"Concluído")+COUNTIFS('Fernando'!$B$6:$B$300,$A208,'Fernando'!$F$6:$F$300,"Concluído")+COUNTIFS('Stephanie'!$B$6:$B$300,$A208,'Stephanie'!$F$6:$F$300,"Concluído")+COUNTIFS('Fox'!$B$6:$B$300,$A208,'Fox'!$F$6:$F$300,"Concluído")+COUNTIFS('Bruna'!$B$6:$B$300,$A208,'Bruna'!$F$6:$F$300,"Concluído")+COUNTIFS('Stella'!$B$6:$B$300,$A208,'Stella'!$F$6:$F$300,"Concluído")+COUNTIFS('Igor'!$B$6:$B$300,$A208,'Igor'!$F$6:$F$300,"Concluído"))&amp;" / "&amp;(COUNTIF('Clarice'!$B$6:$B$300,$A208)+COUNTIF('Luisa'!$B$6:$B$300,$A208)+COUNTIF('Lui'!$B$6:$B$300,$A208)+COUNTIF('Thaís'!$B$6:$B$300,$A208)+COUNTIF('Daniel'!$B$6:$B$300,$A208)+COUNTIF('Fernando'!$B$6:$B$300,$A208)+COUNTIF('Stephanie'!$B$6:$B$300,$A208)+COUNTIF('Fox'!$B$6:$B$300,$A208)+COUNTIF('Bruna'!$B$6:$B$300,$A208)+COUNTIF('Stella'!$B$6:$B$300,$A208)+COUNTIF('Igor'!$B$6:$B$300,$A208)))</f>
        <v/>
      </c>
      <c r="K208" s="18" t="n">
        <v>46174</v>
      </c>
      <c r="L208" s="18" t="n">
        <v>46178</v>
      </c>
      <c r="M208" s="18" t="n">
        <v>46174</v>
      </c>
      <c r="N208" s="18" t="n">
        <v>46220</v>
      </c>
      <c r="O208" s="19" t="n"/>
      <c r="P208" s="20">
        <f>IF($A208="","",IF(M208&lt;&gt;"",M208,IF(K208&lt;&gt;"",K208,"")))</f>
        <v/>
      </c>
      <c r="Q208" s="20">
        <f>IF($A208="","",IF(N208&lt;&gt;"",N208,IF(L208&lt;&gt;"",L208,"")))</f>
        <v/>
      </c>
      <c r="R208" s="15" t="n"/>
      <c r="S208" s="16">
        <f t="array" ref="S208">IF($A208="","",_xlfn.TEXTJOIN(CHAR(10),TRUE,IF('Clarice'!$B$6:$B$300=$A208,"Clarice"&amp;IF('Clarice'!$E$6:$E$300="",""," : "&amp;'Clarice'!$E$6:$E$300)&amp;" ["&amp;'Clarice'!$F$6:$F$300&amp;"]",""),IF('Luisa'!$B$6:$B$300=$A208,"Luisa"&amp;IF('Luisa'!$E$6:$E$300="",""," : "&amp;'Luisa'!$E$6:$E$300)&amp;" ["&amp;'Luisa'!$F$6:$F$300&amp;"]",""),IF('Lui'!$B$6:$B$300=$A208,"Lui"&amp;IF('Lui'!$E$6:$E$300="",""," : "&amp;'Lui'!$E$6:$E$300)&amp;" ["&amp;'Lui'!$F$6:$F$300&amp;"]",""),IF('Thaís'!$B$6:$B$300=$A208,"Thaís"&amp;IF('Thaís'!$E$6:$E$300="",""," : "&amp;'Thaís'!$E$6:$E$300)&amp;" ["&amp;'Thaís'!$F$6:$F$300&amp;"]",""),IF('Daniel'!$B$6:$B$300=$A208,"Daniel"&amp;IF('Daniel'!$E$6:$E$300="",""," : "&amp;'Daniel'!$E$6:$E$300)&amp;" ["&amp;'Daniel'!$F$6:$F$300&amp;"]",""),IF('Fernando'!$B$6:$B$300=$A208,"Fernando"&amp;IF('Fernando'!$E$6:$E$300="",""," : "&amp;'Fernando'!$E$6:$E$300)&amp;" ["&amp;'Fernando'!$F$6:$F$300&amp;"]",""),IF('Stephanie'!$B$6:$B$300=$A208,"Stephanie"&amp;IF('Stephanie'!$E$6:$E$300="",""," : "&amp;'Stephanie'!$E$6:$E$300)&amp;" ["&amp;'Stephanie'!$F$6:$F$300&amp;"]",""),IF('Fox'!$B$6:$B$300=$A208,"Fox"&amp;IF('Fox'!$E$6:$E$300="",""," : "&amp;'Fox'!$E$6:$E$300)&amp;" ["&amp;'Fox'!$F$6:$F$300&amp;"]",""),IF('Bruna'!$B$6:$B$300=$A208,"Bruna"&amp;IF('Bruna'!$E$6:$E$300="",""," : "&amp;'Bruna'!$E$6:$E$300)&amp;" ["&amp;'Bruna'!$F$6:$F$300&amp;"]",""),IF('Stella'!$B$6:$B$300=$A208,"Stella"&amp;IF('Stella'!$E$6:$E$300="",""," : "&amp;'Stella'!$E$6:$E$300)&amp;" ["&amp;'Stella'!$F$6:$F$300&amp;"]",""),IF('Igor'!$B$6:$B$300=$A208,"Igor"&amp;IF('Igor'!$E$6:$E$300="",""," : "&amp;'Igor'!$E$6:$E$300)&amp;" ["&amp;'Igor'!$F$6:$F$300&amp;"]","")))</f>
        <v/>
      </c>
    </row>
    <row r="209" ht="15.5" customHeight="1">
      <c r="A209" s="13" t="inlineStr">
        <is>
          <t>SBM-039</t>
        </is>
      </c>
      <c r="B209" s="14" t="inlineStr">
        <is>
          <t>Etapa 2: Construção das métricas | Atividade 7: Operacionalização das métricas | Atividade 8: Aplicação das métricas</t>
        </is>
      </c>
      <c r="C209" s="14" t="inlineStr">
        <is>
          <t>Aplicação da SBM</t>
        </is>
      </c>
      <c r="D209" s="14" t="inlineStr">
        <is>
          <t>Boaventura &amp; GR3</t>
        </is>
      </c>
      <c r="E209" s="15" t="inlineStr">
        <is>
          <t>Realizar as atividades pré-campo</t>
        </is>
      </c>
      <c r="F209" s="13" t="inlineStr">
        <is>
          <t>Luisa</t>
        </is>
      </c>
      <c r="G209" s="16">
        <f>IF($A209="","",_xlfn.TEXTJOIN("; ",TRUE,IF(COUNTIF('Clarice'!$B$6:$B$300,$A209)&gt;0,"Clarice",""),IF(COUNTIF('Luisa'!$B$6:$B$300,$A209)&gt;0,"Luisa",""),IF(COUNTIF('Lui'!$B$6:$B$300,$A209)&gt;0,"Lui",""),IF(COUNTIF('Thaís'!$B$6:$B$300,$A209)&gt;0,"Thaís",""),IF(COUNTIF('Daniel'!$B$6:$B$300,$A209)&gt;0,"Daniel",""),IF(COUNTIF('Fernando'!$B$6:$B$300,$A209)&gt;0,"Fernando",""),IF(COUNTIF('Stephanie'!$B$6:$B$300,$A209)&gt;0,"Stephanie",""),IF(COUNTIF('Fox'!$B$6:$B$300,$A209)&gt;0,"Fox",""),IF(COUNTIF('Bruna'!$B$6:$B$300,$A209)&gt;0,"Bruna",""),IF(COUNTIF('Stella'!$B$6:$B$300,$A209)&gt;0,"Stella",""),IF(COUNTIF('Igor'!$B$6:$B$300,$A209)&gt;0,"Igor","")))</f>
        <v/>
      </c>
      <c r="H209" s="13" t="n"/>
      <c r="I209" s="13" t="inlineStr">
        <is>
          <t>Em andamento</t>
        </is>
      </c>
      <c r="J209" s="17">
        <f>IF(OR($A209="",(COUNTIF('Clarice'!$B$6:$B$300,$A209)+COUNTIF('Luisa'!$B$6:$B$300,$A209)+COUNTIF('Lui'!$B$6:$B$300,$A209)+COUNTIF('Thaís'!$B$6:$B$300,$A209)+COUNTIF('Daniel'!$B$6:$B$300,$A209)+COUNTIF('Fernando'!$B$6:$B$300,$A209)+COUNTIF('Stephanie'!$B$6:$B$300,$A209)+COUNTIF('Fox'!$B$6:$B$300,$A209)+COUNTIF('Bruna'!$B$6:$B$300,$A209)+COUNTIF('Stella'!$B$6:$B$300,$A209)+COUNTIF('Igor'!$B$6:$B$300,$A209))=0),"",(COUNTIFS('Clarice'!$B$6:$B$300,$A209,'Clarice'!$F$6:$F$300,"Concluído")+COUNTIFS('Luisa'!$B$6:$B$300,$A209,'Luisa'!$F$6:$F$300,"Concluído")+COUNTIFS('Lui'!$B$6:$B$300,$A209,'Lui'!$F$6:$F$300,"Concluído")+COUNTIFS('Thaís'!$B$6:$B$300,$A209,'Thaís'!$F$6:$F$300,"Concluído")+COUNTIFS('Daniel'!$B$6:$B$300,$A209,'Daniel'!$F$6:$F$300,"Concluído")+COUNTIFS('Fernando'!$B$6:$B$300,$A209,'Fernando'!$F$6:$F$300,"Concluído")+COUNTIFS('Stephanie'!$B$6:$B$300,$A209,'Stephanie'!$F$6:$F$300,"Concluído")+COUNTIFS('Fox'!$B$6:$B$300,$A209,'Fox'!$F$6:$F$300,"Concluído")+COUNTIFS('Bruna'!$B$6:$B$300,$A209,'Bruna'!$F$6:$F$300,"Concluído")+COUNTIFS('Stella'!$B$6:$B$300,$A209,'Stella'!$F$6:$F$300,"Concluído")+COUNTIFS('Igor'!$B$6:$B$300,$A209,'Igor'!$F$6:$F$300,"Concluído"))&amp;" / "&amp;(COUNTIF('Clarice'!$B$6:$B$300,$A209)+COUNTIF('Luisa'!$B$6:$B$300,$A209)+COUNTIF('Lui'!$B$6:$B$300,$A209)+COUNTIF('Thaís'!$B$6:$B$300,$A209)+COUNTIF('Daniel'!$B$6:$B$300,$A209)+COUNTIF('Fernando'!$B$6:$B$300,$A209)+COUNTIF('Stephanie'!$B$6:$B$300,$A209)+COUNTIF('Fox'!$B$6:$B$300,$A209)+COUNTIF('Bruna'!$B$6:$B$300,$A209)+COUNTIF('Stella'!$B$6:$B$300,$A209)+COUNTIF('Igor'!$B$6:$B$300,$A209)))</f>
        <v/>
      </c>
      <c r="K209" s="18" t="n">
        <v>46237</v>
      </c>
      <c r="L209" s="18" t="n">
        <v>46262</v>
      </c>
      <c r="M209" s="19" t="n"/>
      <c r="N209" s="19" t="n"/>
      <c r="O209" s="19" t="n"/>
      <c r="P209" s="20">
        <f>IF($A209="","",IF(M209&lt;&gt;"",M209,IF(K209&lt;&gt;"",K209,"")))</f>
        <v/>
      </c>
      <c r="Q209" s="20">
        <f>IF($A209="","",IF(N209&lt;&gt;"",N209,IF(L209&lt;&gt;"",L209,"")))</f>
        <v/>
      </c>
      <c r="R209" s="15" t="n"/>
      <c r="S209" s="16">
        <f t="array" ref="S209">IF($A209="","",_xlfn.TEXTJOIN(CHAR(10),TRUE,IF('Clarice'!$B$6:$B$300=$A209,"Clarice"&amp;IF('Clarice'!$E$6:$E$300="",""," : "&amp;'Clarice'!$E$6:$E$300)&amp;" ["&amp;'Clarice'!$F$6:$F$300&amp;"]",""),IF('Luisa'!$B$6:$B$300=$A209,"Luisa"&amp;IF('Luisa'!$E$6:$E$300="",""," : "&amp;'Luisa'!$E$6:$E$300)&amp;" ["&amp;'Luisa'!$F$6:$F$300&amp;"]",""),IF('Lui'!$B$6:$B$300=$A209,"Lui"&amp;IF('Lui'!$E$6:$E$300="",""," : "&amp;'Lui'!$E$6:$E$300)&amp;" ["&amp;'Lui'!$F$6:$F$300&amp;"]",""),IF('Thaís'!$B$6:$B$300=$A209,"Thaís"&amp;IF('Thaís'!$E$6:$E$300="",""," : "&amp;'Thaís'!$E$6:$E$300)&amp;" ["&amp;'Thaís'!$F$6:$F$300&amp;"]",""),IF('Daniel'!$B$6:$B$300=$A209,"Daniel"&amp;IF('Daniel'!$E$6:$E$300="",""," : "&amp;'Daniel'!$E$6:$E$300)&amp;" ["&amp;'Daniel'!$F$6:$F$300&amp;"]",""),IF('Fernando'!$B$6:$B$300=$A209,"Fernando"&amp;IF('Fernando'!$E$6:$E$300="",""," : "&amp;'Fernando'!$E$6:$E$300)&amp;" ["&amp;'Fernando'!$F$6:$F$300&amp;"]",""),IF('Stephanie'!$B$6:$B$300=$A209,"Stephanie"&amp;IF('Stephanie'!$E$6:$E$300="",""," : "&amp;'Stephanie'!$E$6:$E$300)&amp;" ["&amp;'Stephanie'!$F$6:$F$300&amp;"]",""),IF('Fox'!$B$6:$B$300=$A209,"Fox"&amp;IF('Fox'!$E$6:$E$300="",""," : "&amp;'Fox'!$E$6:$E$300)&amp;" ["&amp;'Fox'!$F$6:$F$300&amp;"]",""),IF('Bruna'!$B$6:$B$300=$A209,"Bruna"&amp;IF('Bruna'!$E$6:$E$300="",""," : "&amp;'Bruna'!$E$6:$E$300)&amp;" ["&amp;'Bruna'!$F$6:$F$300&amp;"]",""),IF('Stella'!$B$6:$B$300=$A209,"Stella"&amp;IF('Stella'!$E$6:$E$300="",""," : "&amp;'Stella'!$E$6:$E$300)&amp;" ["&amp;'Stella'!$F$6:$F$300&amp;"]",""),IF('Igor'!$B$6:$B$300=$A209,"Igor"&amp;IF('Igor'!$E$6:$E$300="",""," : "&amp;'Igor'!$E$6:$E$300)&amp;" ["&amp;'Igor'!$F$6:$F$300&amp;"]","")))</f>
        <v/>
      </c>
    </row>
    <row r="210" ht="15.5" customHeight="1">
      <c r="A210" s="13" t="inlineStr">
        <is>
          <t>SBM-040</t>
        </is>
      </c>
      <c r="B210" s="14" t="inlineStr">
        <is>
          <t>Etapa 2: Construção das métricas | Atividade 7: Operacionalização das métricas | Atividade 8: Aplicação das métricas</t>
        </is>
      </c>
      <c r="C210" s="14" t="inlineStr">
        <is>
          <t>Aplicação da SBM</t>
        </is>
      </c>
      <c r="D210" s="14" t="inlineStr">
        <is>
          <t>Boaventura &amp; GR3</t>
        </is>
      </c>
      <c r="E210" s="15" t="inlineStr">
        <is>
          <t>Realizar o campo</t>
        </is>
      </c>
      <c r="F210" s="13" t="inlineStr">
        <is>
          <t>Luisa</t>
        </is>
      </c>
      <c r="G210" s="16">
        <f>IF($A210="","",_xlfn.TEXTJOIN("; ",TRUE,IF(COUNTIF('Clarice'!$B$6:$B$300,$A210)&gt;0,"Clarice",""),IF(COUNTIF('Luisa'!$B$6:$B$300,$A210)&gt;0,"Luisa",""),IF(COUNTIF('Lui'!$B$6:$B$300,$A210)&gt;0,"Lui",""),IF(COUNTIF('Thaís'!$B$6:$B$300,$A210)&gt;0,"Thaís",""),IF(COUNTIF('Daniel'!$B$6:$B$300,$A210)&gt;0,"Daniel",""),IF(COUNTIF('Fernando'!$B$6:$B$300,$A210)&gt;0,"Fernando",""),IF(COUNTIF('Stephanie'!$B$6:$B$300,$A210)&gt;0,"Stephanie",""),IF(COUNTIF('Fox'!$B$6:$B$300,$A210)&gt;0,"Fox",""),IF(COUNTIF('Bruna'!$B$6:$B$300,$A210)&gt;0,"Bruna",""),IF(COUNTIF('Stella'!$B$6:$B$300,$A210)&gt;0,"Stella",""),IF(COUNTIF('Igor'!$B$6:$B$300,$A210)&gt;0,"Igor","")))</f>
        <v/>
      </c>
      <c r="H210" s="13" t="n"/>
      <c r="I210" s="13" t="inlineStr">
        <is>
          <t>Não iniciado</t>
        </is>
      </c>
      <c r="J210" s="17">
        <f>IF(OR($A210="",(COUNTIF('Clarice'!$B$6:$B$300,$A210)+COUNTIF('Luisa'!$B$6:$B$300,$A210)+COUNTIF('Lui'!$B$6:$B$300,$A210)+COUNTIF('Thaís'!$B$6:$B$300,$A210)+COUNTIF('Daniel'!$B$6:$B$300,$A210)+COUNTIF('Fernando'!$B$6:$B$300,$A210)+COUNTIF('Stephanie'!$B$6:$B$300,$A210)+COUNTIF('Fox'!$B$6:$B$300,$A210)+COUNTIF('Bruna'!$B$6:$B$300,$A210)+COUNTIF('Stella'!$B$6:$B$300,$A210)+COUNTIF('Igor'!$B$6:$B$300,$A210))=0),"",(COUNTIFS('Clarice'!$B$6:$B$300,$A210,'Clarice'!$F$6:$F$300,"Concluído")+COUNTIFS('Luisa'!$B$6:$B$300,$A210,'Luisa'!$F$6:$F$300,"Concluído")+COUNTIFS('Lui'!$B$6:$B$300,$A210,'Lui'!$F$6:$F$300,"Concluído")+COUNTIFS('Thaís'!$B$6:$B$300,$A210,'Thaís'!$F$6:$F$300,"Concluído")+COUNTIFS('Daniel'!$B$6:$B$300,$A210,'Daniel'!$F$6:$F$300,"Concluído")+COUNTIFS('Fernando'!$B$6:$B$300,$A210,'Fernando'!$F$6:$F$300,"Concluído")+COUNTIFS('Stephanie'!$B$6:$B$300,$A210,'Stephanie'!$F$6:$F$300,"Concluído")+COUNTIFS('Fox'!$B$6:$B$300,$A210,'Fox'!$F$6:$F$300,"Concluído")+COUNTIFS('Bruna'!$B$6:$B$300,$A210,'Bruna'!$F$6:$F$300,"Concluído")+COUNTIFS('Stella'!$B$6:$B$300,$A210,'Stella'!$F$6:$F$300,"Concluído")+COUNTIFS('Igor'!$B$6:$B$300,$A210,'Igor'!$F$6:$F$300,"Concluído"))&amp;" / "&amp;(COUNTIF('Clarice'!$B$6:$B$300,$A210)+COUNTIF('Luisa'!$B$6:$B$300,$A210)+COUNTIF('Lui'!$B$6:$B$300,$A210)+COUNTIF('Thaís'!$B$6:$B$300,$A210)+COUNTIF('Daniel'!$B$6:$B$300,$A210)+COUNTIF('Fernando'!$B$6:$B$300,$A210)+COUNTIF('Stephanie'!$B$6:$B$300,$A210)+COUNTIF('Fox'!$B$6:$B$300,$A210)+COUNTIF('Bruna'!$B$6:$B$300,$A210)+COUNTIF('Stella'!$B$6:$B$300,$A210)+COUNTIF('Igor'!$B$6:$B$300,$A210)))</f>
        <v/>
      </c>
      <c r="K210" s="18" t="n">
        <v>46273</v>
      </c>
      <c r="L210" s="18" t="n">
        <v>46276</v>
      </c>
      <c r="M210" s="19" t="n"/>
      <c r="N210" s="19" t="n"/>
      <c r="O210" s="19" t="n"/>
      <c r="P210" s="20">
        <f>IF($A210="","",IF(M210&lt;&gt;"",M210,IF(K210&lt;&gt;"",K210,"")))</f>
        <v/>
      </c>
      <c r="Q210" s="20">
        <f>IF($A210="","",IF(N210&lt;&gt;"",N210,IF(L210&lt;&gt;"",L210,"")))</f>
        <v/>
      </c>
      <c r="R210" s="15" t="n"/>
      <c r="S210" s="16">
        <f t="array" ref="S210">IF($A210="","",_xlfn.TEXTJOIN(CHAR(10),TRUE,IF('Clarice'!$B$6:$B$300=$A210,"Clarice"&amp;IF('Clarice'!$E$6:$E$300="",""," : "&amp;'Clarice'!$E$6:$E$300)&amp;" ["&amp;'Clarice'!$F$6:$F$300&amp;"]",""),IF('Luisa'!$B$6:$B$300=$A210,"Luisa"&amp;IF('Luisa'!$E$6:$E$300="",""," : "&amp;'Luisa'!$E$6:$E$300)&amp;" ["&amp;'Luisa'!$F$6:$F$300&amp;"]",""),IF('Lui'!$B$6:$B$300=$A210,"Lui"&amp;IF('Lui'!$E$6:$E$300="",""," : "&amp;'Lui'!$E$6:$E$300)&amp;" ["&amp;'Lui'!$F$6:$F$300&amp;"]",""),IF('Thaís'!$B$6:$B$300=$A210,"Thaís"&amp;IF('Thaís'!$E$6:$E$300="",""," : "&amp;'Thaís'!$E$6:$E$300)&amp;" ["&amp;'Thaís'!$F$6:$F$300&amp;"]",""),IF('Daniel'!$B$6:$B$300=$A210,"Daniel"&amp;IF('Daniel'!$E$6:$E$300="",""," : "&amp;'Daniel'!$E$6:$E$300)&amp;" ["&amp;'Daniel'!$F$6:$F$300&amp;"]",""),IF('Fernando'!$B$6:$B$300=$A210,"Fernando"&amp;IF('Fernando'!$E$6:$E$300="",""," : "&amp;'Fernando'!$E$6:$E$300)&amp;" ["&amp;'Fernando'!$F$6:$F$300&amp;"]",""),IF('Stephanie'!$B$6:$B$300=$A210,"Stephanie"&amp;IF('Stephanie'!$E$6:$E$300="",""," : "&amp;'Stephanie'!$E$6:$E$300)&amp;" ["&amp;'Stephanie'!$F$6:$F$300&amp;"]",""),IF('Fox'!$B$6:$B$300=$A210,"Fox"&amp;IF('Fox'!$E$6:$E$300="",""," : "&amp;'Fox'!$E$6:$E$300)&amp;" ["&amp;'Fox'!$F$6:$F$300&amp;"]",""),IF('Bruna'!$B$6:$B$300=$A210,"Bruna"&amp;IF('Bruna'!$E$6:$E$300="",""," : "&amp;'Bruna'!$E$6:$E$300)&amp;" ["&amp;'Bruna'!$F$6:$F$300&amp;"]",""),IF('Stella'!$B$6:$B$300=$A210,"Stella"&amp;IF('Stella'!$E$6:$E$300="",""," : "&amp;'Stella'!$E$6:$E$300)&amp;" ["&amp;'Stella'!$F$6:$F$300&amp;"]",""),IF('Igor'!$B$6:$B$300=$A210,"Igor"&amp;IF('Igor'!$E$6:$E$300="",""," : "&amp;'Igor'!$E$6:$E$300)&amp;" ["&amp;'Igor'!$F$6:$F$300&amp;"]","")))</f>
        <v/>
      </c>
    </row>
    <row r="211" ht="15.5" customHeight="1">
      <c r="A211" s="13" t="inlineStr">
        <is>
          <t>SBM-041</t>
        </is>
      </c>
      <c r="B211" s="14" t="inlineStr">
        <is>
          <t>Etapa 2: Construção das métricas | Atividade 7: Operacionalização das métricas | Atividade 8: Aplicação das métricas</t>
        </is>
      </c>
      <c r="C211" s="14" t="inlineStr">
        <is>
          <t>Aplicação da SBM</t>
        </is>
      </c>
      <c r="D211" s="14" t="inlineStr">
        <is>
          <t>Boaventura &amp; GR3</t>
        </is>
      </c>
      <c r="E211" s="15" t="inlineStr">
        <is>
          <t>Realizar as atividade pós-campo</t>
        </is>
      </c>
      <c r="F211" s="13" t="inlineStr">
        <is>
          <t>Luisa</t>
        </is>
      </c>
      <c r="G211" s="16">
        <f>IF($A211="","",_xlfn.TEXTJOIN("; ",TRUE,IF(COUNTIF('Clarice'!$B$6:$B$300,$A211)&gt;0,"Clarice",""),IF(COUNTIF('Luisa'!$B$6:$B$300,$A211)&gt;0,"Luisa",""),IF(COUNTIF('Lui'!$B$6:$B$300,$A211)&gt;0,"Lui",""),IF(COUNTIF('Thaís'!$B$6:$B$300,$A211)&gt;0,"Thaís",""),IF(COUNTIF('Daniel'!$B$6:$B$300,$A211)&gt;0,"Daniel",""),IF(COUNTIF('Fernando'!$B$6:$B$300,$A211)&gt;0,"Fernando",""),IF(COUNTIF('Stephanie'!$B$6:$B$300,$A211)&gt;0,"Stephanie",""),IF(COUNTIF('Fox'!$B$6:$B$300,$A211)&gt;0,"Fox",""),IF(COUNTIF('Bruna'!$B$6:$B$300,$A211)&gt;0,"Bruna",""),IF(COUNTIF('Stella'!$B$6:$B$300,$A211)&gt;0,"Stella",""),IF(COUNTIF('Igor'!$B$6:$B$300,$A211)&gt;0,"Igor","")))</f>
        <v/>
      </c>
      <c r="H211" s="13" t="n"/>
      <c r="I211" s="13" t="inlineStr">
        <is>
          <t>Não iniciado</t>
        </is>
      </c>
      <c r="J211" s="17">
        <f>IF(OR($A211="",(COUNTIF('Clarice'!$B$6:$B$300,$A211)+COUNTIF('Luisa'!$B$6:$B$300,$A211)+COUNTIF('Lui'!$B$6:$B$300,$A211)+COUNTIF('Thaís'!$B$6:$B$300,$A211)+COUNTIF('Daniel'!$B$6:$B$300,$A211)+COUNTIF('Fernando'!$B$6:$B$300,$A211)+COUNTIF('Stephanie'!$B$6:$B$300,$A211)+COUNTIF('Fox'!$B$6:$B$300,$A211)+COUNTIF('Bruna'!$B$6:$B$300,$A211)+COUNTIF('Stella'!$B$6:$B$300,$A211)+COUNTIF('Igor'!$B$6:$B$300,$A211))=0),"",(COUNTIFS('Clarice'!$B$6:$B$300,$A211,'Clarice'!$F$6:$F$300,"Concluído")+COUNTIFS('Luisa'!$B$6:$B$300,$A211,'Luisa'!$F$6:$F$300,"Concluído")+COUNTIFS('Lui'!$B$6:$B$300,$A211,'Lui'!$F$6:$F$300,"Concluído")+COUNTIFS('Thaís'!$B$6:$B$300,$A211,'Thaís'!$F$6:$F$300,"Concluído")+COUNTIFS('Daniel'!$B$6:$B$300,$A211,'Daniel'!$F$6:$F$300,"Concluído")+COUNTIFS('Fernando'!$B$6:$B$300,$A211,'Fernando'!$F$6:$F$300,"Concluído")+COUNTIFS('Stephanie'!$B$6:$B$300,$A211,'Stephanie'!$F$6:$F$300,"Concluído")+COUNTIFS('Fox'!$B$6:$B$300,$A211,'Fox'!$F$6:$F$300,"Concluído")+COUNTIFS('Bruna'!$B$6:$B$300,$A211,'Bruna'!$F$6:$F$300,"Concluído")+COUNTIFS('Stella'!$B$6:$B$300,$A211,'Stella'!$F$6:$F$300,"Concluído")+COUNTIFS('Igor'!$B$6:$B$300,$A211,'Igor'!$F$6:$F$300,"Concluído"))&amp;" / "&amp;(COUNTIF('Clarice'!$B$6:$B$300,$A211)+COUNTIF('Luisa'!$B$6:$B$300,$A211)+COUNTIF('Lui'!$B$6:$B$300,$A211)+COUNTIF('Thaís'!$B$6:$B$300,$A211)+COUNTIF('Daniel'!$B$6:$B$300,$A211)+COUNTIF('Fernando'!$B$6:$B$300,$A211)+COUNTIF('Stephanie'!$B$6:$B$300,$A211)+COUNTIF('Fox'!$B$6:$B$300,$A211)+COUNTIF('Bruna'!$B$6:$B$300,$A211)+COUNTIF('Stella'!$B$6:$B$300,$A211)+COUNTIF('Igor'!$B$6:$B$300,$A211)))</f>
        <v/>
      </c>
      <c r="K211" s="18" t="n">
        <v>46279</v>
      </c>
      <c r="L211" s="18" t="n">
        <v>46290</v>
      </c>
      <c r="M211" s="19" t="n"/>
      <c r="N211" s="19" t="n"/>
      <c r="O211" s="19" t="n"/>
      <c r="P211" s="20">
        <f>IF($A211="","",IF(M211&lt;&gt;"",M211,IF(K211&lt;&gt;"",K211,"")))</f>
        <v/>
      </c>
      <c r="Q211" s="20">
        <f>IF($A211="","",IF(N211&lt;&gt;"",N211,IF(L211&lt;&gt;"",L211,"")))</f>
        <v/>
      </c>
      <c r="R211" s="15" t="n"/>
      <c r="S211" s="16">
        <f t="array" ref="S211">IF($A211="","",_xlfn.TEXTJOIN(CHAR(10),TRUE,IF('Clarice'!$B$6:$B$300=$A211,"Clarice"&amp;IF('Clarice'!$E$6:$E$300="",""," : "&amp;'Clarice'!$E$6:$E$300)&amp;" ["&amp;'Clarice'!$F$6:$F$300&amp;"]",""),IF('Luisa'!$B$6:$B$300=$A211,"Luisa"&amp;IF('Luisa'!$E$6:$E$300="",""," : "&amp;'Luisa'!$E$6:$E$300)&amp;" ["&amp;'Luisa'!$F$6:$F$300&amp;"]",""),IF('Lui'!$B$6:$B$300=$A211,"Lui"&amp;IF('Lui'!$E$6:$E$300="",""," : "&amp;'Lui'!$E$6:$E$300)&amp;" ["&amp;'Lui'!$F$6:$F$300&amp;"]",""),IF('Thaís'!$B$6:$B$300=$A211,"Thaís"&amp;IF('Thaís'!$E$6:$E$300="",""," : "&amp;'Thaís'!$E$6:$E$300)&amp;" ["&amp;'Thaís'!$F$6:$F$300&amp;"]",""),IF('Daniel'!$B$6:$B$300=$A211,"Daniel"&amp;IF('Daniel'!$E$6:$E$300="",""," : "&amp;'Daniel'!$E$6:$E$300)&amp;" ["&amp;'Daniel'!$F$6:$F$300&amp;"]",""),IF('Fernando'!$B$6:$B$300=$A211,"Fernando"&amp;IF('Fernando'!$E$6:$E$300="",""," : "&amp;'Fernando'!$E$6:$E$300)&amp;" ["&amp;'Fernando'!$F$6:$F$300&amp;"]",""),IF('Stephanie'!$B$6:$B$300=$A211,"Stephanie"&amp;IF('Stephanie'!$E$6:$E$300="",""," : "&amp;'Stephanie'!$E$6:$E$300)&amp;" ["&amp;'Stephanie'!$F$6:$F$300&amp;"]",""),IF('Fox'!$B$6:$B$300=$A211,"Fox"&amp;IF('Fox'!$E$6:$E$300="",""," : "&amp;'Fox'!$E$6:$E$300)&amp;" ["&amp;'Fox'!$F$6:$F$300&amp;"]",""),IF('Bruna'!$B$6:$B$300=$A211,"Bruna"&amp;IF('Bruna'!$E$6:$E$300="",""," : "&amp;'Bruna'!$E$6:$E$300)&amp;" ["&amp;'Bruna'!$F$6:$F$300&amp;"]",""),IF('Stella'!$B$6:$B$300=$A211,"Stella"&amp;IF('Stella'!$E$6:$E$300="",""," : "&amp;'Stella'!$E$6:$E$300)&amp;" ["&amp;'Stella'!$F$6:$F$300&amp;"]",""),IF('Igor'!$B$6:$B$300=$A211,"Igor"&amp;IF('Igor'!$E$6:$E$300="",""," : "&amp;'Igor'!$E$6:$E$300)&amp;" ["&amp;'Igor'!$F$6:$F$300&amp;"]","")))</f>
        <v/>
      </c>
    </row>
    <row r="212">
      <c r="A212" s="21" t="n"/>
      <c r="B212" s="21" t="inlineStr">
        <is>
          <t>Etapa 2: Construção das métricas | Atividade 7: Operacionalização das métricas | Atividade 8: Aplicação das métricas</t>
        </is>
      </c>
      <c r="C212" s="21" t="inlineStr">
        <is>
          <t>Aplicação da SBM</t>
        </is>
      </c>
      <c r="D212" s="21" t="inlineStr">
        <is>
          <t>(subfrente sem título no original)</t>
        </is>
      </c>
      <c r="E212" s="21" t="inlineStr">
        <is>
          <t>(subfrente sem título no original)</t>
        </is>
      </c>
      <c r="F212" s="21" t="inlineStr">
        <is>
          <t>Luisa</t>
        </is>
      </c>
      <c r="G212" s="21">
        <f>IF($A212="","",_xlfn.TEXTJOIN("; ",TRUE,IF(COUNTIF('Clarice'!$B$6:$B$300,$A212)&gt;0,"Clarice",""),IF(COUNTIF('Luisa'!$B$6:$B$300,$A212)&gt;0,"Luisa",""),IF(COUNTIF('Lui'!$B$6:$B$300,$A212)&gt;0,"Lui",""),IF(COUNTIF('Thaís'!$B$6:$B$300,$A212)&gt;0,"Thaís",""),IF(COUNTIF('Daniel'!$B$6:$B$300,$A212)&gt;0,"Daniel",""),IF(COUNTIF('Fernando'!$B$6:$B$300,$A212)&gt;0,"Fernando",""),IF(COUNTIF('Stephanie'!$B$6:$B$300,$A212)&gt;0,"Stephanie",""),IF(COUNTIF('Fox'!$B$6:$B$300,$A212)&gt;0,"Fox",""),IF(COUNTIF('Bruna'!$B$6:$B$300,$A212)&gt;0,"Bruna",""),IF(COUNTIF('Stella'!$B$6:$B$300,$A212)&gt;0,"Stella",""),IF(COUNTIF('Igor'!$B$6:$B$300,$A212)&gt;0,"Igor","")))</f>
        <v/>
      </c>
      <c r="H212" s="21" t="n"/>
      <c r="I212" s="21" t="n"/>
      <c r="J212" s="21">
        <f>IF(OR($A212="",(COUNTIF('Clarice'!$B$6:$B$300,$A212)+COUNTIF('Luisa'!$B$6:$B$300,$A212)+COUNTIF('Lui'!$B$6:$B$300,$A212)+COUNTIF('Thaís'!$B$6:$B$300,$A212)+COUNTIF('Daniel'!$B$6:$B$300,$A212)+COUNTIF('Fernando'!$B$6:$B$300,$A212)+COUNTIF('Stephanie'!$B$6:$B$300,$A212)+COUNTIF('Fox'!$B$6:$B$300,$A212)+COUNTIF('Bruna'!$B$6:$B$300,$A212)+COUNTIF('Stella'!$B$6:$B$300,$A212)+COUNTIF('Igor'!$B$6:$B$300,$A212))=0),"",(COUNTIFS('Clarice'!$B$6:$B$300,$A212,'Clarice'!$F$6:$F$300,"Concluído")+COUNTIFS('Luisa'!$B$6:$B$300,$A212,'Luisa'!$F$6:$F$300,"Concluído")+COUNTIFS('Lui'!$B$6:$B$300,$A212,'Lui'!$F$6:$F$300,"Concluído")+COUNTIFS('Thaís'!$B$6:$B$300,$A212,'Thaís'!$F$6:$F$300,"Concluído")+COUNTIFS('Daniel'!$B$6:$B$300,$A212,'Daniel'!$F$6:$F$300,"Concluído")+COUNTIFS('Fernando'!$B$6:$B$300,$A212,'Fernando'!$F$6:$F$300,"Concluído")+COUNTIFS('Stephanie'!$B$6:$B$300,$A212,'Stephanie'!$F$6:$F$300,"Concluído")+COUNTIFS('Fox'!$B$6:$B$300,$A212,'Fox'!$F$6:$F$300,"Concluído")+COUNTIFS('Bruna'!$B$6:$B$300,$A212,'Bruna'!$F$6:$F$300,"Concluído")+COUNTIFS('Stella'!$B$6:$B$300,$A212,'Stella'!$F$6:$F$300,"Concluído")+COUNTIFS('Igor'!$B$6:$B$300,$A212,'Igor'!$F$6:$F$300,"Concluído"))&amp;" / "&amp;(COUNTIF('Clarice'!$B$6:$B$300,$A212)+COUNTIF('Luisa'!$B$6:$B$300,$A212)+COUNTIF('Lui'!$B$6:$B$300,$A212)+COUNTIF('Thaís'!$B$6:$B$300,$A212)+COUNTIF('Daniel'!$B$6:$B$300,$A212)+COUNTIF('Fernando'!$B$6:$B$300,$A212)+COUNTIF('Stephanie'!$B$6:$B$300,$A212)+COUNTIF('Fox'!$B$6:$B$300,$A212)+COUNTIF('Bruna'!$B$6:$B$300,$A212)+COUNTIF('Stella'!$B$6:$B$300,$A212)+COUNTIF('Igor'!$B$6:$B$300,$A212)))</f>
        <v/>
      </c>
      <c r="K212" s="21" t="n"/>
      <c r="L212" s="21" t="n"/>
      <c r="M212" s="21" t="n"/>
      <c r="N212" s="21" t="n"/>
      <c r="O212" s="21" t="n"/>
      <c r="P212" s="22">
        <f>IF($A212="","",IF(M212&lt;&gt;"",M212,IF(K212&lt;&gt;"",K212,"")))</f>
        <v/>
      </c>
      <c r="Q212" s="22">
        <f>IF($A212="","",IF(N212&lt;&gt;"",N212,IF(L212&lt;&gt;"",L212,"")))</f>
        <v/>
      </c>
      <c r="R212" s="21" t="n"/>
      <c r="S212" s="21">
        <f t="array" ref="S212">IF($A212="","",_xlfn.TEXTJOIN(CHAR(10),TRUE,IF('Clarice'!$B$6:$B$300=$A212,"Clarice"&amp;IF('Clarice'!$E$6:$E$300="",""," : "&amp;'Clarice'!$E$6:$E$300)&amp;" ["&amp;'Clarice'!$F$6:$F$300&amp;"]",""),IF('Luisa'!$B$6:$B$300=$A212,"Luisa"&amp;IF('Luisa'!$E$6:$E$300="",""," : "&amp;'Luisa'!$E$6:$E$300)&amp;" ["&amp;'Luisa'!$F$6:$F$300&amp;"]",""),IF('Lui'!$B$6:$B$300=$A212,"Lui"&amp;IF('Lui'!$E$6:$E$300="",""," : "&amp;'Lui'!$E$6:$E$300)&amp;" ["&amp;'Lui'!$F$6:$F$300&amp;"]",""),IF('Thaís'!$B$6:$B$300=$A212,"Thaís"&amp;IF('Thaís'!$E$6:$E$300="",""," : "&amp;'Thaís'!$E$6:$E$300)&amp;" ["&amp;'Thaís'!$F$6:$F$300&amp;"]",""),IF('Daniel'!$B$6:$B$300=$A212,"Daniel"&amp;IF('Daniel'!$E$6:$E$300="",""," : "&amp;'Daniel'!$E$6:$E$300)&amp;" ["&amp;'Daniel'!$F$6:$F$300&amp;"]",""),IF('Fernando'!$B$6:$B$300=$A212,"Fernando"&amp;IF('Fernando'!$E$6:$E$300="",""," : "&amp;'Fernando'!$E$6:$E$300)&amp;" ["&amp;'Fernando'!$F$6:$F$300&amp;"]",""),IF('Stephanie'!$B$6:$B$300=$A212,"Stephanie"&amp;IF('Stephanie'!$E$6:$E$300="",""," : "&amp;'Stephanie'!$E$6:$E$300)&amp;" ["&amp;'Stephanie'!$F$6:$F$300&amp;"]",""),IF('Fox'!$B$6:$B$300=$A212,"Fox"&amp;IF('Fox'!$E$6:$E$300="",""," : "&amp;'Fox'!$E$6:$E$300)&amp;" ["&amp;'Fox'!$F$6:$F$300&amp;"]",""),IF('Bruna'!$B$6:$B$300=$A212,"Bruna"&amp;IF('Bruna'!$E$6:$E$300="",""," : "&amp;'Bruna'!$E$6:$E$300)&amp;" ["&amp;'Bruna'!$F$6:$F$300&amp;"]",""),IF('Stella'!$B$6:$B$300=$A212,"Stella"&amp;IF('Stella'!$E$6:$E$300="",""," : "&amp;'Stella'!$E$6:$E$300)&amp;" ["&amp;'Stella'!$F$6:$F$300&amp;"]",""),IF('Igor'!$B$6:$B$300=$A212,"Igor"&amp;IF('Igor'!$E$6:$E$300="",""," : "&amp;'Igor'!$E$6:$E$300)&amp;" ["&amp;'Igor'!$F$6:$F$300&amp;"]","")))</f>
        <v/>
      </c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1" t="n"/>
      <c r="AP212" s="21" t="n"/>
      <c r="AQ212" s="21" t="n"/>
      <c r="AR212" s="21" t="n"/>
      <c r="AS212" s="21" t="n"/>
      <c r="AT212" s="21" t="n"/>
      <c r="AU212" s="21" t="n"/>
      <c r="AV212" s="21" t="n"/>
      <c r="AW212" s="21" t="n"/>
      <c r="AX212" s="21" t="n"/>
      <c r="AY212" s="21" t="n"/>
      <c r="AZ212" s="21" t="n"/>
      <c r="BA212" s="21" t="n"/>
      <c r="BB212" s="21" t="n"/>
      <c r="BC212" s="21" t="n"/>
      <c r="BD212" s="21" t="n"/>
      <c r="BE212" s="21" t="n"/>
      <c r="BF212" s="21" t="n"/>
      <c r="BG212" s="21" t="n"/>
      <c r="BH212" s="21" t="n"/>
      <c r="BI212" s="21" t="n"/>
    </row>
    <row r="213" ht="40.5" customHeight="1">
      <c r="A213" s="13" t="inlineStr">
        <is>
          <t>SBM-042</t>
        </is>
      </c>
      <c r="B213" s="14" t="inlineStr">
        <is>
          <t>Etapa 2: Construção das métricas | Atividade 7: Operacionalização das métricas | Atividade 8: Aplicação das métricas</t>
        </is>
      </c>
      <c r="C213" s="14" t="inlineStr">
        <is>
          <t>Aplicação da SBM</t>
        </is>
      </c>
      <c r="D213" s="14" t="inlineStr">
        <is>
          <t>(subfrente sem título no original)</t>
        </is>
      </c>
      <c r="E213" s="15" t="inlineStr">
        <is>
          <t>Delimitar os dados úteis para a aplicação (UTGCA)</t>
        </is>
      </c>
      <c r="F213" s="13" t="inlineStr">
        <is>
          <t>Luisa</t>
        </is>
      </c>
      <c r="G213" s="16">
        <f>IF($A213="","",_xlfn.TEXTJOIN("; ",TRUE,IF(COUNTIF('Clarice'!$B$6:$B$300,$A213)&gt;0,"Clarice",""),IF(COUNTIF('Luisa'!$B$6:$B$300,$A213)&gt;0,"Luisa",""),IF(COUNTIF('Lui'!$B$6:$B$300,$A213)&gt;0,"Lui",""),IF(COUNTIF('Thaís'!$B$6:$B$300,$A213)&gt;0,"Thaís",""),IF(COUNTIF('Daniel'!$B$6:$B$300,$A213)&gt;0,"Daniel",""),IF(COUNTIF('Fernando'!$B$6:$B$300,$A213)&gt;0,"Fernando",""),IF(COUNTIF('Stephanie'!$B$6:$B$300,$A213)&gt;0,"Stephanie",""),IF(COUNTIF('Fox'!$B$6:$B$300,$A213)&gt;0,"Fox",""),IF(COUNTIF('Bruna'!$B$6:$B$300,$A213)&gt;0,"Bruna",""),IF(COUNTIF('Stella'!$B$6:$B$300,$A213)&gt;0,"Stella",""),IF(COUNTIF('Igor'!$B$6:$B$300,$A213)&gt;0,"Igor","")))</f>
        <v/>
      </c>
      <c r="H213" s="13" t="n"/>
      <c r="I213" s="13" t="inlineStr">
        <is>
          <t>Não iniciado</t>
        </is>
      </c>
      <c r="J213" s="17">
        <f>IF(OR($A213="",(COUNTIF('Clarice'!$B$6:$B$300,$A213)+COUNTIF('Luisa'!$B$6:$B$300,$A213)+COUNTIF('Lui'!$B$6:$B$300,$A213)+COUNTIF('Thaís'!$B$6:$B$300,$A213)+COUNTIF('Daniel'!$B$6:$B$300,$A213)+COUNTIF('Fernando'!$B$6:$B$300,$A213)+COUNTIF('Stephanie'!$B$6:$B$300,$A213)+COUNTIF('Fox'!$B$6:$B$300,$A213)+COUNTIF('Bruna'!$B$6:$B$300,$A213)+COUNTIF('Stella'!$B$6:$B$300,$A213)+COUNTIF('Igor'!$B$6:$B$300,$A213))=0),"",(COUNTIFS('Clarice'!$B$6:$B$300,$A213,'Clarice'!$F$6:$F$300,"Concluído")+COUNTIFS('Luisa'!$B$6:$B$300,$A213,'Luisa'!$F$6:$F$300,"Concluído")+COUNTIFS('Lui'!$B$6:$B$300,$A213,'Lui'!$F$6:$F$300,"Concluído")+COUNTIFS('Thaís'!$B$6:$B$300,$A213,'Thaís'!$F$6:$F$300,"Concluído")+COUNTIFS('Daniel'!$B$6:$B$300,$A213,'Daniel'!$F$6:$F$300,"Concluído")+COUNTIFS('Fernando'!$B$6:$B$300,$A213,'Fernando'!$F$6:$F$300,"Concluído")+COUNTIFS('Stephanie'!$B$6:$B$300,$A213,'Stephanie'!$F$6:$F$300,"Concluído")+COUNTIFS('Fox'!$B$6:$B$300,$A213,'Fox'!$F$6:$F$300,"Concluído")+COUNTIFS('Bruna'!$B$6:$B$300,$A213,'Bruna'!$F$6:$F$300,"Concluído")+COUNTIFS('Stella'!$B$6:$B$300,$A213,'Stella'!$F$6:$F$300,"Concluído")+COUNTIFS('Igor'!$B$6:$B$300,$A213,'Igor'!$F$6:$F$300,"Concluído"))&amp;" / "&amp;(COUNTIF('Clarice'!$B$6:$B$300,$A213)+COUNTIF('Luisa'!$B$6:$B$300,$A213)+COUNTIF('Lui'!$B$6:$B$300,$A213)+COUNTIF('Thaís'!$B$6:$B$300,$A213)+COUNTIF('Daniel'!$B$6:$B$300,$A213)+COUNTIF('Fernando'!$B$6:$B$300,$A213)+COUNTIF('Stephanie'!$B$6:$B$300,$A213)+COUNTIF('Fox'!$B$6:$B$300,$A213)+COUNTIF('Bruna'!$B$6:$B$300,$A213)+COUNTIF('Stella'!$B$6:$B$300,$A213)+COUNTIF('Igor'!$B$6:$B$300,$A213)))</f>
        <v/>
      </c>
      <c r="K213" s="18" t="n">
        <v>46167</v>
      </c>
      <c r="L213" s="18" t="n">
        <v>46171</v>
      </c>
      <c r="M213" s="18" t="n">
        <v>46167</v>
      </c>
      <c r="N213" s="18" t="n">
        <v>46234</v>
      </c>
      <c r="O213" s="19" t="n"/>
      <c r="P213" s="20">
        <f>IF($A213="","",IF(M213&lt;&gt;"",M213,IF(K213&lt;&gt;"",K213,"")))</f>
        <v/>
      </c>
      <c r="Q213" s="20">
        <f>IF($A213="","",IF(N213&lt;&gt;"",N213,IF(L213&lt;&gt;"",L213,"")))</f>
        <v/>
      </c>
      <c r="R213" s="15" t="n"/>
      <c r="S213" s="16">
        <f t="array" ref="S213">IF($A213="","",_xlfn.TEXTJOIN(CHAR(10),TRUE,IF('Clarice'!$B$6:$B$300=$A213,"Clarice"&amp;IF('Clarice'!$E$6:$E$300="",""," : "&amp;'Clarice'!$E$6:$E$300)&amp;" ["&amp;'Clarice'!$F$6:$F$300&amp;"]",""),IF('Luisa'!$B$6:$B$300=$A213,"Luisa"&amp;IF('Luisa'!$E$6:$E$300="",""," : "&amp;'Luisa'!$E$6:$E$300)&amp;" ["&amp;'Luisa'!$F$6:$F$300&amp;"]",""),IF('Lui'!$B$6:$B$300=$A213,"Lui"&amp;IF('Lui'!$E$6:$E$300="",""," : "&amp;'Lui'!$E$6:$E$300)&amp;" ["&amp;'Lui'!$F$6:$F$300&amp;"]",""),IF('Thaís'!$B$6:$B$300=$A213,"Thaís"&amp;IF('Thaís'!$E$6:$E$300="",""," : "&amp;'Thaís'!$E$6:$E$300)&amp;" ["&amp;'Thaís'!$F$6:$F$300&amp;"]",""),IF('Daniel'!$B$6:$B$300=$A213,"Daniel"&amp;IF('Daniel'!$E$6:$E$300="",""," : "&amp;'Daniel'!$E$6:$E$300)&amp;" ["&amp;'Daniel'!$F$6:$F$300&amp;"]",""),IF('Fernando'!$B$6:$B$300=$A213,"Fernando"&amp;IF('Fernando'!$E$6:$E$300="",""," : "&amp;'Fernando'!$E$6:$E$300)&amp;" ["&amp;'Fernando'!$F$6:$F$300&amp;"]",""),IF('Stephanie'!$B$6:$B$300=$A213,"Stephanie"&amp;IF('Stephanie'!$E$6:$E$300="",""," : "&amp;'Stephanie'!$E$6:$E$300)&amp;" ["&amp;'Stephanie'!$F$6:$F$300&amp;"]",""),IF('Fox'!$B$6:$B$300=$A213,"Fox"&amp;IF('Fox'!$E$6:$E$300="",""," : "&amp;'Fox'!$E$6:$E$300)&amp;" ["&amp;'Fox'!$F$6:$F$300&amp;"]",""),IF('Bruna'!$B$6:$B$300=$A213,"Bruna"&amp;IF('Bruna'!$E$6:$E$300="",""," : "&amp;'Bruna'!$E$6:$E$300)&amp;" ["&amp;'Bruna'!$F$6:$F$300&amp;"]",""),IF('Stella'!$B$6:$B$300=$A213,"Stella"&amp;IF('Stella'!$E$6:$E$300="",""," : "&amp;'Stella'!$E$6:$E$300)&amp;" ["&amp;'Stella'!$F$6:$F$300&amp;"]",""),IF('Igor'!$B$6:$B$300=$A213,"Igor"&amp;IF('Igor'!$E$6:$E$300="",""," : "&amp;'Igor'!$E$6:$E$300)&amp;" ["&amp;'Igor'!$F$6:$F$300&amp;"]","")))</f>
        <v/>
      </c>
    </row>
    <row r="214" ht="40.5" customHeight="1">
      <c r="A214" s="13" t="inlineStr">
        <is>
          <t>SBM-043</t>
        </is>
      </c>
      <c r="B214" s="14" t="inlineStr">
        <is>
          <t>Etapa 2: Construção das métricas | Atividade 7: Operacionalização das métricas | Atividade 8: Aplicação das métricas</t>
        </is>
      </c>
      <c r="C214" s="14" t="inlineStr">
        <is>
          <t>Aplicação da SBM</t>
        </is>
      </c>
      <c r="D214" s="14" t="inlineStr">
        <is>
          <t>(subfrente sem título no original)</t>
        </is>
      </c>
      <c r="E214" s="15" t="inlineStr">
        <is>
          <t>Preparar os dados para aplicação (UTGCA)</t>
        </is>
      </c>
      <c r="F214" s="13" t="inlineStr">
        <is>
          <t>Luisa</t>
        </is>
      </c>
      <c r="G214" s="16">
        <f>IF($A214="","",_xlfn.TEXTJOIN("; ",TRUE,IF(COUNTIF('Clarice'!$B$6:$B$300,$A214)&gt;0,"Clarice",""),IF(COUNTIF('Luisa'!$B$6:$B$300,$A214)&gt;0,"Luisa",""),IF(COUNTIF('Lui'!$B$6:$B$300,$A214)&gt;0,"Lui",""),IF(COUNTIF('Thaís'!$B$6:$B$300,$A214)&gt;0,"Thaís",""),IF(COUNTIF('Daniel'!$B$6:$B$300,$A214)&gt;0,"Daniel",""),IF(COUNTIF('Fernando'!$B$6:$B$300,$A214)&gt;0,"Fernando",""),IF(COUNTIF('Stephanie'!$B$6:$B$300,$A214)&gt;0,"Stephanie",""),IF(COUNTIF('Fox'!$B$6:$B$300,$A214)&gt;0,"Fox",""),IF(COUNTIF('Bruna'!$B$6:$B$300,$A214)&gt;0,"Bruna",""),IF(COUNTIF('Stella'!$B$6:$B$300,$A214)&gt;0,"Stella",""),IF(COUNTIF('Igor'!$B$6:$B$300,$A214)&gt;0,"Igor","")))</f>
        <v/>
      </c>
      <c r="H214" s="13" t="n"/>
      <c r="I214" s="13" t="inlineStr">
        <is>
          <t>Não iniciado</t>
        </is>
      </c>
      <c r="J214" s="17">
        <f>IF(OR($A214="",(COUNTIF('Clarice'!$B$6:$B$300,$A214)+COUNTIF('Luisa'!$B$6:$B$300,$A214)+COUNTIF('Lui'!$B$6:$B$300,$A214)+COUNTIF('Thaís'!$B$6:$B$300,$A214)+COUNTIF('Daniel'!$B$6:$B$300,$A214)+COUNTIF('Fernando'!$B$6:$B$300,$A214)+COUNTIF('Stephanie'!$B$6:$B$300,$A214)+COUNTIF('Fox'!$B$6:$B$300,$A214)+COUNTIF('Bruna'!$B$6:$B$300,$A214)+COUNTIF('Stella'!$B$6:$B$300,$A214)+COUNTIF('Igor'!$B$6:$B$300,$A214))=0),"",(COUNTIFS('Clarice'!$B$6:$B$300,$A214,'Clarice'!$F$6:$F$300,"Concluído")+COUNTIFS('Luisa'!$B$6:$B$300,$A214,'Luisa'!$F$6:$F$300,"Concluído")+COUNTIFS('Lui'!$B$6:$B$300,$A214,'Lui'!$F$6:$F$300,"Concluído")+COUNTIFS('Thaís'!$B$6:$B$300,$A214,'Thaís'!$F$6:$F$300,"Concluído")+COUNTIFS('Daniel'!$B$6:$B$300,$A214,'Daniel'!$F$6:$F$300,"Concluído")+COUNTIFS('Fernando'!$B$6:$B$300,$A214,'Fernando'!$F$6:$F$300,"Concluído")+COUNTIFS('Stephanie'!$B$6:$B$300,$A214,'Stephanie'!$F$6:$F$300,"Concluído")+COUNTIFS('Fox'!$B$6:$B$300,$A214,'Fox'!$F$6:$F$300,"Concluído")+COUNTIFS('Bruna'!$B$6:$B$300,$A214,'Bruna'!$F$6:$F$300,"Concluído")+COUNTIFS('Stella'!$B$6:$B$300,$A214,'Stella'!$F$6:$F$300,"Concluído")+COUNTIFS('Igor'!$B$6:$B$300,$A214,'Igor'!$F$6:$F$300,"Concluído"))&amp;" / "&amp;(COUNTIF('Clarice'!$B$6:$B$300,$A214)+COUNTIF('Luisa'!$B$6:$B$300,$A214)+COUNTIF('Lui'!$B$6:$B$300,$A214)+COUNTIF('Thaís'!$B$6:$B$300,$A214)+COUNTIF('Daniel'!$B$6:$B$300,$A214)+COUNTIF('Fernando'!$B$6:$B$300,$A214)+COUNTIF('Stephanie'!$B$6:$B$300,$A214)+COUNTIF('Fox'!$B$6:$B$300,$A214)+COUNTIF('Bruna'!$B$6:$B$300,$A214)+COUNTIF('Stella'!$B$6:$B$300,$A214)+COUNTIF('Igor'!$B$6:$B$300,$A214)))</f>
        <v/>
      </c>
      <c r="K214" s="18" t="n">
        <v>46167</v>
      </c>
      <c r="L214" s="18" t="n">
        <v>46171</v>
      </c>
      <c r="M214" s="18" t="n">
        <v>46167</v>
      </c>
      <c r="N214" s="18" t="n">
        <v>46234</v>
      </c>
      <c r="O214" s="19" t="n"/>
      <c r="P214" s="20">
        <f>IF($A214="","",IF(M214&lt;&gt;"",M214,IF(K214&lt;&gt;"",K214,"")))</f>
        <v/>
      </c>
      <c r="Q214" s="20">
        <f>IF($A214="","",IF(N214&lt;&gt;"",N214,IF(L214&lt;&gt;"",L214,"")))</f>
        <v/>
      </c>
      <c r="R214" s="15" t="n"/>
      <c r="S214" s="16">
        <f t="array" ref="S214">IF($A214="","",_xlfn.TEXTJOIN(CHAR(10),TRUE,IF('Clarice'!$B$6:$B$300=$A214,"Clarice"&amp;IF('Clarice'!$E$6:$E$300="",""," : "&amp;'Clarice'!$E$6:$E$300)&amp;" ["&amp;'Clarice'!$F$6:$F$300&amp;"]",""),IF('Luisa'!$B$6:$B$300=$A214,"Luisa"&amp;IF('Luisa'!$E$6:$E$300="",""," : "&amp;'Luisa'!$E$6:$E$300)&amp;" ["&amp;'Luisa'!$F$6:$F$300&amp;"]",""),IF('Lui'!$B$6:$B$300=$A214,"Lui"&amp;IF('Lui'!$E$6:$E$300="",""," : "&amp;'Lui'!$E$6:$E$300)&amp;" ["&amp;'Lui'!$F$6:$F$300&amp;"]",""),IF('Thaís'!$B$6:$B$300=$A214,"Thaís"&amp;IF('Thaís'!$E$6:$E$300="",""," : "&amp;'Thaís'!$E$6:$E$300)&amp;" ["&amp;'Thaís'!$F$6:$F$300&amp;"]",""),IF('Daniel'!$B$6:$B$300=$A214,"Daniel"&amp;IF('Daniel'!$E$6:$E$300="",""," : "&amp;'Daniel'!$E$6:$E$300)&amp;" ["&amp;'Daniel'!$F$6:$F$300&amp;"]",""),IF('Fernando'!$B$6:$B$300=$A214,"Fernando"&amp;IF('Fernando'!$E$6:$E$300="",""," : "&amp;'Fernando'!$E$6:$E$300)&amp;" ["&amp;'Fernando'!$F$6:$F$300&amp;"]",""),IF('Stephanie'!$B$6:$B$300=$A214,"Stephanie"&amp;IF('Stephanie'!$E$6:$E$300="",""," : "&amp;'Stephanie'!$E$6:$E$300)&amp;" ["&amp;'Stephanie'!$F$6:$F$300&amp;"]",""),IF('Fox'!$B$6:$B$300=$A214,"Fox"&amp;IF('Fox'!$E$6:$E$300="",""," : "&amp;'Fox'!$E$6:$E$300)&amp;" ["&amp;'Fox'!$F$6:$F$300&amp;"]",""),IF('Bruna'!$B$6:$B$300=$A214,"Bruna"&amp;IF('Bruna'!$E$6:$E$300="",""," : "&amp;'Bruna'!$E$6:$E$300)&amp;" ["&amp;'Bruna'!$F$6:$F$300&amp;"]",""),IF('Stella'!$B$6:$B$300=$A214,"Stella"&amp;IF('Stella'!$E$6:$E$300="",""," : "&amp;'Stella'!$E$6:$E$300)&amp;" ["&amp;'Stella'!$F$6:$F$300&amp;"]",""),IF('Igor'!$B$6:$B$300=$A214,"Igor"&amp;IF('Igor'!$E$6:$E$300="",""," : "&amp;'Igor'!$E$6:$E$300)&amp;" ["&amp;'Igor'!$F$6:$F$300&amp;"]","")))</f>
        <v/>
      </c>
    </row>
    <row r="215" ht="15.5" customHeight="1">
      <c r="A215" s="13" t="inlineStr">
        <is>
          <t>SBM-044</t>
        </is>
      </c>
      <c r="B215" s="14" t="inlineStr">
        <is>
          <t>Etapa 2: Construção das métricas | Atividade 7: Operacionalização das métricas | Atividade 8: Aplicação das métricas</t>
        </is>
      </c>
      <c r="C215" s="14" t="inlineStr">
        <is>
          <t>Aplicação da SBM</t>
        </is>
      </c>
      <c r="D215" s="14" t="inlineStr">
        <is>
          <t>(subfrente sem título no original)</t>
        </is>
      </c>
      <c r="E215" s="15" t="inlineStr">
        <is>
          <t>Calcular o parâmetro - distinção (UTGCA)</t>
        </is>
      </c>
      <c r="F215" s="13" t="inlineStr">
        <is>
          <t>Luisa</t>
        </is>
      </c>
      <c r="G215" s="16">
        <f>IF($A215="","",_xlfn.TEXTJOIN("; ",TRUE,IF(COUNTIF('Clarice'!$B$6:$B$300,$A215)&gt;0,"Clarice",""),IF(COUNTIF('Luisa'!$B$6:$B$300,$A215)&gt;0,"Luisa",""),IF(COUNTIF('Lui'!$B$6:$B$300,$A215)&gt;0,"Lui",""),IF(COUNTIF('Thaís'!$B$6:$B$300,$A215)&gt;0,"Thaís",""),IF(COUNTIF('Daniel'!$B$6:$B$300,$A215)&gt;0,"Daniel",""),IF(COUNTIF('Fernando'!$B$6:$B$300,$A215)&gt;0,"Fernando",""),IF(COUNTIF('Stephanie'!$B$6:$B$300,$A215)&gt;0,"Stephanie",""),IF(COUNTIF('Fox'!$B$6:$B$300,$A215)&gt;0,"Fox",""),IF(COUNTIF('Bruna'!$B$6:$B$300,$A215)&gt;0,"Bruna",""),IF(COUNTIF('Stella'!$B$6:$B$300,$A215)&gt;0,"Stella",""),IF(COUNTIF('Igor'!$B$6:$B$300,$A215)&gt;0,"Igor","")))</f>
        <v/>
      </c>
      <c r="H215" s="13" t="n"/>
      <c r="I215" s="13" t="inlineStr">
        <is>
          <t>Não iniciado</t>
        </is>
      </c>
      <c r="J215" s="17">
        <f>IF(OR($A215="",(COUNTIF('Clarice'!$B$6:$B$300,$A215)+COUNTIF('Luisa'!$B$6:$B$300,$A215)+COUNTIF('Lui'!$B$6:$B$300,$A215)+COUNTIF('Thaís'!$B$6:$B$300,$A215)+COUNTIF('Daniel'!$B$6:$B$300,$A215)+COUNTIF('Fernando'!$B$6:$B$300,$A215)+COUNTIF('Stephanie'!$B$6:$B$300,$A215)+COUNTIF('Fox'!$B$6:$B$300,$A215)+COUNTIF('Bruna'!$B$6:$B$300,$A215)+COUNTIF('Stella'!$B$6:$B$300,$A215)+COUNTIF('Igor'!$B$6:$B$300,$A215))=0),"",(COUNTIFS('Clarice'!$B$6:$B$300,$A215,'Clarice'!$F$6:$F$300,"Concluído")+COUNTIFS('Luisa'!$B$6:$B$300,$A215,'Luisa'!$F$6:$F$300,"Concluído")+COUNTIFS('Lui'!$B$6:$B$300,$A215,'Lui'!$F$6:$F$300,"Concluído")+COUNTIFS('Thaís'!$B$6:$B$300,$A215,'Thaís'!$F$6:$F$300,"Concluído")+COUNTIFS('Daniel'!$B$6:$B$300,$A215,'Daniel'!$F$6:$F$300,"Concluído")+COUNTIFS('Fernando'!$B$6:$B$300,$A215,'Fernando'!$F$6:$F$300,"Concluído")+COUNTIFS('Stephanie'!$B$6:$B$300,$A215,'Stephanie'!$F$6:$F$300,"Concluído")+COUNTIFS('Fox'!$B$6:$B$300,$A215,'Fox'!$F$6:$F$300,"Concluído")+COUNTIFS('Bruna'!$B$6:$B$300,$A215,'Bruna'!$F$6:$F$300,"Concluído")+COUNTIFS('Stella'!$B$6:$B$300,$A215,'Stella'!$F$6:$F$300,"Concluído")+COUNTIFS('Igor'!$B$6:$B$300,$A215,'Igor'!$F$6:$F$300,"Concluído"))&amp;" / "&amp;(COUNTIF('Clarice'!$B$6:$B$300,$A215)+COUNTIF('Luisa'!$B$6:$B$300,$A215)+COUNTIF('Lui'!$B$6:$B$300,$A215)+COUNTIF('Thaís'!$B$6:$B$300,$A215)+COUNTIF('Daniel'!$B$6:$B$300,$A215)+COUNTIF('Fernando'!$B$6:$B$300,$A215)+COUNTIF('Stephanie'!$B$6:$B$300,$A215)+COUNTIF('Fox'!$B$6:$B$300,$A215)+COUNTIF('Bruna'!$B$6:$B$300,$A215)+COUNTIF('Stella'!$B$6:$B$300,$A215)+COUNTIF('Igor'!$B$6:$B$300,$A215)))</f>
        <v/>
      </c>
      <c r="K215" s="18" t="n">
        <v>46167</v>
      </c>
      <c r="L215" s="18" t="n">
        <v>46171</v>
      </c>
      <c r="M215" s="18" t="n">
        <v>46167</v>
      </c>
      <c r="N215" s="18" t="n">
        <v>46234</v>
      </c>
      <c r="O215" s="19" t="n"/>
      <c r="P215" s="20">
        <f>IF($A215="","",IF(M215&lt;&gt;"",M215,IF(K215&lt;&gt;"",K215,"")))</f>
        <v/>
      </c>
      <c r="Q215" s="20">
        <f>IF($A215="","",IF(N215&lt;&gt;"",N215,IF(L215&lt;&gt;"",L215,"")))</f>
        <v/>
      </c>
      <c r="R215" s="15" t="n"/>
      <c r="S215" s="16">
        <f t="array" ref="S215">IF($A215="","",_xlfn.TEXTJOIN(CHAR(10),TRUE,IF('Clarice'!$B$6:$B$300=$A215,"Clarice"&amp;IF('Clarice'!$E$6:$E$300="",""," : "&amp;'Clarice'!$E$6:$E$300)&amp;" ["&amp;'Clarice'!$F$6:$F$300&amp;"]",""),IF('Luisa'!$B$6:$B$300=$A215,"Luisa"&amp;IF('Luisa'!$E$6:$E$300="",""," : "&amp;'Luisa'!$E$6:$E$300)&amp;" ["&amp;'Luisa'!$F$6:$F$300&amp;"]",""),IF('Lui'!$B$6:$B$300=$A215,"Lui"&amp;IF('Lui'!$E$6:$E$300="",""," : "&amp;'Lui'!$E$6:$E$300)&amp;" ["&amp;'Lui'!$F$6:$F$300&amp;"]",""),IF('Thaís'!$B$6:$B$300=$A215,"Thaís"&amp;IF('Thaís'!$E$6:$E$300="",""," : "&amp;'Thaís'!$E$6:$E$300)&amp;" ["&amp;'Thaís'!$F$6:$F$300&amp;"]",""),IF('Daniel'!$B$6:$B$300=$A215,"Daniel"&amp;IF('Daniel'!$E$6:$E$300="",""," : "&amp;'Daniel'!$E$6:$E$300)&amp;" ["&amp;'Daniel'!$F$6:$F$300&amp;"]",""),IF('Fernando'!$B$6:$B$300=$A215,"Fernando"&amp;IF('Fernando'!$E$6:$E$300="",""," : "&amp;'Fernando'!$E$6:$E$300)&amp;" ["&amp;'Fernando'!$F$6:$F$300&amp;"]",""),IF('Stephanie'!$B$6:$B$300=$A215,"Stephanie"&amp;IF('Stephanie'!$E$6:$E$300="",""," : "&amp;'Stephanie'!$E$6:$E$300)&amp;" ["&amp;'Stephanie'!$F$6:$F$300&amp;"]",""),IF('Fox'!$B$6:$B$300=$A215,"Fox"&amp;IF('Fox'!$E$6:$E$300="",""," : "&amp;'Fox'!$E$6:$E$300)&amp;" ["&amp;'Fox'!$F$6:$F$300&amp;"]",""),IF('Bruna'!$B$6:$B$300=$A215,"Bruna"&amp;IF('Bruna'!$E$6:$E$300="",""," : "&amp;'Bruna'!$E$6:$E$300)&amp;" ["&amp;'Bruna'!$F$6:$F$300&amp;"]",""),IF('Stella'!$B$6:$B$300=$A215,"Stella"&amp;IF('Stella'!$E$6:$E$300="",""," : "&amp;'Stella'!$E$6:$E$300)&amp;" ["&amp;'Stella'!$F$6:$F$300&amp;"]",""),IF('Igor'!$B$6:$B$300=$A215,"Igor"&amp;IF('Igor'!$E$6:$E$300="",""," : "&amp;'Igor'!$E$6:$E$300)&amp;" ["&amp;'Igor'!$F$6:$F$300&amp;"]","")))</f>
        <v/>
      </c>
    </row>
    <row r="216" ht="15.5" customHeight="1">
      <c r="A216" s="13" t="inlineStr">
        <is>
          <t>SBM-045</t>
        </is>
      </c>
      <c r="B216" s="14" t="inlineStr">
        <is>
          <t>Etapa 2: Construção das métricas | Atividade 7: Operacionalização das métricas | Atividade 8: Aplicação das métricas</t>
        </is>
      </c>
      <c r="C216" s="14" t="inlineStr">
        <is>
          <t>Aplicação da SBM</t>
        </is>
      </c>
      <c r="D216" s="14" t="inlineStr">
        <is>
          <t>(subfrente sem título no original)</t>
        </is>
      </c>
      <c r="E216" s="15" t="inlineStr">
        <is>
          <t>Calcular o parâmetro - condição (UTGCA)</t>
        </is>
      </c>
      <c r="F216" s="13" t="inlineStr">
        <is>
          <t>Luisa</t>
        </is>
      </c>
      <c r="G216" s="16">
        <f>IF($A216="","",_xlfn.TEXTJOIN("; ",TRUE,IF(COUNTIF('Clarice'!$B$6:$B$300,$A216)&gt;0,"Clarice",""),IF(COUNTIF('Luisa'!$B$6:$B$300,$A216)&gt;0,"Luisa",""),IF(COUNTIF('Lui'!$B$6:$B$300,$A216)&gt;0,"Lui",""),IF(COUNTIF('Thaís'!$B$6:$B$300,$A216)&gt;0,"Thaís",""),IF(COUNTIF('Daniel'!$B$6:$B$300,$A216)&gt;0,"Daniel",""),IF(COUNTIF('Fernando'!$B$6:$B$300,$A216)&gt;0,"Fernando",""),IF(COUNTIF('Stephanie'!$B$6:$B$300,$A216)&gt;0,"Stephanie",""),IF(COUNTIF('Fox'!$B$6:$B$300,$A216)&gt;0,"Fox",""),IF(COUNTIF('Bruna'!$B$6:$B$300,$A216)&gt;0,"Bruna",""),IF(COUNTIF('Stella'!$B$6:$B$300,$A216)&gt;0,"Stella",""),IF(COUNTIF('Igor'!$B$6:$B$300,$A216)&gt;0,"Igor","")))</f>
        <v/>
      </c>
      <c r="H216" s="13" t="n"/>
      <c r="I216" s="13" t="inlineStr">
        <is>
          <t>Não iniciado</t>
        </is>
      </c>
      <c r="J216" s="17">
        <f>IF(OR($A216="",(COUNTIF('Clarice'!$B$6:$B$300,$A216)+COUNTIF('Luisa'!$B$6:$B$300,$A216)+COUNTIF('Lui'!$B$6:$B$300,$A216)+COUNTIF('Thaís'!$B$6:$B$300,$A216)+COUNTIF('Daniel'!$B$6:$B$300,$A216)+COUNTIF('Fernando'!$B$6:$B$300,$A216)+COUNTIF('Stephanie'!$B$6:$B$300,$A216)+COUNTIF('Fox'!$B$6:$B$300,$A216)+COUNTIF('Bruna'!$B$6:$B$300,$A216)+COUNTIF('Stella'!$B$6:$B$300,$A216)+COUNTIF('Igor'!$B$6:$B$300,$A216))=0),"",(COUNTIFS('Clarice'!$B$6:$B$300,$A216,'Clarice'!$F$6:$F$300,"Concluído")+COUNTIFS('Luisa'!$B$6:$B$300,$A216,'Luisa'!$F$6:$F$300,"Concluído")+COUNTIFS('Lui'!$B$6:$B$300,$A216,'Lui'!$F$6:$F$300,"Concluído")+COUNTIFS('Thaís'!$B$6:$B$300,$A216,'Thaís'!$F$6:$F$300,"Concluído")+COUNTIFS('Daniel'!$B$6:$B$300,$A216,'Daniel'!$F$6:$F$300,"Concluído")+COUNTIFS('Fernando'!$B$6:$B$300,$A216,'Fernando'!$F$6:$F$300,"Concluído")+COUNTIFS('Stephanie'!$B$6:$B$300,$A216,'Stephanie'!$F$6:$F$300,"Concluído")+COUNTIFS('Fox'!$B$6:$B$300,$A216,'Fox'!$F$6:$F$300,"Concluído")+COUNTIFS('Bruna'!$B$6:$B$300,$A216,'Bruna'!$F$6:$F$300,"Concluído")+COUNTIFS('Stella'!$B$6:$B$300,$A216,'Stella'!$F$6:$F$300,"Concluído")+COUNTIFS('Igor'!$B$6:$B$300,$A216,'Igor'!$F$6:$F$300,"Concluído"))&amp;" / "&amp;(COUNTIF('Clarice'!$B$6:$B$300,$A216)+COUNTIF('Luisa'!$B$6:$B$300,$A216)+COUNTIF('Lui'!$B$6:$B$300,$A216)+COUNTIF('Thaís'!$B$6:$B$300,$A216)+COUNTIF('Daniel'!$B$6:$B$300,$A216)+COUNTIF('Fernando'!$B$6:$B$300,$A216)+COUNTIF('Stephanie'!$B$6:$B$300,$A216)+COUNTIF('Fox'!$B$6:$B$300,$A216)+COUNTIF('Bruna'!$B$6:$B$300,$A216)+COUNTIF('Stella'!$B$6:$B$300,$A216)+COUNTIF('Igor'!$B$6:$B$300,$A216)))</f>
        <v/>
      </c>
      <c r="K216" s="18" t="n">
        <v>46167</v>
      </c>
      <c r="L216" s="18" t="n">
        <v>46171</v>
      </c>
      <c r="M216" s="18" t="n">
        <v>46167</v>
      </c>
      <c r="N216" s="18" t="n">
        <v>46234</v>
      </c>
      <c r="O216" s="19" t="n"/>
      <c r="P216" s="20">
        <f>IF($A216="","",IF(M216&lt;&gt;"",M216,IF(K216&lt;&gt;"",K216,"")))</f>
        <v/>
      </c>
      <c r="Q216" s="20">
        <f>IF($A216="","",IF(N216&lt;&gt;"",N216,IF(L216&lt;&gt;"",L216,"")))</f>
        <v/>
      </c>
      <c r="R216" s="15" t="n"/>
      <c r="S216" s="16">
        <f t="array" ref="S216">IF($A216="","",_xlfn.TEXTJOIN(CHAR(10),TRUE,IF('Clarice'!$B$6:$B$300=$A216,"Clarice"&amp;IF('Clarice'!$E$6:$E$300="",""," : "&amp;'Clarice'!$E$6:$E$300)&amp;" ["&amp;'Clarice'!$F$6:$F$300&amp;"]",""),IF('Luisa'!$B$6:$B$300=$A216,"Luisa"&amp;IF('Luisa'!$E$6:$E$300="",""," : "&amp;'Luisa'!$E$6:$E$300)&amp;" ["&amp;'Luisa'!$F$6:$F$300&amp;"]",""),IF('Lui'!$B$6:$B$300=$A216,"Lui"&amp;IF('Lui'!$E$6:$E$300="",""," : "&amp;'Lui'!$E$6:$E$300)&amp;" ["&amp;'Lui'!$F$6:$F$300&amp;"]",""),IF('Thaís'!$B$6:$B$300=$A216,"Thaís"&amp;IF('Thaís'!$E$6:$E$300="",""," : "&amp;'Thaís'!$E$6:$E$300)&amp;" ["&amp;'Thaís'!$F$6:$F$300&amp;"]",""),IF('Daniel'!$B$6:$B$300=$A216,"Daniel"&amp;IF('Daniel'!$E$6:$E$300="",""," : "&amp;'Daniel'!$E$6:$E$300)&amp;" ["&amp;'Daniel'!$F$6:$F$300&amp;"]",""),IF('Fernando'!$B$6:$B$300=$A216,"Fernando"&amp;IF('Fernando'!$E$6:$E$300="",""," : "&amp;'Fernando'!$E$6:$E$300)&amp;" ["&amp;'Fernando'!$F$6:$F$300&amp;"]",""),IF('Stephanie'!$B$6:$B$300=$A216,"Stephanie"&amp;IF('Stephanie'!$E$6:$E$300="",""," : "&amp;'Stephanie'!$E$6:$E$300)&amp;" ["&amp;'Stephanie'!$F$6:$F$300&amp;"]",""),IF('Fox'!$B$6:$B$300=$A216,"Fox"&amp;IF('Fox'!$E$6:$E$300="",""," : "&amp;'Fox'!$E$6:$E$300)&amp;" ["&amp;'Fox'!$F$6:$F$300&amp;"]",""),IF('Bruna'!$B$6:$B$300=$A216,"Bruna"&amp;IF('Bruna'!$E$6:$E$300="",""," : "&amp;'Bruna'!$E$6:$E$300)&amp;" ["&amp;'Bruna'!$F$6:$F$300&amp;"]",""),IF('Stella'!$B$6:$B$300=$A216,"Stella"&amp;IF('Stella'!$E$6:$E$300="",""," : "&amp;'Stella'!$E$6:$E$300)&amp;" ["&amp;'Stella'!$F$6:$F$300&amp;"]",""),IF('Igor'!$B$6:$B$300=$A216,"Igor"&amp;IF('Igor'!$E$6:$E$300="",""," : "&amp;'Igor'!$E$6:$E$300)&amp;" ["&amp;'Igor'!$F$6:$F$300&amp;"]","")))</f>
        <v/>
      </c>
    </row>
    <row r="217" ht="15.5" customHeight="1">
      <c r="A217" s="13" t="inlineStr">
        <is>
          <t>SBM-046</t>
        </is>
      </c>
      <c r="B217" s="14" t="inlineStr">
        <is>
          <t>Etapa 2: Construção das métricas | Atividade 7: Operacionalização das métricas | Atividade 8: Aplicação das métricas</t>
        </is>
      </c>
      <c r="C217" s="14" t="inlineStr">
        <is>
          <t>Aplicação da SBM</t>
        </is>
      </c>
      <c r="D217" s="14" t="inlineStr">
        <is>
          <t>(subfrente sem título no original)</t>
        </is>
      </c>
      <c r="E217" s="15" t="inlineStr">
        <is>
          <t>Calcular o parâmetro - valor estratégico</t>
        </is>
      </c>
      <c r="F217" s="13" t="inlineStr">
        <is>
          <t>Luisa</t>
        </is>
      </c>
      <c r="G217" s="16">
        <f>IF($A217="","",_xlfn.TEXTJOIN("; ",TRUE,IF(COUNTIF('Clarice'!$B$6:$B$300,$A217)&gt;0,"Clarice",""),IF(COUNTIF('Luisa'!$B$6:$B$300,$A217)&gt;0,"Luisa",""),IF(COUNTIF('Lui'!$B$6:$B$300,$A217)&gt;0,"Lui",""),IF(COUNTIF('Thaís'!$B$6:$B$300,$A217)&gt;0,"Thaís",""),IF(COUNTIF('Daniel'!$B$6:$B$300,$A217)&gt;0,"Daniel",""),IF(COUNTIF('Fernando'!$B$6:$B$300,$A217)&gt;0,"Fernando",""),IF(COUNTIF('Stephanie'!$B$6:$B$300,$A217)&gt;0,"Stephanie",""),IF(COUNTIF('Fox'!$B$6:$B$300,$A217)&gt;0,"Fox",""),IF(COUNTIF('Bruna'!$B$6:$B$300,$A217)&gt;0,"Bruna",""),IF(COUNTIF('Stella'!$B$6:$B$300,$A217)&gt;0,"Stella",""),IF(COUNTIF('Igor'!$B$6:$B$300,$A217)&gt;0,"Igor","")))</f>
        <v/>
      </c>
      <c r="H217" s="13" t="n"/>
      <c r="I217" s="13" t="inlineStr">
        <is>
          <t>Não iniciado</t>
        </is>
      </c>
      <c r="J217" s="17">
        <f>IF(OR($A217="",(COUNTIF('Clarice'!$B$6:$B$300,$A217)+COUNTIF('Luisa'!$B$6:$B$300,$A217)+COUNTIF('Lui'!$B$6:$B$300,$A217)+COUNTIF('Thaís'!$B$6:$B$300,$A217)+COUNTIF('Daniel'!$B$6:$B$300,$A217)+COUNTIF('Fernando'!$B$6:$B$300,$A217)+COUNTIF('Stephanie'!$B$6:$B$300,$A217)+COUNTIF('Fox'!$B$6:$B$300,$A217)+COUNTIF('Bruna'!$B$6:$B$300,$A217)+COUNTIF('Stella'!$B$6:$B$300,$A217)+COUNTIF('Igor'!$B$6:$B$300,$A217))=0),"",(COUNTIFS('Clarice'!$B$6:$B$300,$A217,'Clarice'!$F$6:$F$300,"Concluído")+COUNTIFS('Luisa'!$B$6:$B$300,$A217,'Luisa'!$F$6:$F$300,"Concluído")+COUNTIFS('Lui'!$B$6:$B$300,$A217,'Lui'!$F$6:$F$300,"Concluído")+COUNTIFS('Thaís'!$B$6:$B$300,$A217,'Thaís'!$F$6:$F$300,"Concluído")+COUNTIFS('Daniel'!$B$6:$B$300,$A217,'Daniel'!$F$6:$F$300,"Concluído")+COUNTIFS('Fernando'!$B$6:$B$300,$A217,'Fernando'!$F$6:$F$300,"Concluído")+COUNTIFS('Stephanie'!$B$6:$B$300,$A217,'Stephanie'!$F$6:$F$300,"Concluído")+COUNTIFS('Fox'!$B$6:$B$300,$A217,'Fox'!$F$6:$F$300,"Concluído")+COUNTIFS('Bruna'!$B$6:$B$300,$A217,'Bruna'!$F$6:$F$300,"Concluído")+COUNTIFS('Stella'!$B$6:$B$300,$A217,'Stella'!$F$6:$F$300,"Concluído")+COUNTIFS('Igor'!$B$6:$B$300,$A217,'Igor'!$F$6:$F$300,"Concluído"))&amp;" / "&amp;(COUNTIF('Clarice'!$B$6:$B$300,$A217)+COUNTIF('Luisa'!$B$6:$B$300,$A217)+COUNTIF('Lui'!$B$6:$B$300,$A217)+COUNTIF('Thaís'!$B$6:$B$300,$A217)+COUNTIF('Daniel'!$B$6:$B$300,$A217)+COUNTIF('Fernando'!$B$6:$B$300,$A217)+COUNTIF('Stephanie'!$B$6:$B$300,$A217)+COUNTIF('Fox'!$B$6:$B$300,$A217)+COUNTIF('Bruna'!$B$6:$B$300,$A217)+COUNTIF('Stella'!$B$6:$B$300,$A217)+COUNTIF('Igor'!$B$6:$B$300,$A217)))</f>
        <v/>
      </c>
      <c r="K217" s="18" t="n">
        <v>46167</v>
      </c>
      <c r="L217" s="18" t="n">
        <v>46171</v>
      </c>
      <c r="M217" s="18" t="n">
        <v>46167</v>
      </c>
      <c r="N217" s="18" t="n">
        <v>46234</v>
      </c>
      <c r="O217" s="19" t="n"/>
      <c r="P217" s="20">
        <f>IF($A217="","",IF(M217&lt;&gt;"",M217,IF(K217&lt;&gt;"",K217,"")))</f>
        <v/>
      </c>
      <c r="Q217" s="20">
        <f>IF($A217="","",IF(N217&lt;&gt;"",N217,IF(L217&lt;&gt;"",L217,"")))</f>
        <v/>
      </c>
      <c r="R217" s="15" t="n"/>
      <c r="S217" s="16">
        <f t="array" ref="S217">IF($A217="","",_xlfn.TEXTJOIN(CHAR(10),TRUE,IF('Clarice'!$B$6:$B$300=$A217,"Clarice"&amp;IF('Clarice'!$E$6:$E$300="",""," : "&amp;'Clarice'!$E$6:$E$300)&amp;" ["&amp;'Clarice'!$F$6:$F$300&amp;"]",""),IF('Luisa'!$B$6:$B$300=$A217,"Luisa"&amp;IF('Luisa'!$E$6:$E$300="",""," : "&amp;'Luisa'!$E$6:$E$300)&amp;" ["&amp;'Luisa'!$F$6:$F$300&amp;"]",""),IF('Lui'!$B$6:$B$300=$A217,"Lui"&amp;IF('Lui'!$E$6:$E$300="",""," : "&amp;'Lui'!$E$6:$E$300)&amp;" ["&amp;'Lui'!$F$6:$F$300&amp;"]",""),IF('Thaís'!$B$6:$B$300=$A217,"Thaís"&amp;IF('Thaís'!$E$6:$E$300="",""," : "&amp;'Thaís'!$E$6:$E$300)&amp;" ["&amp;'Thaís'!$F$6:$F$300&amp;"]",""),IF('Daniel'!$B$6:$B$300=$A217,"Daniel"&amp;IF('Daniel'!$E$6:$E$300="",""," : "&amp;'Daniel'!$E$6:$E$300)&amp;" ["&amp;'Daniel'!$F$6:$F$300&amp;"]",""),IF('Fernando'!$B$6:$B$300=$A217,"Fernando"&amp;IF('Fernando'!$E$6:$E$300="",""," : "&amp;'Fernando'!$E$6:$E$300)&amp;" ["&amp;'Fernando'!$F$6:$F$300&amp;"]",""),IF('Stephanie'!$B$6:$B$300=$A217,"Stephanie"&amp;IF('Stephanie'!$E$6:$E$300="",""," : "&amp;'Stephanie'!$E$6:$E$300)&amp;" ["&amp;'Stephanie'!$F$6:$F$300&amp;"]",""),IF('Fox'!$B$6:$B$300=$A217,"Fox"&amp;IF('Fox'!$E$6:$E$300="",""," : "&amp;'Fox'!$E$6:$E$300)&amp;" ["&amp;'Fox'!$F$6:$F$300&amp;"]",""),IF('Bruna'!$B$6:$B$300=$A217,"Bruna"&amp;IF('Bruna'!$E$6:$E$300="",""," : "&amp;'Bruna'!$E$6:$E$300)&amp;" ["&amp;'Bruna'!$F$6:$F$300&amp;"]",""),IF('Stella'!$B$6:$B$300=$A217,"Stella"&amp;IF('Stella'!$E$6:$E$300="",""," : "&amp;'Stella'!$E$6:$E$300)&amp;" ["&amp;'Stella'!$F$6:$F$300&amp;"]",""),IF('Igor'!$B$6:$B$300=$A217,"Igor"&amp;IF('Igor'!$E$6:$E$300="",""," : "&amp;'Igor'!$E$6:$E$300)&amp;" ["&amp;'Igor'!$F$6:$F$300&amp;"]","")))</f>
        <v/>
      </c>
    </row>
    <row r="218" ht="15.5" customHeight="1">
      <c r="A218" s="13" t="inlineStr">
        <is>
          <t>SBM-047</t>
        </is>
      </c>
      <c r="B218" s="14" t="inlineStr">
        <is>
          <t>Etapa 2: Construção das métricas | Atividade 7: Operacionalização das métricas | Atividade 8: Aplicação das métricas</t>
        </is>
      </c>
      <c r="C218" s="14" t="inlineStr">
        <is>
          <t>Aplicação da SBM</t>
        </is>
      </c>
      <c r="D218" s="14" t="inlineStr">
        <is>
          <t>(subfrente sem título no original)</t>
        </is>
      </c>
      <c r="E218" s="15" t="inlineStr">
        <is>
          <t>Calcular o parâmetro - fatores de ajuste</t>
        </is>
      </c>
      <c r="F218" s="13" t="inlineStr">
        <is>
          <t>Luisa</t>
        </is>
      </c>
      <c r="G218" s="16">
        <f>IF($A218="","",_xlfn.TEXTJOIN("; ",TRUE,IF(COUNTIF('Clarice'!$B$6:$B$300,$A218)&gt;0,"Clarice",""),IF(COUNTIF('Luisa'!$B$6:$B$300,$A218)&gt;0,"Luisa",""),IF(COUNTIF('Lui'!$B$6:$B$300,$A218)&gt;0,"Lui",""),IF(COUNTIF('Thaís'!$B$6:$B$300,$A218)&gt;0,"Thaís",""),IF(COUNTIF('Daniel'!$B$6:$B$300,$A218)&gt;0,"Daniel",""),IF(COUNTIF('Fernando'!$B$6:$B$300,$A218)&gt;0,"Fernando",""),IF(COUNTIF('Stephanie'!$B$6:$B$300,$A218)&gt;0,"Stephanie",""),IF(COUNTIF('Fox'!$B$6:$B$300,$A218)&gt;0,"Fox",""),IF(COUNTIF('Bruna'!$B$6:$B$300,$A218)&gt;0,"Bruna",""),IF(COUNTIF('Stella'!$B$6:$B$300,$A218)&gt;0,"Stella",""),IF(COUNTIF('Igor'!$B$6:$B$300,$A218)&gt;0,"Igor","")))</f>
        <v/>
      </c>
      <c r="H218" s="13" t="n"/>
      <c r="I218" s="13" t="inlineStr">
        <is>
          <t>Não iniciado</t>
        </is>
      </c>
      <c r="J218" s="17">
        <f>IF(OR($A218="",(COUNTIF('Clarice'!$B$6:$B$300,$A218)+COUNTIF('Luisa'!$B$6:$B$300,$A218)+COUNTIF('Lui'!$B$6:$B$300,$A218)+COUNTIF('Thaís'!$B$6:$B$300,$A218)+COUNTIF('Daniel'!$B$6:$B$300,$A218)+COUNTIF('Fernando'!$B$6:$B$300,$A218)+COUNTIF('Stephanie'!$B$6:$B$300,$A218)+COUNTIF('Fox'!$B$6:$B$300,$A218)+COUNTIF('Bruna'!$B$6:$B$300,$A218)+COUNTIF('Stella'!$B$6:$B$300,$A218)+COUNTIF('Igor'!$B$6:$B$300,$A218))=0),"",(COUNTIFS('Clarice'!$B$6:$B$300,$A218,'Clarice'!$F$6:$F$300,"Concluído")+COUNTIFS('Luisa'!$B$6:$B$300,$A218,'Luisa'!$F$6:$F$300,"Concluído")+COUNTIFS('Lui'!$B$6:$B$300,$A218,'Lui'!$F$6:$F$300,"Concluído")+COUNTIFS('Thaís'!$B$6:$B$300,$A218,'Thaís'!$F$6:$F$300,"Concluído")+COUNTIFS('Daniel'!$B$6:$B$300,$A218,'Daniel'!$F$6:$F$300,"Concluído")+COUNTIFS('Fernando'!$B$6:$B$300,$A218,'Fernando'!$F$6:$F$300,"Concluído")+COUNTIFS('Stephanie'!$B$6:$B$300,$A218,'Stephanie'!$F$6:$F$300,"Concluído")+COUNTIFS('Fox'!$B$6:$B$300,$A218,'Fox'!$F$6:$F$300,"Concluído")+COUNTIFS('Bruna'!$B$6:$B$300,$A218,'Bruna'!$F$6:$F$300,"Concluído")+COUNTIFS('Stella'!$B$6:$B$300,$A218,'Stella'!$F$6:$F$300,"Concluído")+COUNTIFS('Igor'!$B$6:$B$300,$A218,'Igor'!$F$6:$F$300,"Concluído"))&amp;" / "&amp;(COUNTIF('Clarice'!$B$6:$B$300,$A218)+COUNTIF('Luisa'!$B$6:$B$300,$A218)+COUNTIF('Lui'!$B$6:$B$300,$A218)+COUNTIF('Thaís'!$B$6:$B$300,$A218)+COUNTIF('Daniel'!$B$6:$B$300,$A218)+COUNTIF('Fernando'!$B$6:$B$300,$A218)+COUNTIF('Stephanie'!$B$6:$B$300,$A218)+COUNTIF('Fox'!$B$6:$B$300,$A218)+COUNTIF('Bruna'!$B$6:$B$300,$A218)+COUNTIF('Stella'!$B$6:$B$300,$A218)+COUNTIF('Igor'!$B$6:$B$300,$A218)))</f>
        <v/>
      </c>
      <c r="K218" s="18" t="n">
        <v>46167</v>
      </c>
      <c r="L218" s="18" t="n">
        <v>46171</v>
      </c>
      <c r="M218" s="18" t="n">
        <v>46167</v>
      </c>
      <c r="N218" s="18" t="n">
        <v>46234</v>
      </c>
      <c r="O218" s="19" t="n"/>
      <c r="P218" s="20">
        <f>IF($A218="","",IF(M218&lt;&gt;"",M218,IF(K218&lt;&gt;"",K218,"")))</f>
        <v/>
      </c>
      <c r="Q218" s="20">
        <f>IF($A218="","",IF(N218&lt;&gt;"",N218,IF(L218&lt;&gt;"",L218,"")))</f>
        <v/>
      </c>
      <c r="R218" s="15" t="n"/>
      <c r="S218" s="16">
        <f t="array" ref="S218">IF($A218="","",_xlfn.TEXTJOIN(CHAR(10),TRUE,IF('Clarice'!$B$6:$B$300=$A218,"Clarice"&amp;IF('Clarice'!$E$6:$E$300="",""," : "&amp;'Clarice'!$E$6:$E$300)&amp;" ["&amp;'Clarice'!$F$6:$F$300&amp;"]",""),IF('Luisa'!$B$6:$B$300=$A218,"Luisa"&amp;IF('Luisa'!$E$6:$E$300="",""," : "&amp;'Luisa'!$E$6:$E$300)&amp;" ["&amp;'Luisa'!$F$6:$F$300&amp;"]",""),IF('Lui'!$B$6:$B$300=$A218,"Lui"&amp;IF('Lui'!$E$6:$E$300="",""," : "&amp;'Lui'!$E$6:$E$300)&amp;" ["&amp;'Lui'!$F$6:$F$300&amp;"]",""),IF('Thaís'!$B$6:$B$300=$A218,"Thaís"&amp;IF('Thaís'!$E$6:$E$300="",""," : "&amp;'Thaís'!$E$6:$E$300)&amp;" ["&amp;'Thaís'!$F$6:$F$300&amp;"]",""),IF('Daniel'!$B$6:$B$300=$A218,"Daniel"&amp;IF('Daniel'!$E$6:$E$300="",""," : "&amp;'Daniel'!$E$6:$E$300)&amp;" ["&amp;'Daniel'!$F$6:$F$300&amp;"]",""),IF('Fernando'!$B$6:$B$300=$A218,"Fernando"&amp;IF('Fernando'!$E$6:$E$300="",""," : "&amp;'Fernando'!$E$6:$E$300)&amp;" ["&amp;'Fernando'!$F$6:$F$300&amp;"]",""),IF('Stephanie'!$B$6:$B$300=$A218,"Stephanie"&amp;IF('Stephanie'!$E$6:$E$300="",""," : "&amp;'Stephanie'!$E$6:$E$300)&amp;" ["&amp;'Stephanie'!$F$6:$F$300&amp;"]",""),IF('Fox'!$B$6:$B$300=$A218,"Fox"&amp;IF('Fox'!$E$6:$E$300="",""," : "&amp;'Fox'!$E$6:$E$300)&amp;" ["&amp;'Fox'!$F$6:$F$300&amp;"]",""),IF('Bruna'!$B$6:$B$300=$A218,"Bruna"&amp;IF('Bruna'!$E$6:$E$300="",""," : "&amp;'Bruna'!$E$6:$E$300)&amp;" ["&amp;'Bruna'!$F$6:$F$300&amp;"]",""),IF('Stella'!$B$6:$B$300=$A218,"Stella"&amp;IF('Stella'!$E$6:$E$300="",""," : "&amp;'Stella'!$E$6:$E$300)&amp;" ["&amp;'Stella'!$F$6:$F$300&amp;"]",""),IF('Igor'!$B$6:$B$300=$A218,"Igor"&amp;IF('Igor'!$E$6:$E$300="",""," : "&amp;'Igor'!$E$6:$E$300)&amp;" ["&amp;'Igor'!$F$6:$F$300&amp;"]","")))</f>
        <v/>
      </c>
    </row>
    <row r="219" ht="28" customHeight="1">
      <c r="A219" s="13" t="inlineStr">
        <is>
          <t>SBM-048</t>
        </is>
      </c>
      <c r="B219" s="14" t="inlineStr">
        <is>
          <t>Etapa 2: Construção das métricas | Atividade 7: Operacionalização das métricas | Atividade 8: Aplicação das métricas</t>
        </is>
      </c>
      <c r="C219" s="14" t="inlineStr">
        <is>
          <t>Aplicação da SBM</t>
        </is>
      </c>
      <c r="D219" s="14" t="inlineStr">
        <is>
          <t>(subfrente sem título no original)</t>
        </is>
      </c>
      <c r="E219" s="15" t="inlineStr">
        <is>
          <t>Estruturar as fórmulas no excel ou script no R para aplicação</t>
        </is>
      </c>
      <c r="F219" s="13" t="inlineStr">
        <is>
          <t>Luisa</t>
        </is>
      </c>
      <c r="G219" s="16">
        <f>IF($A219="","",_xlfn.TEXTJOIN("; ",TRUE,IF(COUNTIF('Clarice'!$B$6:$B$300,$A219)&gt;0,"Clarice",""),IF(COUNTIF('Luisa'!$B$6:$B$300,$A219)&gt;0,"Luisa",""),IF(COUNTIF('Lui'!$B$6:$B$300,$A219)&gt;0,"Lui",""),IF(COUNTIF('Thaís'!$B$6:$B$300,$A219)&gt;0,"Thaís",""),IF(COUNTIF('Daniel'!$B$6:$B$300,$A219)&gt;0,"Daniel",""),IF(COUNTIF('Fernando'!$B$6:$B$300,$A219)&gt;0,"Fernando",""),IF(COUNTIF('Stephanie'!$B$6:$B$300,$A219)&gt;0,"Stephanie",""),IF(COUNTIF('Fox'!$B$6:$B$300,$A219)&gt;0,"Fox",""),IF(COUNTIF('Bruna'!$B$6:$B$300,$A219)&gt;0,"Bruna",""),IF(COUNTIF('Stella'!$B$6:$B$300,$A219)&gt;0,"Stella",""),IF(COUNTIF('Igor'!$B$6:$B$300,$A219)&gt;0,"Igor","")))</f>
        <v/>
      </c>
      <c r="H219" s="13" t="n"/>
      <c r="I219" s="13" t="inlineStr">
        <is>
          <t>Não iniciado</t>
        </is>
      </c>
      <c r="J219" s="17">
        <f>IF(OR($A219="",(COUNTIF('Clarice'!$B$6:$B$300,$A219)+COUNTIF('Luisa'!$B$6:$B$300,$A219)+COUNTIF('Lui'!$B$6:$B$300,$A219)+COUNTIF('Thaís'!$B$6:$B$300,$A219)+COUNTIF('Daniel'!$B$6:$B$300,$A219)+COUNTIF('Fernando'!$B$6:$B$300,$A219)+COUNTIF('Stephanie'!$B$6:$B$300,$A219)+COUNTIF('Fox'!$B$6:$B$300,$A219)+COUNTIF('Bruna'!$B$6:$B$300,$A219)+COUNTIF('Stella'!$B$6:$B$300,$A219)+COUNTIF('Igor'!$B$6:$B$300,$A219))=0),"",(COUNTIFS('Clarice'!$B$6:$B$300,$A219,'Clarice'!$F$6:$F$300,"Concluído")+COUNTIFS('Luisa'!$B$6:$B$300,$A219,'Luisa'!$F$6:$F$300,"Concluído")+COUNTIFS('Lui'!$B$6:$B$300,$A219,'Lui'!$F$6:$F$300,"Concluído")+COUNTIFS('Thaís'!$B$6:$B$300,$A219,'Thaís'!$F$6:$F$300,"Concluído")+COUNTIFS('Daniel'!$B$6:$B$300,$A219,'Daniel'!$F$6:$F$300,"Concluído")+COUNTIFS('Fernando'!$B$6:$B$300,$A219,'Fernando'!$F$6:$F$300,"Concluído")+COUNTIFS('Stephanie'!$B$6:$B$300,$A219,'Stephanie'!$F$6:$F$300,"Concluído")+COUNTIFS('Fox'!$B$6:$B$300,$A219,'Fox'!$F$6:$F$300,"Concluído")+COUNTIFS('Bruna'!$B$6:$B$300,$A219,'Bruna'!$F$6:$F$300,"Concluído")+COUNTIFS('Stella'!$B$6:$B$300,$A219,'Stella'!$F$6:$F$300,"Concluído")+COUNTIFS('Igor'!$B$6:$B$300,$A219,'Igor'!$F$6:$F$300,"Concluído"))&amp;" / "&amp;(COUNTIF('Clarice'!$B$6:$B$300,$A219)+COUNTIF('Luisa'!$B$6:$B$300,$A219)+COUNTIF('Lui'!$B$6:$B$300,$A219)+COUNTIF('Thaís'!$B$6:$B$300,$A219)+COUNTIF('Daniel'!$B$6:$B$300,$A219)+COUNTIF('Fernando'!$B$6:$B$300,$A219)+COUNTIF('Stephanie'!$B$6:$B$300,$A219)+COUNTIF('Fox'!$B$6:$B$300,$A219)+COUNTIF('Bruna'!$B$6:$B$300,$A219)+COUNTIF('Stella'!$B$6:$B$300,$A219)+COUNTIF('Igor'!$B$6:$B$300,$A219)))</f>
        <v/>
      </c>
      <c r="K219" s="18" t="n">
        <v>46167</v>
      </c>
      <c r="L219" s="18" t="n">
        <v>46178</v>
      </c>
      <c r="M219" s="18" t="n">
        <v>46167</v>
      </c>
      <c r="N219" s="18" t="n">
        <v>46241</v>
      </c>
      <c r="O219" s="19" t="n"/>
      <c r="P219" s="20">
        <f>IF($A219="","",IF(M219&lt;&gt;"",M219,IF(K219&lt;&gt;"",K219,"")))</f>
        <v/>
      </c>
      <c r="Q219" s="20">
        <f>IF($A219="","",IF(N219&lt;&gt;"",N219,IF(L219&lt;&gt;"",L219,"")))</f>
        <v/>
      </c>
      <c r="R219" s="15" t="n"/>
      <c r="S219" s="16">
        <f t="array" ref="S219">IF($A219="","",_xlfn.TEXTJOIN(CHAR(10),TRUE,IF('Clarice'!$B$6:$B$300=$A219,"Clarice"&amp;IF('Clarice'!$E$6:$E$300="",""," : "&amp;'Clarice'!$E$6:$E$300)&amp;" ["&amp;'Clarice'!$F$6:$F$300&amp;"]",""),IF('Luisa'!$B$6:$B$300=$A219,"Luisa"&amp;IF('Luisa'!$E$6:$E$300="",""," : "&amp;'Luisa'!$E$6:$E$300)&amp;" ["&amp;'Luisa'!$F$6:$F$300&amp;"]",""),IF('Lui'!$B$6:$B$300=$A219,"Lui"&amp;IF('Lui'!$E$6:$E$300="",""," : "&amp;'Lui'!$E$6:$E$300)&amp;" ["&amp;'Lui'!$F$6:$F$300&amp;"]",""),IF('Thaís'!$B$6:$B$300=$A219,"Thaís"&amp;IF('Thaís'!$E$6:$E$300="",""," : "&amp;'Thaís'!$E$6:$E$300)&amp;" ["&amp;'Thaís'!$F$6:$F$300&amp;"]",""),IF('Daniel'!$B$6:$B$300=$A219,"Daniel"&amp;IF('Daniel'!$E$6:$E$300="",""," : "&amp;'Daniel'!$E$6:$E$300)&amp;" ["&amp;'Daniel'!$F$6:$F$300&amp;"]",""),IF('Fernando'!$B$6:$B$300=$A219,"Fernando"&amp;IF('Fernando'!$E$6:$E$300="",""," : "&amp;'Fernando'!$E$6:$E$300)&amp;" ["&amp;'Fernando'!$F$6:$F$300&amp;"]",""),IF('Stephanie'!$B$6:$B$300=$A219,"Stephanie"&amp;IF('Stephanie'!$E$6:$E$300="",""," : "&amp;'Stephanie'!$E$6:$E$300)&amp;" ["&amp;'Stephanie'!$F$6:$F$300&amp;"]",""),IF('Fox'!$B$6:$B$300=$A219,"Fox"&amp;IF('Fox'!$E$6:$E$300="",""," : "&amp;'Fox'!$E$6:$E$300)&amp;" ["&amp;'Fox'!$F$6:$F$300&amp;"]",""),IF('Bruna'!$B$6:$B$300=$A219,"Bruna"&amp;IF('Bruna'!$E$6:$E$300="",""," : "&amp;'Bruna'!$E$6:$E$300)&amp;" ["&amp;'Bruna'!$F$6:$F$300&amp;"]",""),IF('Stella'!$B$6:$B$300=$A219,"Stella"&amp;IF('Stella'!$E$6:$E$300="",""," : "&amp;'Stella'!$E$6:$E$300)&amp;" ["&amp;'Stella'!$F$6:$F$300&amp;"]",""),IF('Igor'!$B$6:$B$300=$A219,"Igor"&amp;IF('Igor'!$E$6:$E$300="",""," : "&amp;'Igor'!$E$6:$E$300)&amp;" ["&amp;'Igor'!$F$6:$F$300&amp;"]","")))</f>
        <v/>
      </c>
    </row>
    <row r="220" ht="28" customHeight="1">
      <c r="A220" s="13" t="inlineStr">
        <is>
          <t>SBM-049</t>
        </is>
      </c>
      <c r="B220" s="14" t="inlineStr">
        <is>
          <t>Etapa 2: Construção das métricas | Atividade 7: Operacionalização das métricas | Atividade 8: Aplicação das métricas</t>
        </is>
      </c>
      <c r="C220" s="14" t="inlineStr">
        <is>
          <t>Aplicação da SBM</t>
        </is>
      </c>
      <c r="D220" s="14" t="inlineStr">
        <is>
          <t>(subfrente sem título no original)</t>
        </is>
      </c>
      <c r="E220" s="15" t="inlineStr">
        <is>
          <t>Rodar a métrica</t>
        </is>
      </c>
      <c r="F220" s="13" t="inlineStr">
        <is>
          <t>Luisa</t>
        </is>
      </c>
      <c r="G220" s="16">
        <f>IF($A220="","",_xlfn.TEXTJOIN("; ",TRUE,IF(COUNTIF('Clarice'!$B$6:$B$300,$A220)&gt;0,"Clarice",""),IF(COUNTIF('Luisa'!$B$6:$B$300,$A220)&gt;0,"Luisa",""),IF(COUNTIF('Lui'!$B$6:$B$300,$A220)&gt;0,"Lui",""),IF(COUNTIF('Thaís'!$B$6:$B$300,$A220)&gt;0,"Thaís",""),IF(COUNTIF('Daniel'!$B$6:$B$300,$A220)&gt;0,"Daniel",""),IF(COUNTIF('Fernando'!$B$6:$B$300,$A220)&gt;0,"Fernando",""),IF(COUNTIF('Stephanie'!$B$6:$B$300,$A220)&gt;0,"Stephanie",""),IF(COUNTIF('Fox'!$B$6:$B$300,$A220)&gt;0,"Fox",""),IF(COUNTIF('Bruna'!$B$6:$B$300,$A220)&gt;0,"Bruna",""),IF(COUNTIF('Stella'!$B$6:$B$300,$A220)&gt;0,"Stella",""),IF(COUNTIF('Igor'!$B$6:$B$300,$A220)&gt;0,"Igor","")))</f>
        <v/>
      </c>
      <c r="H220" s="13" t="n"/>
      <c r="I220" s="13" t="inlineStr">
        <is>
          <t>Não iniciado</t>
        </is>
      </c>
      <c r="J220" s="17">
        <f>IF(OR($A220="",(COUNTIF('Clarice'!$B$6:$B$300,$A220)+COUNTIF('Luisa'!$B$6:$B$300,$A220)+COUNTIF('Lui'!$B$6:$B$300,$A220)+COUNTIF('Thaís'!$B$6:$B$300,$A220)+COUNTIF('Daniel'!$B$6:$B$300,$A220)+COUNTIF('Fernando'!$B$6:$B$300,$A220)+COUNTIF('Stephanie'!$B$6:$B$300,$A220)+COUNTIF('Fox'!$B$6:$B$300,$A220)+COUNTIF('Bruna'!$B$6:$B$300,$A220)+COUNTIF('Stella'!$B$6:$B$300,$A220)+COUNTIF('Igor'!$B$6:$B$300,$A220))=0),"",(COUNTIFS('Clarice'!$B$6:$B$300,$A220,'Clarice'!$F$6:$F$300,"Concluído")+COUNTIFS('Luisa'!$B$6:$B$300,$A220,'Luisa'!$F$6:$F$300,"Concluído")+COUNTIFS('Lui'!$B$6:$B$300,$A220,'Lui'!$F$6:$F$300,"Concluído")+COUNTIFS('Thaís'!$B$6:$B$300,$A220,'Thaís'!$F$6:$F$300,"Concluído")+COUNTIFS('Daniel'!$B$6:$B$300,$A220,'Daniel'!$F$6:$F$300,"Concluído")+COUNTIFS('Fernando'!$B$6:$B$300,$A220,'Fernando'!$F$6:$F$300,"Concluído")+COUNTIFS('Stephanie'!$B$6:$B$300,$A220,'Stephanie'!$F$6:$F$300,"Concluído")+COUNTIFS('Fox'!$B$6:$B$300,$A220,'Fox'!$F$6:$F$300,"Concluído")+COUNTIFS('Bruna'!$B$6:$B$300,$A220,'Bruna'!$F$6:$F$300,"Concluído")+COUNTIFS('Stella'!$B$6:$B$300,$A220,'Stella'!$F$6:$F$300,"Concluído")+COUNTIFS('Igor'!$B$6:$B$300,$A220,'Igor'!$F$6:$F$300,"Concluído"))&amp;" / "&amp;(COUNTIF('Clarice'!$B$6:$B$300,$A220)+COUNTIF('Luisa'!$B$6:$B$300,$A220)+COUNTIF('Lui'!$B$6:$B$300,$A220)+COUNTIF('Thaís'!$B$6:$B$300,$A220)+COUNTIF('Daniel'!$B$6:$B$300,$A220)+COUNTIF('Fernando'!$B$6:$B$300,$A220)+COUNTIF('Stephanie'!$B$6:$B$300,$A220)+COUNTIF('Fox'!$B$6:$B$300,$A220)+COUNTIF('Bruna'!$B$6:$B$300,$A220)+COUNTIF('Stella'!$B$6:$B$300,$A220)+COUNTIF('Igor'!$B$6:$B$300,$A220)))</f>
        <v/>
      </c>
      <c r="K220" s="18" t="n">
        <v>46174</v>
      </c>
      <c r="L220" s="18" t="n">
        <v>46178</v>
      </c>
      <c r="M220" s="18" t="n">
        <v>46174</v>
      </c>
      <c r="N220" s="18" t="n">
        <v>46241</v>
      </c>
      <c r="O220" s="19" t="n"/>
      <c r="P220" s="20">
        <f>IF($A220="","",IF(M220&lt;&gt;"",M220,IF(K220&lt;&gt;"",K220,"")))</f>
        <v/>
      </c>
      <c r="Q220" s="20">
        <f>IF($A220="","",IF(N220&lt;&gt;"",N220,IF(L220&lt;&gt;"",L220,"")))</f>
        <v/>
      </c>
      <c r="R220" s="15" t="n"/>
      <c r="S220" s="16">
        <f t="array" ref="S220">IF($A220="","",_xlfn.TEXTJOIN(CHAR(10),TRUE,IF('Clarice'!$B$6:$B$300=$A220,"Clarice"&amp;IF('Clarice'!$E$6:$E$300="",""," : "&amp;'Clarice'!$E$6:$E$300)&amp;" ["&amp;'Clarice'!$F$6:$F$300&amp;"]",""),IF('Luisa'!$B$6:$B$300=$A220,"Luisa"&amp;IF('Luisa'!$E$6:$E$300="",""," : "&amp;'Luisa'!$E$6:$E$300)&amp;" ["&amp;'Luisa'!$F$6:$F$300&amp;"]",""),IF('Lui'!$B$6:$B$300=$A220,"Lui"&amp;IF('Lui'!$E$6:$E$300="",""," : "&amp;'Lui'!$E$6:$E$300)&amp;" ["&amp;'Lui'!$F$6:$F$300&amp;"]",""),IF('Thaís'!$B$6:$B$300=$A220,"Thaís"&amp;IF('Thaís'!$E$6:$E$300="",""," : "&amp;'Thaís'!$E$6:$E$300)&amp;" ["&amp;'Thaís'!$F$6:$F$300&amp;"]",""),IF('Daniel'!$B$6:$B$300=$A220,"Daniel"&amp;IF('Daniel'!$E$6:$E$300="",""," : "&amp;'Daniel'!$E$6:$E$300)&amp;" ["&amp;'Daniel'!$F$6:$F$300&amp;"]",""),IF('Fernando'!$B$6:$B$300=$A220,"Fernando"&amp;IF('Fernando'!$E$6:$E$300="",""," : "&amp;'Fernando'!$E$6:$E$300)&amp;" ["&amp;'Fernando'!$F$6:$F$300&amp;"]",""),IF('Stephanie'!$B$6:$B$300=$A220,"Stephanie"&amp;IF('Stephanie'!$E$6:$E$300="",""," : "&amp;'Stephanie'!$E$6:$E$300)&amp;" ["&amp;'Stephanie'!$F$6:$F$300&amp;"]",""),IF('Fox'!$B$6:$B$300=$A220,"Fox"&amp;IF('Fox'!$E$6:$E$300="",""," : "&amp;'Fox'!$E$6:$E$300)&amp;" ["&amp;'Fox'!$F$6:$F$300&amp;"]",""),IF('Bruna'!$B$6:$B$300=$A220,"Bruna"&amp;IF('Bruna'!$E$6:$E$300="",""," : "&amp;'Bruna'!$E$6:$E$300)&amp;" ["&amp;'Bruna'!$F$6:$F$300&amp;"]",""),IF('Stella'!$B$6:$B$300=$A220,"Stella"&amp;IF('Stella'!$E$6:$E$300="",""," : "&amp;'Stella'!$E$6:$E$300)&amp;" ["&amp;'Stella'!$F$6:$F$300&amp;"]",""),IF('Igor'!$B$6:$B$300=$A220,"Igor"&amp;IF('Igor'!$E$6:$E$300="",""," : "&amp;'Igor'!$E$6:$E$300)&amp;" ["&amp;'Igor'!$F$6:$F$300&amp;"]","")))</f>
        <v/>
      </c>
    </row>
    <row r="221" ht="15.5" customHeight="1">
      <c r="A221" s="13" t="inlineStr">
        <is>
          <t>SBM-050</t>
        </is>
      </c>
      <c r="B221" s="14" t="inlineStr">
        <is>
          <t>Etapa 2: Construção das métricas | Atividade 7: Operacionalização das métricas | Atividade 8: Aplicação das métricas</t>
        </is>
      </c>
      <c r="C221" s="14" t="inlineStr">
        <is>
          <t>Aplicação da SBM</t>
        </is>
      </c>
      <c r="D221" s="14" t="inlineStr">
        <is>
          <t>(subfrente sem título no original)</t>
        </is>
      </c>
      <c r="E221" s="15" t="inlineStr">
        <is>
          <t>Apresentar e consolidar os resultados internamente</t>
        </is>
      </c>
      <c r="F221" s="13" t="inlineStr">
        <is>
          <t>Luisa</t>
        </is>
      </c>
      <c r="G221" s="16">
        <f>IF($A221="","",_xlfn.TEXTJOIN("; ",TRUE,IF(COUNTIF('Clarice'!$B$6:$B$300,$A221)&gt;0,"Clarice",""),IF(COUNTIF('Luisa'!$B$6:$B$300,$A221)&gt;0,"Luisa",""),IF(COUNTIF('Lui'!$B$6:$B$300,$A221)&gt;0,"Lui",""),IF(COUNTIF('Thaís'!$B$6:$B$300,$A221)&gt;0,"Thaís",""),IF(COUNTIF('Daniel'!$B$6:$B$300,$A221)&gt;0,"Daniel",""),IF(COUNTIF('Fernando'!$B$6:$B$300,$A221)&gt;0,"Fernando",""),IF(COUNTIF('Stephanie'!$B$6:$B$300,$A221)&gt;0,"Stephanie",""),IF(COUNTIF('Fox'!$B$6:$B$300,$A221)&gt;0,"Fox",""),IF(COUNTIF('Bruna'!$B$6:$B$300,$A221)&gt;0,"Bruna",""),IF(COUNTIF('Stella'!$B$6:$B$300,$A221)&gt;0,"Stella",""),IF(COUNTIF('Igor'!$B$6:$B$300,$A221)&gt;0,"Igor","")))</f>
        <v/>
      </c>
      <c r="H221" s="13" t="n"/>
      <c r="I221" s="13" t="inlineStr">
        <is>
          <t>Não iniciado</t>
        </is>
      </c>
      <c r="J221" s="17">
        <f>IF(OR($A221="",(COUNTIF('Clarice'!$B$6:$B$300,$A221)+COUNTIF('Luisa'!$B$6:$B$300,$A221)+COUNTIF('Lui'!$B$6:$B$300,$A221)+COUNTIF('Thaís'!$B$6:$B$300,$A221)+COUNTIF('Daniel'!$B$6:$B$300,$A221)+COUNTIF('Fernando'!$B$6:$B$300,$A221)+COUNTIF('Stephanie'!$B$6:$B$300,$A221)+COUNTIF('Fox'!$B$6:$B$300,$A221)+COUNTIF('Bruna'!$B$6:$B$300,$A221)+COUNTIF('Stella'!$B$6:$B$300,$A221)+COUNTIF('Igor'!$B$6:$B$300,$A221))=0),"",(COUNTIFS('Clarice'!$B$6:$B$300,$A221,'Clarice'!$F$6:$F$300,"Concluído")+COUNTIFS('Luisa'!$B$6:$B$300,$A221,'Luisa'!$F$6:$F$300,"Concluído")+COUNTIFS('Lui'!$B$6:$B$300,$A221,'Lui'!$F$6:$F$300,"Concluído")+COUNTIFS('Thaís'!$B$6:$B$300,$A221,'Thaís'!$F$6:$F$300,"Concluído")+COUNTIFS('Daniel'!$B$6:$B$300,$A221,'Daniel'!$F$6:$F$300,"Concluído")+COUNTIFS('Fernando'!$B$6:$B$300,$A221,'Fernando'!$F$6:$F$300,"Concluído")+COUNTIFS('Stephanie'!$B$6:$B$300,$A221,'Stephanie'!$F$6:$F$300,"Concluído")+COUNTIFS('Fox'!$B$6:$B$300,$A221,'Fox'!$F$6:$F$300,"Concluído")+COUNTIFS('Bruna'!$B$6:$B$300,$A221,'Bruna'!$F$6:$F$300,"Concluído")+COUNTIFS('Stella'!$B$6:$B$300,$A221,'Stella'!$F$6:$F$300,"Concluído")+COUNTIFS('Igor'!$B$6:$B$300,$A221,'Igor'!$F$6:$F$300,"Concluído"))&amp;" / "&amp;(COUNTIF('Clarice'!$B$6:$B$300,$A221)+COUNTIF('Luisa'!$B$6:$B$300,$A221)+COUNTIF('Lui'!$B$6:$B$300,$A221)+COUNTIF('Thaís'!$B$6:$B$300,$A221)+COUNTIF('Daniel'!$B$6:$B$300,$A221)+COUNTIF('Fernando'!$B$6:$B$300,$A221)+COUNTIF('Stephanie'!$B$6:$B$300,$A221)+COUNTIF('Fox'!$B$6:$B$300,$A221)+COUNTIF('Bruna'!$B$6:$B$300,$A221)+COUNTIF('Stella'!$B$6:$B$300,$A221)+COUNTIF('Igor'!$B$6:$B$300,$A221)))</f>
        <v/>
      </c>
      <c r="K221" s="18" t="n">
        <v>46174</v>
      </c>
      <c r="L221" s="18" t="n">
        <v>46178</v>
      </c>
      <c r="M221" s="18" t="n">
        <v>46174</v>
      </c>
      <c r="N221" s="18" t="n">
        <v>46241</v>
      </c>
      <c r="O221" s="19" t="n"/>
      <c r="P221" s="20">
        <f>IF($A221="","",IF(M221&lt;&gt;"",M221,IF(K221&lt;&gt;"",K221,"")))</f>
        <v/>
      </c>
      <c r="Q221" s="20">
        <f>IF($A221="","",IF(N221&lt;&gt;"",N221,IF(L221&lt;&gt;"",L221,"")))</f>
        <v/>
      </c>
      <c r="R221" s="15" t="n"/>
      <c r="S221" s="16">
        <f t="array" ref="S221">IF($A221="","",_xlfn.TEXTJOIN(CHAR(10),TRUE,IF('Clarice'!$B$6:$B$300=$A221,"Clarice"&amp;IF('Clarice'!$E$6:$E$300="",""," : "&amp;'Clarice'!$E$6:$E$300)&amp;" ["&amp;'Clarice'!$F$6:$F$300&amp;"]",""),IF('Luisa'!$B$6:$B$300=$A221,"Luisa"&amp;IF('Luisa'!$E$6:$E$300="",""," : "&amp;'Luisa'!$E$6:$E$300)&amp;" ["&amp;'Luisa'!$F$6:$F$300&amp;"]",""),IF('Lui'!$B$6:$B$300=$A221,"Lui"&amp;IF('Lui'!$E$6:$E$300="",""," : "&amp;'Lui'!$E$6:$E$300)&amp;" ["&amp;'Lui'!$F$6:$F$300&amp;"]",""),IF('Thaís'!$B$6:$B$300=$A221,"Thaís"&amp;IF('Thaís'!$E$6:$E$300="",""," : "&amp;'Thaís'!$E$6:$E$300)&amp;" ["&amp;'Thaís'!$F$6:$F$300&amp;"]",""),IF('Daniel'!$B$6:$B$300=$A221,"Daniel"&amp;IF('Daniel'!$E$6:$E$300="",""," : "&amp;'Daniel'!$E$6:$E$300)&amp;" ["&amp;'Daniel'!$F$6:$F$300&amp;"]",""),IF('Fernando'!$B$6:$B$300=$A221,"Fernando"&amp;IF('Fernando'!$E$6:$E$300="",""," : "&amp;'Fernando'!$E$6:$E$300)&amp;" ["&amp;'Fernando'!$F$6:$F$300&amp;"]",""),IF('Stephanie'!$B$6:$B$300=$A221,"Stephanie"&amp;IF('Stephanie'!$E$6:$E$300="",""," : "&amp;'Stephanie'!$E$6:$E$300)&amp;" ["&amp;'Stephanie'!$F$6:$F$300&amp;"]",""),IF('Fox'!$B$6:$B$300=$A221,"Fox"&amp;IF('Fox'!$E$6:$E$300="",""," : "&amp;'Fox'!$E$6:$E$300)&amp;" ["&amp;'Fox'!$F$6:$F$300&amp;"]",""),IF('Bruna'!$B$6:$B$300=$A221,"Bruna"&amp;IF('Bruna'!$E$6:$E$300="",""," : "&amp;'Bruna'!$E$6:$E$300)&amp;" ["&amp;'Bruna'!$F$6:$F$300&amp;"]",""),IF('Stella'!$B$6:$B$300=$A221,"Stella"&amp;IF('Stella'!$E$6:$E$300="",""," : "&amp;'Stella'!$E$6:$E$300)&amp;" ["&amp;'Stella'!$F$6:$F$300&amp;"]",""),IF('Igor'!$B$6:$B$300=$A221,"Igor"&amp;IF('Igor'!$E$6:$E$300="",""," : "&amp;'Igor'!$E$6:$E$300)&amp;" ["&amp;'Igor'!$F$6:$F$300&amp;"]","")))</f>
        <v/>
      </c>
    </row>
    <row r="222" ht="28" customHeight="1">
      <c r="A222" s="13" t="inlineStr">
        <is>
          <t>SBM-051</t>
        </is>
      </c>
      <c r="B222" s="14" t="inlineStr">
        <is>
          <t>Etapa 2: Construção das métricas | Atividade 7: Operacionalização das métricas | Atividade 8: Aplicação das métricas</t>
        </is>
      </c>
      <c r="C222" s="14" t="inlineStr">
        <is>
          <t>Aplicação da SBM</t>
        </is>
      </c>
      <c r="D222" s="14" t="inlineStr">
        <is>
          <t>(subfrente sem título no original)</t>
        </is>
      </c>
      <c r="E222" s="15" t="inlineStr">
        <is>
          <t>Identificar lacunas de dados para recomendar para a Petrobras</t>
        </is>
      </c>
      <c r="F222" s="13" t="inlineStr">
        <is>
          <t>Luisa</t>
        </is>
      </c>
      <c r="G222" s="16">
        <f>IF($A222="","",_xlfn.TEXTJOIN("; ",TRUE,IF(COUNTIF('Clarice'!$B$6:$B$300,$A222)&gt;0,"Clarice",""),IF(COUNTIF('Luisa'!$B$6:$B$300,$A222)&gt;0,"Luisa",""),IF(COUNTIF('Lui'!$B$6:$B$300,$A222)&gt;0,"Lui",""),IF(COUNTIF('Thaís'!$B$6:$B$300,$A222)&gt;0,"Thaís",""),IF(COUNTIF('Daniel'!$B$6:$B$300,$A222)&gt;0,"Daniel",""),IF(COUNTIF('Fernando'!$B$6:$B$300,$A222)&gt;0,"Fernando",""),IF(COUNTIF('Stephanie'!$B$6:$B$300,$A222)&gt;0,"Stephanie",""),IF(COUNTIF('Fox'!$B$6:$B$300,$A222)&gt;0,"Fox",""),IF(COUNTIF('Bruna'!$B$6:$B$300,$A222)&gt;0,"Bruna",""),IF(COUNTIF('Stella'!$B$6:$B$300,$A222)&gt;0,"Stella",""),IF(COUNTIF('Igor'!$B$6:$B$300,$A222)&gt;0,"Igor","")))</f>
        <v/>
      </c>
      <c r="H222" s="13" t="n"/>
      <c r="I222" s="13" t="inlineStr">
        <is>
          <t>Em andamento</t>
        </is>
      </c>
      <c r="J222" s="17">
        <f>IF(OR($A222="",(COUNTIF('Clarice'!$B$6:$B$300,$A222)+COUNTIF('Luisa'!$B$6:$B$300,$A222)+COUNTIF('Lui'!$B$6:$B$300,$A222)+COUNTIF('Thaís'!$B$6:$B$300,$A222)+COUNTIF('Daniel'!$B$6:$B$300,$A222)+COUNTIF('Fernando'!$B$6:$B$300,$A222)+COUNTIF('Stephanie'!$B$6:$B$300,$A222)+COUNTIF('Fox'!$B$6:$B$300,$A222)+COUNTIF('Bruna'!$B$6:$B$300,$A222)+COUNTIF('Stella'!$B$6:$B$300,$A222)+COUNTIF('Igor'!$B$6:$B$300,$A222))=0),"",(COUNTIFS('Clarice'!$B$6:$B$300,$A222,'Clarice'!$F$6:$F$300,"Concluído")+COUNTIFS('Luisa'!$B$6:$B$300,$A222,'Luisa'!$F$6:$F$300,"Concluído")+COUNTIFS('Lui'!$B$6:$B$300,$A222,'Lui'!$F$6:$F$300,"Concluído")+COUNTIFS('Thaís'!$B$6:$B$300,$A222,'Thaís'!$F$6:$F$300,"Concluído")+COUNTIFS('Daniel'!$B$6:$B$300,$A222,'Daniel'!$F$6:$F$300,"Concluído")+COUNTIFS('Fernando'!$B$6:$B$300,$A222,'Fernando'!$F$6:$F$300,"Concluído")+COUNTIFS('Stephanie'!$B$6:$B$300,$A222,'Stephanie'!$F$6:$F$300,"Concluído")+COUNTIFS('Fox'!$B$6:$B$300,$A222,'Fox'!$F$6:$F$300,"Concluído")+COUNTIFS('Bruna'!$B$6:$B$300,$A222,'Bruna'!$F$6:$F$300,"Concluído")+COUNTIFS('Stella'!$B$6:$B$300,$A222,'Stella'!$F$6:$F$300,"Concluído")+COUNTIFS('Igor'!$B$6:$B$300,$A222,'Igor'!$F$6:$F$300,"Concluído"))&amp;" / "&amp;(COUNTIF('Clarice'!$B$6:$B$300,$A222)+COUNTIF('Luisa'!$B$6:$B$300,$A222)+COUNTIF('Lui'!$B$6:$B$300,$A222)+COUNTIF('Thaís'!$B$6:$B$300,$A222)+COUNTIF('Daniel'!$B$6:$B$300,$A222)+COUNTIF('Fernando'!$B$6:$B$300,$A222)+COUNTIF('Stephanie'!$B$6:$B$300,$A222)+COUNTIF('Fox'!$B$6:$B$300,$A222)+COUNTIF('Bruna'!$B$6:$B$300,$A222)+COUNTIF('Stella'!$B$6:$B$300,$A222)+COUNTIF('Igor'!$B$6:$B$300,$A222)))</f>
        <v/>
      </c>
      <c r="K222" s="18" t="n">
        <v>46174</v>
      </c>
      <c r="L222" s="18" t="n">
        <v>46178</v>
      </c>
      <c r="M222" s="18" t="n">
        <v>46174</v>
      </c>
      <c r="N222" s="18" t="n">
        <v>46241</v>
      </c>
      <c r="O222" s="19" t="n"/>
      <c r="P222" s="20">
        <f>IF($A222="","",IF(M222&lt;&gt;"",M222,IF(K222&lt;&gt;"",K222,"")))</f>
        <v/>
      </c>
      <c r="Q222" s="20">
        <f>IF($A222="","",IF(N222&lt;&gt;"",N222,IF(L222&lt;&gt;"",L222,"")))</f>
        <v/>
      </c>
      <c r="R222" s="15" t="n"/>
      <c r="S222" s="16">
        <f t="array" ref="S222">IF($A222="","",_xlfn.TEXTJOIN(CHAR(10),TRUE,IF('Clarice'!$B$6:$B$300=$A222,"Clarice"&amp;IF('Clarice'!$E$6:$E$300="",""," : "&amp;'Clarice'!$E$6:$E$300)&amp;" ["&amp;'Clarice'!$F$6:$F$300&amp;"]",""),IF('Luisa'!$B$6:$B$300=$A222,"Luisa"&amp;IF('Luisa'!$E$6:$E$300="",""," : "&amp;'Luisa'!$E$6:$E$300)&amp;" ["&amp;'Luisa'!$F$6:$F$300&amp;"]",""),IF('Lui'!$B$6:$B$300=$A222,"Lui"&amp;IF('Lui'!$E$6:$E$300="",""," : "&amp;'Lui'!$E$6:$E$300)&amp;" ["&amp;'Lui'!$F$6:$F$300&amp;"]",""),IF('Thaís'!$B$6:$B$300=$A222,"Thaís"&amp;IF('Thaís'!$E$6:$E$300="",""," : "&amp;'Thaís'!$E$6:$E$300)&amp;" ["&amp;'Thaís'!$F$6:$F$300&amp;"]",""),IF('Daniel'!$B$6:$B$300=$A222,"Daniel"&amp;IF('Daniel'!$E$6:$E$300="",""," : "&amp;'Daniel'!$E$6:$E$300)&amp;" ["&amp;'Daniel'!$F$6:$F$300&amp;"]",""),IF('Fernando'!$B$6:$B$300=$A222,"Fernando"&amp;IF('Fernando'!$E$6:$E$300="",""," : "&amp;'Fernando'!$E$6:$E$300)&amp;" ["&amp;'Fernando'!$F$6:$F$300&amp;"]",""),IF('Stephanie'!$B$6:$B$300=$A222,"Stephanie"&amp;IF('Stephanie'!$E$6:$E$300="",""," : "&amp;'Stephanie'!$E$6:$E$300)&amp;" ["&amp;'Stephanie'!$F$6:$F$300&amp;"]",""),IF('Fox'!$B$6:$B$300=$A222,"Fox"&amp;IF('Fox'!$E$6:$E$300="",""," : "&amp;'Fox'!$E$6:$E$300)&amp;" ["&amp;'Fox'!$F$6:$F$300&amp;"]",""),IF('Bruna'!$B$6:$B$300=$A222,"Bruna"&amp;IF('Bruna'!$E$6:$E$300="",""," : "&amp;'Bruna'!$E$6:$E$300)&amp;" ["&amp;'Bruna'!$F$6:$F$300&amp;"]",""),IF('Stella'!$B$6:$B$300=$A222,"Stella"&amp;IF('Stella'!$E$6:$E$300="",""," : "&amp;'Stella'!$E$6:$E$300)&amp;" ["&amp;'Stella'!$F$6:$F$300&amp;"]",""),IF('Igor'!$B$6:$B$300=$A222,"Igor"&amp;IF('Igor'!$E$6:$E$300="",""," : "&amp;'Igor'!$E$6:$E$300)&amp;" ["&amp;'Igor'!$F$6:$F$300&amp;"]","")))</f>
        <v/>
      </c>
    </row>
    <row r="223" ht="28" customHeight="1">
      <c r="A223" s="13" t="inlineStr">
        <is>
          <t>SBM-052</t>
        </is>
      </c>
      <c r="B223" s="14" t="inlineStr">
        <is>
          <t>Etapa 2: Construção das métricas | Atividade 7: Operacionalização das métricas | Atividade 8: Aplicação das métricas</t>
        </is>
      </c>
      <c r="C223" s="14" t="inlineStr">
        <is>
          <t>Aplicação da SBM</t>
        </is>
      </c>
      <c r="D223" s="14" t="inlineStr">
        <is>
          <t>(subfrente sem título no original)</t>
        </is>
      </c>
      <c r="E223" s="15" t="inlineStr">
        <is>
          <t>Apresentar os resultados para a Petrobras</t>
        </is>
      </c>
      <c r="F223" s="13" t="inlineStr">
        <is>
          <t>Luisa</t>
        </is>
      </c>
      <c r="G223" s="16">
        <f>IF($A223="","",_xlfn.TEXTJOIN("; ",TRUE,IF(COUNTIF('Clarice'!$B$6:$B$300,$A223)&gt;0,"Clarice",""),IF(COUNTIF('Luisa'!$B$6:$B$300,$A223)&gt;0,"Luisa",""),IF(COUNTIF('Lui'!$B$6:$B$300,$A223)&gt;0,"Lui",""),IF(COUNTIF('Thaís'!$B$6:$B$300,$A223)&gt;0,"Thaís",""),IF(COUNTIF('Daniel'!$B$6:$B$300,$A223)&gt;0,"Daniel",""),IF(COUNTIF('Fernando'!$B$6:$B$300,$A223)&gt;0,"Fernando",""),IF(COUNTIF('Stephanie'!$B$6:$B$300,$A223)&gt;0,"Stephanie",""),IF(COUNTIF('Fox'!$B$6:$B$300,$A223)&gt;0,"Fox",""),IF(COUNTIF('Bruna'!$B$6:$B$300,$A223)&gt;0,"Bruna",""),IF(COUNTIF('Stella'!$B$6:$B$300,$A223)&gt;0,"Stella",""),IF(COUNTIF('Igor'!$B$6:$B$300,$A223)&gt;0,"Igor","")))</f>
        <v/>
      </c>
      <c r="H223" s="13" t="n"/>
      <c r="I223" s="13" t="inlineStr">
        <is>
          <t>Não iniciado</t>
        </is>
      </c>
      <c r="J223" s="17">
        <f>IF(OR($A223="",(COUNTIF('Clarice'!$B$6:$B$300,$A223)+COUNTIF('Luisa'!$B$6:$B$300,$A223)+COUNTIF('Lui'!$B$6:$B$300,$A223)+COUNTIF('Thaís'!$B$6:$B$300,$A223)+COUNTIF('Daniel'!$B$6:$B$300,$A223)+COUNTIF('Fernando'!$B$6:$B$300,$A223)+COUNTIF('Stephanie'!$B$6:$B$300,$A223)+COUNTIF('Fox'!$B$6:$B$300,$A223)+COUNTIF('Bruna'!$B$6:$B$300,$A223)+COUNTIF('Stella'!$B$6:$B$300,$A223)+COUNTIF('Igor'!$B$6:$B$300,$A223))=0),"",(COUNTIFS('Clarice'!$B$6:$B$300,$A223,'Clarice'!$F$6:$F$300,"Concluído")+COUNTIFS('Luisa'!$B$6:$B$300,$A223,'Luisa'!$F$6:$F$300,"Concluído")+COUNTIFS('Lui'!$B$6:$B$300,$A223,'Lui'!$F$6:$F$300,"Concluído")+COUNTIFS('Thaís'!$B$6:$B$300,$A223,'Thaís'!$F$6:$F$300,"Concluído")+COUNTIFS('Daniel'!$B$6:$B$300,$A223,'Daniel'!$F$6:$F$300,"Concluído")+COUNTIFS('Fernando'!$B$6:$B$300,$A223,'Fernando'!$F$6:$F$300,"Concluído")+COUNTIFS('Stephanie'!$B$6:$B$300,$A223,'Stephanie'!$F$6:$F$300,"Concluído")+COUNTIFS('Fox'!$B$6:$B$300,$A223,'Fox'!$F$6:$F$300,"Concluído")+COUNTIFS('Bruna'!$B$6:$B$300,$A223,'Bruna'!$F$6:$F$300,"Concluído")+COUNTIFS('Stella'!$B$6:$B$300,$A223,'Stella'!$F$6:$F$300,"Concluído")+COUNTIFS('Igor'!$B$6:$B$300,$A223,'Igor'!$F$6:$F$300,"Concluído"))&amp;" / "&amp;(COUNTIF('Clarice'!$B$6:$B$300,$A223)+COUNTIF('Luisa'!$B$6:$B$300,$A223)+COUNTIF('Lui'!$B$6:$B$300,$A223)+COUNTIF('Thaís'!$B$6:$B$300,$A223)+COUNTIF('Daniel'!$B$6:$B$300,$A223)+COUNTIF('Fernando'!$B$6:$B$300,$A223)+COUNTIF('Stephanie'!$B$6:$B$300,$A223)+COUNTIF('Fox'!$B$6:$B$300,$A223)+COUNTIF('Bruna'!$B$6:$B$300,$A223)+COUNTIF('Stella'!$B$6:$B$300,$A223)+COUNTIF('Igor'!$B$6:$B$300,$A223)))</f>
        <v/>
      </c>
      <c r="K223" s="18" t="n">
        <v>46230</v>
      </c>
      <c r="L223" s="18" t="n">
        <v>46234</v>
      </c>
      <c r="M223" s="18" t="n">
        <v>46230</v>
      </c>
      <c r="N223" s="18" t="n">
        <v>46248</v>
      </c>
      <c r="O223" s="19" t="n"/>
      <c r="P223" s="20">
        <f>IF($A223="","",IF(M223&lt;&gt;"",M223,IF(K223&lt;&gt;"",K223,"")))</f>
        <v/>
      </c>
      <c r="Q223" s="20">
        <f>IF($A223="","",IF(N223&lt;&gt;"",N223,IF(L223&lt;&gt;"",L223,"")))</f>
        <v/>
      </c>
      <c r="R223" s="15" t="n"/>
      <c r="S223" s="16">
        <f t="array" ref="S223">IF($A223="","",_xlfn.TEXTJOIN(CHAR(10),TRUE,IF('Clarice'!$B$6:$B$300=$A223,"Clarice"&amp;IF('Clarice'!$E$6:$E$300="",""," : "&amp;'Clarice'!$E$6:$E$300)&amp;" ["&amp;'Clarice'!$F$6:$F$300&amp;"]",""),IF('Luisa'!$B$6:$B$300=$A223,"Luisa"&amp;IF('Luisa'!$E$6:$E$300="",""," : "&amp;'Luisa'!$E$6:$E$300)&amp;" ["&amp;'Luisa'!$F$6:$F$300&amp;"]",""),IF('Lui'!$B$6:$B$300=$A223,"Lui"&amp;IF('Lui'!$E$6:$E$300="",""," : "&amp;'Lui'!$E$6:$E$300)&amp;" ["&amp;'Lui'!$F$6:$F$300&amp;"]",""),IF('Thaís'!$B$6:$B$300=$A223,"Thaís"&amp;IF('Thaís'!$E$6:$E$300="",""," : "&amp;'Thaís'!$E$6:$E$300)&amp;" ["&amp;'Thaís'!$F$6:$F$300&amp;"]",""),IF('Daniel'!$B$6:$B$300=$A223,"Daniel"&amp;IF('Daniel'!$E$6:$E$300="",""," : "&amp;'Daniel'!$E$6:$E$300)&amp;" ["&amp;'Daniel'!$F$6:$F$300&amp;"]",""),IF('Fernando'!$B$6:$B$300=$A223,"Fernando"&amp;IF('Fernando'!$E$6:$E$300="",""," : "&amp;'Fernando'!$E$6:$E$300)&amp;" ["&amp;'Fernando'!$F$6:$F$300&amp;"]",""),IF('Stephanie'!$B$6:$B$300=$A223,"Stephanie"&amp;IF('Stephanie'!$E$6:$E$300="",""," : "&amp;'Stephanie'!$E$6:$E$300)&amp;" ["&amp;'Stephanie'!$F$6:$F$300&amp;"]",""),IF('Fox'!$B$6:$B$300=$A223,"Fox"&amp;IF('Fox'!$E$6:$E$300="",""," : "&amp;'Fox'!$E$6:$E$300)&amp;" ["&amp;'Fox'!$F$6:$F$300&amp;"]",""),IF('Bruna'!$B$6:$B$300=$A223,"Bruna"&amp;IF('Bruna'!$E$6:$E$300="",""," : "&amp;'Bruna'!$E$6:$E$300)&amp;" ["&amp;'Bruna'!$F$6:$F$300&amp;"]",""),IF('Stella'!$B$6:$B$300=$A223,"Stella"&amp;IF('Stella'!$E$6:$E$300="",""," : "&amp;'Stella'!$E$6:$E$300)&amp;" ["&amp;'Stella'!$F$6:$F$300&amp;"]",""),IF('Igor'!$B$6:$B$300=$A223,"Igor"&amp;IF('Igor'!$E$6:$E$300="",""," : "&amp;'Igor'!$E$6:$E$300)&amp;" ["&amp;'Igor'!$F$6:$F$300&amp;"]","")))</f>
        <v/>
      </c>
    </row>
    <row r="224" ht="15.5" customHeight="1">
      <c r="A224" s="13" t="inlineStr">
        <is>
          <t>SBM-053</t>
        </is>
      </c>
      <c r="B224" s="14" t="inlineStr">
        <is>
          <t>Etapa 2: Construção das métricas | Atividade 7: Operacionalização das métricas | Atividade 8: Aplicação das métricas</t>
        </is>
      </c>
      <c r="C224" s="14" t="inlineStr">
        <is>
          <t>Aplicação da SBM</t>
        </is>
      </c>
      <c r="D224" s="14" t="inlineStr">
        <is>
          <t>(subfrente sem título no original)</t>
        </is>
      </c>
      <c r="E224" s="15" t="inlineStr">
        <is>
          <t>Fazer os ajustes necessários</t>
        </is>
      </c>
      <c r="F224" s="13" t="inlineStr">
        <is>
          <t>Luisa</t>
        </is>
      </c>
      <c r="G224" s="16">
        <f>IF($A224="","",_xlfn.TEXTJOIN("; ",TRUE,IF(COUNTIF('Clarice'!$B$6:$B$300,$A224)&gt;0,"Clarice",""),IF(COUNTIF('Luisa'!$B$6:$B$300,$A224)&gt;0,"Luisa",""),IF(COUNTIF('Lui'!$B$6:$B$300,$A224)&gt;0,"Lui",""),IF(COUNTIF('Thaís'!$B$6:$B$300,$A224)&gt;0,"Thaís",""),IF(COUNTIF('Daniel'!$B$6:$B$300,$A224)&gt;0,"Daniel",""),IF(COUNTIF('Fernando'!$B$6:$B$300,$A224)&gt;0,"Fernando",""),IF(COUNTIF('Stephanie'!$B$6:$B$300,$A224)&gt;0,"Stephanie",""),IF(COUNTIF('Fox'!$B$6:$B$300,$A224)&gt;0,"Fox",""),IF(COUNTIF('Bruna'!$B$6:$B$300,$A224)&gt;0,"Bruna",""),IF(COUNTIF('Stella'!$B$6:$B$300,$A224)&gt;0,"Stella",""),IF(COUNTIF('Igor'!$B$6:$B$300,$A224)&gt;0,"Igor","")))</f>
        <v/>
      </c>
      <c r="H224" s="13" t="n"/>
      <c r="I224" s="13" t="inlineStr">
        <is>
          <t>Não iniciado</t>
        </is>
      </c>
      <c r="J224" s="17">
        <f>IF(OR($A224="",(COUNTIF('Clarice'!$B$6:$B$300,$A224)+COUNTIF('Luisa'!$B$6:$B$300,$A224)+COUNTIF('Lui'!$B$6:$B$300,$A224)+COUNTIF('Thaís'!$B$6:$B$300,$A224)+COUNTIF('Daniel'!$B$6:$B$300,$A224)+COUNTIF('Fernando'!$B$6:$B$300,$A224)+COUNTIF('Stephanie'!$B$6:$B$300,$A224)+COUNTIF('Fox'!$B$6:$B$300,$A224)+COUNTIF('Bruna'!$B$6:$B$300,$A224)+COUNTIF('Stella'!$B$6:$B$300,$A224)+COUNTIF('Igor'!$B$6:$B$300,$A224))=0),"",(COUNTIFS('Clarice'!$B$6:$B$300,$A224,'Clarice'!$F$6:$F$300,"Concluído")+COUNTIFS('Luisa'!$B$6:$B$300,$A224,'Luisa'!$F$6:$F$300,"Concluído")+COUNTIFS('Lui'!$B$6:$B$300,$A224,'Lui'!$F$6:$F$300,"Concluído")+COUNTIFS('Thaís'!$B$6:$B$300,$A224,'Thaís'!$F$6:$F$300,"Concluído")+COUNTIFS('Daniel'!$B$6:$B$300,$A224,'Daniel'!$F$6:$F$300,"Concluído")+COUNTIFS('Fernando'!$B$6:$B$300,$A224,'Fernando'!$F$6:$F$300,"Concluído")+COUNTIFS('Stephanie'!$B$6:$B$300,$A224,'Stephanie'!$F$6:$F$300,"Concluído")+COUNTIFS('Fox'!$B$6:$B$300,$A224,'Fox'!$F$6:$F$300,"Concluído")+COUNTIFS('Bruna'!$B$6:$B$300,$A224,'Bruna'!$F$6:$F$300,"Concluído")+COUNTIFS('Stella'!$B$6:$B$300,$A224,'Stella'!$F$6:$F$300,"Concluído")+COUNTIFS('Igor'!$B$6:$B$300,$A224,'Igor'!$F$6:$F$300,"Concluído"))&amp;" / "&amp;(COUNTIF('Clarice'!$B$6:$B$300,$A224)+COUNTIF('Luisa'!$B$6:$B$300,$A224)+COUNTIF('Lui'!$B$6:$B$300,$A224)+COUNTIF('Thaís'!$B$6:$B$300,$A224)+COUNTIF('Daniel'!$B$6:$B$300,$A224)+COUNTIF('Fernando'!$B$6:$B$300,$A224)+COUNTIF('Stephanie'!$B$6:$B$300,$A224)+COUNTIF('Fox'!$B$6:$B$300,$A224)+COUNTIF('Bruna'!$B$6:$B$300,$A224)+COUNTIF('Stella'!$B$6:$B$300,$A224)+COUNTIF('Igor'!$B$6:$B$300,$A224)))</f>
        <v/>
      </c>
      <c r="K224" s="18" t="n">
        <v>46230</v>
      </c>
      <c r="L224" s="18" t="n">
        <v>46234</v>
      </c>
      <c r="M224" s="18" t="n">
        <v>46230</v>
      </c>
      <c r="N224" s="18" t="n">
        <v>46255</v>
      </c>
      <c r="O224" s="19" t="n"/>
      <c r="P224" s="20">
        <f>IF($A224="","",IF(M224&lt;&gt;"",M224,IF(K224&lt;&gt;"",K224,"")))</f>
        <v/>
      </c>
      <c r="Q224" s="20">
        <f>IF($A224="","",IF(N224&lt;&gt;"",N224,IF(L224&lt;&gt;"",L224,"")))</f>
        <v/>
      </c>
      <c r="R224" s="15" t="n"/>
      <c r="S224" s="16">
        <f t="array" ref="S224">IF($A224="","",_xlfn.TEXTJOIN(CHAR(10),TRUE,IF('Clarice'!$B$6:$B$300=$A224,"Clarice"&amp;IF('Clarice'!$E$6:$E$300="",""," : "&amp;'Clarice'!$E$6:$E$300)&amp;" ["&amp;'Clarice'!$F$6:$F$300&amp;"]",""),IF('Luisa'!$B$6:$B$300=$A224,"Luisa"&amp;IF('Luisa'!$E$6:$E$300="",""," : "&amp;'Luisa'!$E$6:$E$300)&amp;" ["&amp;'Luisa'!$F$6:$F$300&amp;"]",""),IF('Lui'!$B$6:$B$300=$A224,"Lui"&amp;IF('Lui'!$E$6:$E$300="",""," : "&amp;'Lui'!$E$6:$E$300)&amp;" ["&amp;'Lui'!$F$6:$F$300&amp;"]",""),IF('Thaís'!$B$6:$B$300=$A224,"Thaís"&amp;IF('Thaís'!$E$6:$E$300="",""," : "&amp;'Thaís'!$E$6:$E$300)&amp;" ["&amp;'Thaís'!$F$6:$F$300&amp;"]",""),IF('Daniel'!$B$6:$B$300=$A224,"Daniel"&amp;IF('Daniel'!$E$6:$E$300="",""," : "&amp;'Daniel'!$E$6:$E$300)&amp;" ["&amp;'Daniel'!$F$6:$F$300&amp;"]",""),IF('Fernando'!$B$6:$B$300=$A224,"Fernando"&amp;IF('Fernando'!$E$6:$E$300="",""," : "&amp;'Fernando'!$E$6:$E$300)&amp;" ["&amp;'Fernando'!$F$6:$F$300&amp;"]",""),IF('Stephanie'!$B$6:$B$300=$A224,"Stephanie"&amp;IF('Stephanie'!$E$6:$E$300="",""," : "&amp;'Stephanie'!$E$6:$E$300)&amp;" ["&amp;'Stephanie'!$F$6:$F$300&amp;"]",""),IF('Fox'!$B$6:$B$300=$A224,"Fox"&amp;IF('Fox'!$E$6:$E$300="",""," : "&amp;'Fox'!$E$6:$E$300)&amp;" ["&amp;'Fox'!$F$6:$F$300&amp;"]",""),IF('Bruna'!$B$6:$B$300=$A224,"Bruna"&amp;IF('Bruna'!$E$6:$E$300="",""," : "&amp;'Bruna'!$E$6:$E$300)&amp;" ["&amp;'Bruna'!$F$6:$F$300&amp;"]",""),IF('Stella'!$B$6:$B$300=$A224,"Stella"&amp;IF('Stella'!$E$6:$E$300="",""," : "&amp;'Stella'!$E$6:$E$300)&amp;" ["&amp;'Stella'!$F$6:$F$300&amp;"]",""),IF('Igor'!$B$6:$B$300=$A224,"Igor"&amp;IF('Igor'!$E$6:$E$300="",""," : "&amp;'Igor'!$E$6:$E$300)&amp;" ["&amp;'Igor'!$F$6:$F$300&amp;"]","")))</f>
        <v/>
      </c>
    </row>
    <row r="225" ht="20" customHeight="1">
      <c r="A225" s="11" t="n"/>
      <c r="B225" s="11" t="inlineStr">
        <is>
          <t>Etapa 2: Construção das métricas | Atividade 7: Operacionalização das métricas</t>
        </is>
      </c>
      <c r="C225" s="11" t="inlineStr">
        <is>
          <t>Relatório operacionalização das métricas (produto 3)</t>
        </is>
      </c>
      <c r="D225" s="11" t="n"/>
      <c r="E225" s="11" t="inlineStr">
        <is>
          <t>Relatório operacionalização das métricas (produto 3)</t>
        </is>
      </c>
      <c r="F225" s="11" t="n"/>
      <c r="G225" s="11">
        <f>IF($A225="","",_xlfn.TEXTJOIN("; ",TRUE,IF(COUNTIF('Clarice'!$B$6:$B$300,$A225)&gt;0,"Clarice",""),IF(COUNTIF('Luisa'!$B$6:$B$300,$A225)&gt;0,"Luisa",""),IF(COUNTIF('Lui'!$B$6:$B$300,$A225)&gt;0,"Lui",""),IF(COUNTIF('Thaís'!$B$6:$B$300,$A225)&gt;0,"Thaís",""),IF(COUNTIF('Daniel'!$B$6:$B$300,$A225)&gt;0,"Daniel",""),IF(COUNTIF('Fernando'!$B$6:$B$300,$A225)&gt;0,"Fernando",""),IF(COUNTIF('Stephanie'!$B$6:$B$300,$A225)&gt;0,"Stephanie",""),IF(COUNTIF('Fox'!$B$6:$B$300,$A225)&gt;0,"Fox",""),IF(COUNTIF('Bruna'!$B$6:$B$300,$A225)&gt;0,"Bruna",""),IF(COUNTIF('Stella'!$B$6:$B$300,$A225)&gt;0,"Stella",""),IF(COUNTIF('Igor'!$B$6:$B$300,$A225)&gt;0,"Igor","")))</f>
        <v/>
      </c>
      <c r="H225" s="11" t="n"/>
      <c r="I225" s="11" t="n"/>
      <c r="J225" s="11">
        <f>IF(OR($A225="",(COUNTIF('Clarice'!$B$6:$B$300,$A225)+COUNTIF('Luisa'!$B$6:$B$300,$A225)+COUNTIF('Lui'!$B$6:$B$300,$A225)+COUNTIF('Thaís'!$B$6:$B$300,$A225)+COUNTIF('Daniel'!$B$6:$B$300,$A225)+COUNTIF('Fernando'!$B$6:$B$300,$A225)+COUNTIF('Stephanie'!$B$6:$B$300,$A225)+COUNTIF('Fox'!$B$6:$B$300,$A225)+COUNTIF('Bruna'!$B$6:$B$300,$A225)+COUNTIF('Stella'!$B$6:$B$300,$A225)+COUNTIF('Igor'!$B$6:$B$300,$A225))=0),"",(COUNTIFS('Clarice'!$B$6:$B$300,$A225,'Clarice'!$F$6:$F$300,"Concluído")+COUNTIFS('Luisa'!$B$6:$B$300,$A225,'Luisa'!$F$6:$F$300,"Concluído")+COUNTIFS('Lui'!$B$6:$B$300,$A225,'Lui'!$F$6:$F$300,"Concluído")+COUNTIFS('Thaís'!$B$6:$B$300,$A225,'Thaís'!$F$6:$F$300,"Concluído")+COUNTIFS('Daniel'!$B$6:$B$300,$A225,'Daniel'!$F$6:$F$300,"Concluído")+COUNTIFS('Fernando'!$B$6:$B$300,$A225,'Fernando'!$F$6:$F$300,"Concluído")+COUNTIFS('Stephanie'!$B$6:$B$300,$A225,'Stephanie'!$F$6:$F$300,"Concluído")+COUNTIFS('Fox'!$B$6:$B$300,$A225,'Fox'!$F$6:$F$300,"Concluído")+COUNTIFS('Bruna'!$B$6:$B$300,$A225,'Bruna'!$F$6:$F$300,"Concluído")+COUNTIFS('Stella'!$B$6:$B$300,$A225,'Stella'!$F$6:$F$300,"Concluído")+COUNTIFS('Igor'!$B$6:$B$300,$A225,'Igor'!$F$6:$F$300,"Concluído"))&amp;" / "&amp;(COUNTIF('Clarice'!$B$6:$B$300,$A225)+COUNTIF('Luisa'!$B$6:$B$300,$A225)+COUNTIF('Lui'!$B$6:$B$300,$A225)+COUNTIF('Thaís'!$B$6:$B$300,$A225)+COUNTIF('Daniel'!$B$6:$B$300,$A225)+COUNTIF('Fernando'!$B$6:$B$300,$A225)+COUNTIF('Stephanie'!$B$6:$B$300,$A225)+COUNTIF('Fox'!$B$6:$B$300,$A225)+COUNTIF('Bruna'!$B$6:$B$300,$A225)+COUNTIF('Stella'!$B$6:$B$300,$A225)+COUNTIF('Igor'!$B$6:$B$300,$A225)))</f>
        <v/>
      </c>
      <c r="K225" s="11" t="n"/>
      <c r="L225" s="11" t="n"/>
      <c r="M225" s="11" t="n"/>
      <c r="N225" s="11" t="n"/>
      <c r="O225" s="11" t="n"/>
      <c r="P225" s="12">
        <f>IF($A225="","",IF(M225&lt;&gt;"",M225,IF(K225&lt;&gt;"",K225,"")))</f>
        <v/>
      </c>
      <c r="Q225" s="12">
        <f>IF($A225="","",IF(N225&lt;&gt;"",N225,IF(L225&lt;&gt;"",L225,"")))</f>
        <v/>
      </c>
      <c r="R225" s="11" t="n"/>
      <c r="S225" s="11">
        <f t="array" ref="S225">IF($A225="","",_xlfn.TEXTJOIN(CHAR(10),TRUE,IF('Clarice'!$B$6:$B$300=$A225,"Clarice"&amp;IF('Clarice'!$E$6:$E$300="",""," : "&amp;'Clarice'!$E$6:$E$300)&amp;" ["&amp;'Clarice'!$F$6:$F$300&amp;"]",""),IF('Luisa'!$B$6:$B$300=$A225,"Luisa"&amp;IF('Luisa'!$E$6:$E$300="",""," : "&amp;'Luisa'!$E$6:$E$300)&amp;" ["&amp;'Luisa'!$F$6:$F$300&amp;"]",""),IF('Lui'!$B$6:$B$300=$A225,"Lui"&amp;IF('Lui'!$E$6:$E$300="",""," : "&amp;'Lui'!$E$6:$E$300)&amp;" ["&amp;'Lui'!$F$6:$F$300&amp;"]",""),IF('Thaís'!$B$6:$B$300=$A225,"Thaís"&amp;IF('Thaís'!$E$6:$E$300="",""," : "&amp;'Thaís'!$E$6:$E$300)&amp;" ["&amp;'Thaís'!$F$6:$F$300&amp;"]",""),IF('Daniel'!$B$6:$B$300=$A225,"Daniel"&amp;IF('Daniel'!$E$6:$E$300="",""," : "&amp;'Daniel'!$E$6:$E$300)&amp;" ["&amp;'Daniel'!$F$6:$F$300&amp;"]",""),IF('Fernando'!$B$6:$B$300=$A225,"Fernando"&amp;IF('Fernando'!$E$6:$E$300="",""," : "&amp;'Fernando'!$E$6:$E$300)&amp;" ["&amp;'Fernando'!$F$6:$F$300&amp;"]",""),IF('Stephanie'!$B$6:$B$300=$A225,"Stephanie"&amp;IF('Stephanie'!$E$6:$E$300="",""," : "&amp;'Stephanie'!$E$6:$E$300)&amp;" ["&amp;'Stephanie'!$F$6:$F$300&amp;"]",""),IF('Fox'!$B$6:$B$300=$A225,"Fox"&amp;IF('Fox'!$E$6:$E$300="",""," : "&amp;'Fox'!$E$6:$E$300)&amp;" ["&amp;'Fox'!$F$6:$F$300&amp;"]",""),IF('Bruna'!$B$6:$B$300=$A225,"Bruna"&amp;IF('Bruna'!$E$6:$E$300="",""," : "&amp;'Bruna'!$E$6:$E$300)&amp;" ["&amp;'Bruna'!$F$6:$F$300&amp;"]",""),IF('Stella'!$B$6:$B$300=$A225,"Stella"&amp;IF('Stella'!$E$6:$E$300="",""," : "&amp;'Stella'!$E$6:$E$300)&amp;" ["&amp;'Stella'!$F$6:$F$300&amp;"]",""),IF('Igor'!$B$6:$B$300=$A225,"Igor"&amp;IF('Igor'!$E$6:$E$300="",""," : "&amp;'Igor'!$E$6:$E$300)&amp;" ["&amp;'Igor'!$F$6:$F$300&amp;"]","")))</f>
        <v/>
      </c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</row>
    <row r="226" ht="40.5" customHeight="1">
      <c r="A226" s="13" t="inlineStr">
        <is>
          <t>P3-001</t>
        </is>
      </c>
      <c r="B226" s="14" t="inlineStr">
        <is>
          <t>Etapa 2: Construção das métricas | Atividade 7: Operacionalização das métricas</t>
        </is>
      </c>
      <c r="C226" s="14" t="inlineStr">
        <is>
          <t>Relatório operacionalização das métricas (produto 3)</t>
        </is>
      </c>
      <c r="D226" s="14" t="n"/>
      <c r="E226" s="15" t="inlineStr">
        <is>
          <t>Sistematizar dados de biodiversidade para as 3 unidades</t>
        </is>
      </c>
      <c r="F226" s="13" t="n"/>
      <c r="G226" s="16">
        <f>IF($A226="","",_xlfn.TEXTJOIN("; ",TRUE,IF(COUNTIF('Clarice'!$B$6:$B$300,$A226)&gt;0,"Clarice",""),IF(COUNTIF('Luisa'!$B$6:$B$300,$A226)&gt;0,"Luisa",""),IF(COUNTIF('Lui'!$B$6:$B$300,$A226)&gt;0,"Lui",""),IF(COUNTIF('Thaís'!$B$6:$B$300,$A226)&gt;0,"Thaís",""),IF(COUNTIF('Daniel'!$B$6:$B$300,$A226)&gt;0,"Daniel",""),IF(COUNTIF('Fernando'!$B$6:$B$300,$A226)&gt;0,"Fernando",""),IF(COUNTIF('Stephanie'!$B$6:$B$300,$A226)&gt;0,"Stephanie",""),IF(COUNTIF('Fox'!$B$6:$B$300,$A226)&gt;0,"Fox",""),IF(COUNTIF('Bruna'!$B$6:$B$300,$A226)&gt;0,"Bruna",""),IF(COUNTIF('Stella'!$B$6:$B$300,$A226)&gt;0,"Stella",""),IF(COUNTIF('Igor'!$B$6:$B$300,$A226)&gt;0,"Igor","")))</f>
        <v/>
      </c>
      <c r="H226" s="13" t="n"/>
      <c r="I226" s="13" t="inlineStr">
        <is>
          <t>Em andamento</t>
        </is>
      </c>
      <c r="J226" s="17">
        <f>IF(OR($A226="",(COUNTIF('Clarice'!$B$6:$B$300,$A226)+COUNTIF('Luisa'!$B$6:$B$300,$A226)+COUNTIF('Lui'!$B$6:$B$300,$A226)+COUNTIF('Thaís'!$B$6:$B$300,$A226)+COUNTIF('Daniel'!$B$6:$B$300,$A226)+COUNTIF('Fernando'!$B$6:$B$300,$A226)+COUNTIF('Stephanie'!$B$6:$B$300,$A226)+COUNTIF('Fox'!$B$6:$B$300,$A226)+COUNTIF('Bruna'!$B$6:$B$300,$A226)+COUNTIF('Stella'!$B$6:$B$300,$A226)+COUNTIF('Igor'!$B$6:$B$300,$A226))=0),"",(COUNTIFS('Clarice'!$B$6:$B$300,$A226,'Clarice'!$F$6:$F$300,"Concluído")+COUNTIFS('Luisa'!$B$6:$B$300,$A226,'Luisa'!$F$6:$F$300,"Concluído")+COUNTIFS('Lui'!$B$6:$B$300,$A226,'Lui'!$F$6:$F$300,"Concluído")+COUNTIFS('Thaís'!$B$6:$B$300,$A226,'Thaís'!$F$6:$F$300,"Concluído")+COUNTIFS('Daniel'!$B$6:$B$300,$A226,'Daniel'!$F$6:$F$300,"Concluído")+COUNTIFS('Fernando'!$B$6:$B$300,$A226,'Fernando'!$F$6:$F$300,"Concluído")+COUNTIFS('Stephanie'!$B$6:$B$300,$A226,'Stephanie'!$F$6:$F$300,"Concluído")+COUNTIFS('Fox'!$B$6:$B$300,$A226,'Fox'!$F$6:$F$300,"Concluído")+COUNTIFS('Bruna'!$B$6:$B$300,$A226,'Bruna'!$F$6:$F$300,"Concluído")+COUNTIFS('Stella'!$B$6:$B$300,$A226,'Stella'!$F$6:$F$300,"Concluído")+COUNTIFS('Igor'!$B$6:$B$300,$A226,'Igor'!$F$6:$F$300,"Concluído"))&amp;" / "&amp;(COUNTIF('Clarice'!$B$6:$B$300,$A226)+COUNTIF('Luisa'!$B$6:$B$300,$A226)+COUNTIF('Lui'!$B$6:$B$300,$A226)+COUNTIF('Thaís'!$B$6:$B$300,$A226)+COUNTIF('Daniel'!$B$6:$B$300,$A226)+COUNTIF('Fernando'!$B$6:$B$300,$A226)+COUNTIF('Stephanie'!$B$6:$B$300,$A226)+COUNTIF('Fox'!$B$6:$B$300,$A226)+COUNTIF('Bruna'!$B$6:$B$300,$A226)+COUNTIF('Stella'!$B$6:$B$300,$A226)+COUNTIF('Igor'!$B$6:$B$300,$A226)))</f>
        <v/>
      </c>
      <c r="K226" s="18" t="n">
        <v>46097</v>
      </c>
      <c r="L226" s="18" t="n">
        <v>46171</v>
      </c>
      <c r="M226" s="18" t="n">
        <v>46097</v>
      </c>
      <c r="N226" s="18" t="n">
        <v>46203</v>
      </c>
      <c r="O226" s="19" t="n"/>
      <c r="P226" s="20">
        <f>IF($A226="","",IF(M226&lt;&gt;"",M226,IF(K226&lt;&gt;"",K226,"")))</f>
        <v/>
      </c>
      <c r="Q226" s="20">
        <f>IF($A226="","",IF(N226&lt;&gt;"",N226,IF(L226&lt;&gt;"",L226,"")))</f>
        <v/>
      </c>
      <c r="R226" s="15" t="n"/>
      <c r="S226" s="16">
        <f t="array" ref="S226">IF($A226="","",_xlfn.TEXTJOIN(CHAR(10),TRUE,IF('Clarice'!$B$6:$B$300=$A226,"Clarice"&amp;IF('Clarice'!$E$6:$E$300="",""," : "&amp;'Clarice'!$E$6:$E$300)&amp;" ["&amp;'Clarice'!$F$6:$F$300&amp;"]",""),IF('Luisa'!$B$6:$B$300=$A226,"Luisa"&amp;IF('Luisa'!$E$6:$E$300="",""," : "&amp;'Luisa'!$E$6:$E$300)&amp;" ["&amp;'Luisa'!$F$6:$F$300&amp;"]",""),IF('Lui'!$B$6:$B$300=$A226,"Lui"&amp;IF('Lui'!$E$6:$E$300="",""," : "&amp;'Lui'!$E$6:$E$300)&amp;" ["&amp;'Lui'!$F$6:$F$300&amp;"]",""),IF('Thaís'!$B$6:$B$300=$A226,"Thaís"&amp;IF('Thaís'!$E$6:$E$300="",""," : "&amp;'Thaís'!$E$6:$E$300)&amp;" ["&amp;'Thaís'!$F$6:$F$300&amp;"]",""),IF('Daniel'!$B$6:$B$300=$A226,"Daniel"&amp;IF('Daniel'!$E$6:$E$300="",""," : "&amp;'Daniel'!$E$6:$E$300)&amp;" ["&amp;'Daniel'!$F$6:$F$300&amp;"]",""),IF('Fernando'!$B$6:$B$300=$A226,"Fernando"&amp;IF('Fernando'!$E$6:$E$300="",""," : "&amp;'Fernando'!$E$6:$E$300)&amp;" ["&amp;'Fernando'!$F$6:$F$300&amp;"]",""),IF('Stephanie'!$B$6:$B$300=$A226,"Stephanie"&amp;IF('Stephanie'!$E$6:$E$300="",""," : "&amp;'Stephanie'!$E$6:$E$300)&amp;" ["&amp;'Stephanie'!$F$6:$F$300&amp;"]",""),IF('Fox'!$B$6:$B$300=$A226,"Fox"&amp;IF('Fox'!$E$6:$E$300="",""," : "&amp;'Fox'!$E$6:$E$300)&amp;" ["&amp;'Fox'!$F$6:$F$300&amp;"]",""),IF('Bruna'!$B$6:$B$300=$A226,"Bruna"&amp;IF('Bruna'!$E$6:$E$300="",""," : "&amp;'Bruna'!$E$6:$E$300)&amp;" ["&amp;'Bruna'!$F$6:$F$300&amp;"]",""),IF('Stella'!$B$6:$B$300=$A226,"Stella"&amp;IF('Stella'!$E$6:$E$300="",""," : "&amp;'Stella'!$E$6:$E$300)&amp;" ["&amp;'Stella'!$F$6:$F$300&amp;"]",""),IF('Igor'!$B$6:$B$300=$A226,"Igor"&amp;IF('Igor'!$E$6:$E$300="",""," : "&amp;'Igor'!$E$6:$E$300)&amp;" ["&amp;'Igor'!$F$6:$F$300&amp;"]","")))</f>
        <v/>
      </c>
    </row>
    <row r="227" ht="40.5" customHeight="1">
      <c r="A227" s="13" t="inlineStr">
        <is>
          <t>P3-002</t>
        </is>
      </c>
      <c r="B227" s="14" t="inlineStr">
        <is>
          <t>Etapa 2: Construção das métricas | Atividade 7: Operacionalização das métricas</t>
        </is>
      </c>
      <c r="C227" s="14" t="inlineStr">
        <is>
          <t>Relatório operacionalização das métricas (produto 3)</t>
        </is>
      </c>
      <c r="D227" s="14" t="n"/>
      <c r="E227" s="15" t="inlineStr">
        <is>
          <t>Definir o conteúdo do relatório</t>
        </is>
      </c>
      <c r="F227" s="13" t="n"/>
      <c r="G227" s="16">
        <f>IF($A227="","",_xlfn.TEXTJOIN("; ",TRUE,IF(COUNTIF('Clarice'!$B$6:$B$300,$A227)&gt;0,"Clarice",""),IF(COUNTIF('Luisa'!$B$6:$B$300,$A227)&gt;0,"Luisa",""),IF(COUNTIF('Lui'!$B$6:$B$300,$A227)&gt;0,"Lui",""),IF(COUNTIF('Thaís'!$B$6:$B$300,$A227)&gt;0,"Thaís",""),IF(COUNTIF('Daniel'!$B$6:$B$300,$A227)&gt;0,"Daniel",""),IF(COUNTIF('Fernando'!$B$6:$B$300,$A227)&gt;0,"Fernando",""),IF(COUNTIF('Stephanie'!$B$6:$B$300,$A227)&gt;0,"Stephanie",""),IF(COUNTIF('Fox'!$B$6:$B$300,$A227)&gt;0,"Fox",""),IF(COUNTIF('Bruna'!$B$6:$B$300,$A227)&gt;0,"Bruna",""),IF(COUNTIF('Stella'!$B$6:$B$300,$A227)&gt;0,"Stella",""),IF(COUNTIF('Igor'!$B$6:$B$300,$A227)&gt;0,"Igor","")))</f>
        <v/>
      </c>
      <c r="H227" s="13" t="n"/>
      <c r="I227" s="13" t="inlineStr">
        <is>
          <t>Concluído</t>
        </is>
      </c>
      <c r="J227" s="17">
        <f>IF(OR($A227="",(COUNTIF('Clarice'!$B$6:$B$300,$A227)+COUNTIF('Luisa'!$B$6:$B$300,$A227)+COUNTIF('Lui'!$B$6:$B$300,$A227)+COUNTIF('Thaís'!$B$6:$B$300,$A227)+COUNTIF('Daniel'!$B$6:$B$300,$A227)+COUNTIF('Fernando'!$B$6:$B$300,$A227)+COUNTIF('Stephanie'!$B$6:$B$300,$A227)+COUNTIF('Fox'!$B$6:$B$300,$A227)+COUNTIF('Bruna'!$B$6:$B$300,$A227)+COUNTIF('Stella'!$B$6:$B$300,$A227)+COUNTIF('Igor'!$B$6:$B$300,$A227))=0),"",(COUNTIFS('Clarice'!$B$6:$B$300,$A227,'Clarice'!$F$6:$F$300,"Concluído")+COUNTIFS('Luisa'!$B$6:$B$300,$A227,'Luisa'!$F$6:$F$300,"Concluído")+COUNTIFS('Lui'!$B$6:$B$300,$A227,'Lui'!$F$6:$F$300,"Concluído")+COUNTIFS('Thaís'!$B$6:$B$300,$A227,'Thaís'!$F$6:$F$300,"Concluído")+COUNTIFS('Daniel'!$B$6:$B$300,$A227,'Daniel'!$F$6:$F$300,"Concluído")+COUNTIFS('Fernando'!$B$6:$B$300,$A227,'Fernando'!$F$6:$F$300,"Concluído")+COUNTIFS('Stephanie'!$B$6:$B$300,$A227,'Stephanie'!$F$6:$F$300,"Concluído")+COUNTIFS('Fox'!$B$6:$B$300,$A227,'Fox'!$F$6:$F$300,"Concluído")+COUNTIFS('Bruna'!$B$6:$B$300,$A227,'Bruna'!$F$6:$F$300,"Concluído")+COUNTIFS('Stella'!$B$6:$B$300,$A227,'Stella'!$F$6:$F$300,"Concluído")+COUNTIFS('Igor'!$B$6:$B$300,$A227,'Igor'!$F$6:$F$300,"Concluído"))&amp;" / "&amp;(COUNTIF('Clarice'!$B$6:$B$300,$A227)+COUNTIF('Luisa'!$B$6:$B$300,$A227)+COUNTIF('Lui'!$B$6:$B$300,$A227)+COUNTIF('Thaís'!$B$6:$B$300,$A227)+COUNTIF('Daniel'!$B$6:$B$300,$A227)+COUNTIF('Fernando'!$B$6:$B$300,$A227)+COUNTIF('Stephanie'!$B$6:$B$300,$A227)+COUNTIF('Fox'!$B$6:$B$300,$A227)+COUNTIF('Bruna'!$B$6:$B$300,$A227)+COUNTIF('Stella'!$B$6:$B$300,$A227)+COUNTIF('Igor'!$B$6:$B$300,$A227)))</f>
        <v/>
      </c>
      <c r="K227" s="18" t="n">
        <v>46104</v>
      </c>
      <c r="L227" s="18" t="n">
        <v>46114</v>
      </c>
      <c r="M227" s="19" t="n"/>
      <c r="N227" s="19" t="n"/>
      <c r="O227" s="19" t="n"/>
      <c r="P227" s="20">
        <f>IF($A227="","",IF(M227&lt;&gt;"",M227,IF(K227&lt;&gt;"",K227,"")))</f>
        <v/>
      </c>
      <c r="Q227" s="20">
        <f>IF($A227="","",IF(N227&lt;&gt;"",N227,IF(L227&lt;&gt;"",L227,"")))</f>
        <v/>
      </c>
      <c r="R227" s="15" t="n"/>
      <c r="S227" s="16">
        <f t="array" ref="S227">IF($A227="","",_xlfn.TEXTJOIN(CHAR(10),TRUE,IF('Clarice'!$B$6:$B$300=$A227,"Clarice"&amp;IF('Clarice'!$E$6:$E$300="",""," : "&amp;'Clarice'!$E$6:$E$300)&amp;" ["&amp;'Clarice'!$F$6:$F$300&amp;"]",""),IF('Luisa'!$B$6:$B$300=$A227,"Luisa"&amp;IF('Luisa'!$E$6:$E$300="",""," : "&amp;'Luisa'!$E$6:$E$300)&amp;" ["&amp;'Luisa'!$F$6:$F$300&amp;"]",""),IF('Lui'!$B$6:$B$300=$A227,"Lui"&amp;IF('Lui'!$E$6:$E$300="",""," : "&amp;'Lui'!$E$6:$E$300)&amp;" ["&amp;'Lui'!$F$6:$F$300&amp;"]",""),IF('Thaís'!$B$6:$B$300=$A227,"Thaís"&amp;IF('Thaís'!$E$6:$E$300="",""," : "&amp;'Thaís'!$E$6:$E$300)&amp;" ["&amp;'Thaís'!$F$6:$F$300&amp;"]",""),IF('Daniel'!$B$6:$B$300=$A227,"Daniel"&amp;IF('Daniel'!$E$6:$E$300="",""," : "&amp;'Daniel'!$E$6:$E$300)&amp;" ["&amp;'Daniel'!$F$6:$F$300&amp;"]",""),IF('Fernando'!$B$6:$B$300=$A227,"Fernando"&amp;IF('Fernando'!$E$6:$E$300="",""," : "&amp;'Fernando'!$E$6:$E$300)&amp;" ["&amp;'Fernando'!$F$6:$F$300&amp;"]",""),IF('Stephanie'!$B$6:$B$300=$A227,"Stephanie"&amp;IF('Stephanie'!$E$6:$E$300="",""," : "&amp;'Stephanie'!$E$6:$E$300)&amp;" ["&amp;'Stephanie'!$F$6:$F$300&amp;"]",""),IF('Fox'!$B$6:$B$300=$A227,"Fox"&amp;IF('Fox'!$E$6:$E$300="",""," : "&amp;'Fox'!$E$6:$E$300)&amp;" ["&amp;'Fox'!$F$6:$F$300&amp;"]",""),IF('Bruna'!$B$6:$B$300=$A227,"Bruna"&amp;IF('Bruna'!$E$6:$E$300="",""," : "&amp;'Bruna'!$E$6:$E$300)&amp;" ["&amp;'Bruna'!$F$6:$F$300&amp;"]",""),IF('Stella'!$B$6:$B$300=$A227,"Stella"&amp;IF('Stella'!$E$6:$E$300="",""," : "&amp;'Stella'!$E$6:$E$300)&amp;" ["&amp;'Stella'!$F$6:$F$300&amp;"]",""),IF('Igor'!$B$6:$B$300=$A227,"Igor"&amp;IF('Igor'!$E$6:$E$300="",""," : "&amp;'Igor'!$E$6:$E$300)&amp;" ["&amp;'Igor'!$F$6:$F$300&amp;"]","")))</f>
        <v/>
      </c>
    </row>
    <row r="228" ht="40.5" customHeight="1">
      <c r="A228" s="13" t="inlineStr">
        <is>
          <t>P3-003</t>
        </is>
      </c>
      <c r="B228" s="14" t="inlineStr">
        <is>
          <t>Etapa 2: Construção das métricas | Atividade 7: Operacionalização das métricas</t>
        </is>
      </c>
      <c r="C228" s="14" t="inlineStr">
        <is>
          <t>Relatório operacionalização das métricas (produto 3)</t>
        </is>
      </c>
      <c r="D228" s="14" t="n"/>
      <c r="E228" s="15" t="inlineStr">
        <is>
          <t>Definir a estrutura do relatório</t>
        </is>
      </c>
      <c r="F228" s="13" t="n"/>
      <c r="G228" s="16">
        <f>IF($A228="","",_xlfn.TEXTJOIN("; ",TRUE,IF(COUNTIF('Clarice'!$B$6:$B$300,$A228)&gt;0,"Clarice",""),IF(COUNTIF('Luisa'!$B$6:$B$300,$A228)&gt;0,"Luisa",""),IF(COUNTIF('Lui'!$B$6:$B$300,$A228)&gt;0,"Lui",""),IF(COUNTIF('Thaís'!$B$6:$B$300,$A228)&gt;0,"Thaís",""),IF(COUNTIF('Daniel'!$B$6:$B$300,$A228)&gt;0,"Daniel",""),IF(COUNTIF('Fernando'!$B$6:$B$300,$A228)&gt;0,"Fernando",""),IF(COUNTIF('Stephanie'!$B$6:$B$300,$A228)&gt;0,"Stephanie",""),IF(COUNTIF('Fox'!$B$6:$B$300,$A228)&gt;0,"Fox",""),IF(COUNTIF('Bruna'!$B$6:$B$300,$A228)&gt;0,"Bruna",""),IF(COUNTIF('Stella'!$B$6:$B$300,$A228)&gt;0,"Stella",""),IF(COUNTIF('Igor'!$B$6:$B$300,$A228)&gt;0,"Igor","")))</f>
        <v/>
      </c>
      <c r="H228" s="13" t="n"/>
      <c r="I228" s="13" t="inlineStr">
        <is>
          <t>Concluído</t>
        </is>
      </c>
      <c r="J228" s="17">
        <f>IF(OR($A228="",(COUNTIF('Clarice'!$B$6:$B$300,$A228)+COUNTIF('Luisa'!$B$6:$B$300,$A228)+COUNTIF('Lui'!$B$6:$B$300,$A228)+COUNTIF('Thaís'!$B$6:$B$300,$A228)+COUNTIF('Daniel'!$B$6:$B$300,$A228)+COUNTIF('Fernando'!$B$6:$B$300,$A228)+COUNTIF('Stephanie'!$B$6:$B$300,$A228)+COUNTIF('Fox'!$B$6:$B$300,$A228)+COUNTIF('Bruna'!$B$6:$B$300,$A228)+COUNTIF('Stella'!$B$6:$B$300,$A228)+COUNTIF('Igor'!$B$6:$B$300,$A228))=0),"",(COUNTIFS('Clarice'!$B$6:$B$300,$A228,'Clarice'!$F$6:$F$300,"Concluído")+COUNTIFS('Luisa'!$B$6:$B$300,$A228,'Luisa'!$F$6:$F$300,"Concluído")+COUNTIFS('Lui'!$B$6:$B$300,$A228,'Lui'!$F$6:$F$300,"Concluído")+COUNTIFS('Thaís'!$B$6:$B$300,$A228,'Thaís'!$F$6:$F$300,"Concluído")+COUNTIFS('Daniel'!$B$6:$B$300,$A228,'Daniel'!$F$6:$F$300,"Concluído")+COUNTIFS('Fernando'!$B$6:$B$300,$A228,'Fernando'!$F$6:$F$300,"Concluído")+COUNTIFS('Stephanie'!$B$6:$B$300,$A228,'Stephanie'!$F$6:$F$300,"Concluído")+COUNTIFS('Fox'!$B$6:$B$300,$A228,'Fox'!$F$6:$F$300,"Concluído")+COUNTIFS('Bruna'!$B$6:$B$300,$A228,'Bruna'!$F$6:$F$300,"Concluído")+COUNTIFS('Stella'!$B$6:$B$300,$A228,'Stella'!$F$6:$F$300,"Concluído")+COUNTIFS('Igor'!$B$6:$B$300,$A228,'Igor'!$F$6:$F$300,"Concluído"))&amp;" / "&amp;(COUNTIF('Clarice'!$B$6:$B$300,$A228)+COUNTIF('Luisa'!$B$6:$B$300,$A228)+COUNTIF('Lui'!$B$6:$B$300,$A228)+COUNTIF('Thaís'!$B$6:$B$300,$A228)+COUNTIF('Daniel'!$B$6:$B$300,$A228)+COUNTIF('Fernando'!$B$6:$B$300,$A228)+COUNTIF('Stephanie'!$B$6:$B$300,$A228)+COUNTIF('Fox'!$B$6:$B$300,$A228)+COUNTIF('Bruna'!$B$6:$B$300,$A228)+COUNTIF('Stella'!$B$6:$B$300,$A228)+COUNTIF('Igor'!$B$6:$B$300,$A228)))</f>
        <v/>
      </c>
      <c r="K228" s="18" t="n">
        <v>46111</v>
      </c>
      <c r="L228" s="18" t="n">
        <v>46122</v>
      </c>
      <c r="M228" s="19" t="n"/>
      <c r="N228" s="19" t="n"/>
      <c r="O228" s="19" t="n"/>
      <c r="P228" s="20">
        <f>IF($A228="","",IF(M228&lt;&gt;"",M228,IF(K228&lt;&gt;"",K228,"")))</f>
        <v/>
      </c>
      <c r="Q228" s="20">
        <f>IF($A228="","",IF(N228&lt;&gt;"",N228,IF(L228&lt;&gt;"",L228,"")))</f>
        <v/>
      </c>
      <c r="R228" s="15" t="n"/>
      <c r="S228" s="16">
        <f t="array" ref="S228">IF($A228="","",_xlfn.TEXTJOIN(CHAR(10),TRUE,IF('Clarice'!$B$6:$B$300=$A228,"Clarice"&amp;IF('Clarice'!$E$6:$E$300="",""," : "&amp;'Clarice'!$E$6:$E$300)&amp;" ["&amp;'Clarice'!$F$6:$F$300&amp;"]",""),IF('Luisa'!$B$6:$B$300=$A228,"Luisa"&amp;IF('Luisa'!$E$6:$E$300="",""," : "&amp;'Luisa'!$E$6:$E$300)&amp;" ["&amp;'Luisa'!$F$6:$F$300&amp;"]",""),IF('Lui'!$B$6:$B$300=$A228,"Lui"&amp;IF('Lui'!$E$6:$E$300="",""," : "&amp;'Lui'!$E$6:$E$300)&amp;" ["&amp;'Lui'!$F$6:$F$300&amp;"]",""),IF('Thaís'!$B$6:$B$300=$A228,"Thaís"&amp;IF('Thaís'!$E$6:$E$300="",""," : "&amp;'Thaís'!$E$6:$E$300)&amp;" ["&amp;'Thaís'!$F$6:$F$300&amp;"]",""),IF('Daniel'!$B$6:$B$300=$A228,"Daniel"&amp;IF('Daniel'!$E$6:$E$300="",""," : "&amp;'Daniel'!$E$6:$E$300)&amp;" ["&amp;'Daniel'!$F$6:$F$300&amp;"]",""),IF('Fernando'!$B$6:$B$300=$A228,"Fernando"&amp;IF('Fernando'!$E$6:$E$300="",""," : "&amp;'Fernando'!$E$6:$E$300)&amp;" ["&amp;'Fernando'!$F$6:$F$300&amp;"]",""),IF('Stephanie'!$B$6:$B$300=$A228,"Stephanie"&amp;IF('Stephanie'!$E$6:$E$300="",""," : "&amp;'Stephanie'!$E$6:$E$300)&amp;" ["&amp;'Stephanie'!$F$6:$F$300&amp;"]",""),IF('Fox'!$B$6:$B$300=$A228,"Fox"&amp;IF('Fox'!$E$6:$E$300="",""," : "&amp;'Fox'!$E$6:$E$300)&amp;" ["&amp;'Fox'!$F$6:$F$300&amp;"]",""),IF('Bruna'!$B$6:$B$300=$A228,"Bruna"&amp;IF('Bruna'!$E$6:$E$300="",""," : "&amp;'Bruna'!$E$6:$E$300)&amp;" ["&amp;'Bruna'!$F$6:$F$300&amp;"]",""),IF('Stella'!$B$6:$B$300=$A228,"Stella"&amp;IF('Stella'!$E$6:$E$300="",""," : "&amp;'Stella'!$E$6:$E$300)&amp;" ["&amp;'Stella'!$F$6:$F$300&amp;"]",""),IF('Igor'!$B$6:$B$300=$A228,"Igor"&amp;IF('Igor'!$E$6:$E$300="",""," : "&amp;'Igor'!$E$6:$E$300)&amp;" ["&amp;'Igor'!$F$6:$F$300&amp;"]","")))</f>
        <v/>
      </c>
    </row>
    <row r="229" ht="28" customHeight="1">
      <c r="A229" s="13" t="inlineStr">
        <is>
          <t>P3-004</t>
        </is>
      </c>
      <c r="B229" s="14" t="inlineStr">
        <is>
          <t>Etapa 2: Construção das métricas | Atividade 7: Operacionalização das métricas</t>
        </is>
      </c>
      <c r="C229" s="14" t="inlineStr">
        <is>
          <t>Relatório operacionalização das métricas (produto 3)</t>
        </is>
      </c>
      <c r="D229" s="14" t="n"/>
      <c r="E229" s="15" t="inlineStr">
        <is>
          <t>Escrever a parte inicial do relatório (apresentação, sistematização dos dados, etc)</t>
        </is>
      </c>
      <c r="F229" s="13" t="n"/>
      <c r="G229" s="16">
        <f>IF($A229="","",_xlfn.TEXTJOIN("; ",TRUE,IF(COUNTIF('Clarice'!$B$6:$B$300,$A229)&gt;0,"Clarice",""),IF(COUNTIF('Luisa'!$B$6:$B$300,$A229)&gt;0,"Luisa",""),IF(COUNTIF('Lui'!$B$6:$B$300,$A229)&gt;0,"Lui",""),IF(COUNTIF('Thaís'!$B$6:$B$300,$A229)&gt;0,"Thaís",""),IF(COUNTIF('Daniel'!$B$6:$B$300,$A229)&gt;0,"Daniel",""),IF(COUNTIF('Fernando'!$B$6:$B$300,$A229)&gt;0,"Fernando",""),IF(COUNTIF('Stephanie'!$B$6:$B$300,$A229)&gt;0,"Stephanie",""),IF(COUNTIF('Fox'!$B$6:$B$300,$A229)&gt;0,"Fox",""),IF(COUNTIF('Bruna'!$B$6:$B$300,$A229)&gt;0,"Bruna",""),IF(COUNTIF('Stella'!$B$6:$B$300,$A229)&gt;0,"Stella",""),IF(COUNTIF('Igor'!$B$6:$B$300,$A229)&gt;0,"Igor","")))</f>
        <v/>
      </c>
      <c r="H229" s="13" t="n"/>
      <c r="I229" s="13" t="inlineStr">
        <is>
          <t>Concluído</t>
        </is>
      </c>
      <c r="J229" s="17">
        <f>IF(OR($A229="",(COUNTIF('Clarice'!$B$6:$B$300,$A229)+COUNTIF('Luisa'!$B$6:$B$300,$A229)+COUNTIF('Lui'!$B$6:$B$300,$A229)+COUNTIF('Thaís'!$B$6:$B$300,$A229)+COUNTIF('Daniel'!$B$6:$B$300,$A229)+COUNTIF('Fernando'!$B$6:$B$300,$A229)+COUNTIF('Stephanie'!$B$6:$B$300,$A229)+COUNTIF('Fox'!$B$6:$B$300,$A229)+COUNTIF('Bruna'!$B$6:$B$300,$A229)+COUNTIF('Stella'!$B$6:$B$300,$A229)+COUNTIF('Igor'!$B$6:$B$300,$A229))=0),"",(COUNTIFS('Clarice'!$B$6:$B$300,$A229,'Clarice'!$F$6:$F$300,"Concluído")+COUNTIFS('Luisa'!$B$6:$B$300,$A229,'Luisa'!$F$6:$F$300,"Concluído")+COUNTIFS('Lui'!$B$6:$B$300,$A229,'Lui'!$F$6:$F$300,"Concluído")+COUNTIFS('Thaís'!$B$6:$B$300,$A229,'Thaís'!$F$6:$F$300,"Concluído")+COUNTIFS('Daniel'!$B$6:$B$300,$A229,'Daniel'!$F$6:$F$300,"Concluído")+COUNTIFS('Fernando'!$B$6:$B$300,$A229,'Fernando'!$F$6:$F$300,"Concluído")+COUNTIFS('Stephanie'!$B$6:$B$300,$A229,'Stephanie'!$F$6:$F$300,"Concluído")+COUNTIFS('Fox'!$B$6:$B$300,$A229,'Fox'!$F$6:$F$300,"Concluído")+COUNTIFS('Bruna'!$B$6:$B$300,$A229,'Bruna'!$F$6:$F$300,"Concluído")+COUNTIFS('Stella'!$B$6:$B$300,$A229,'Stella'!$F$6:$F$300,"Concluído")+COUNTIFS('Igor'!$B$6:$B$300,$A229,'Igor'!$F$6:$F$300,"Concluído"))&amp;" / "&amp;(COUNTIF('Clarice'!$B$6:$B$300,$A229)+COUNTIF('Luisa'!$B$6:$B$300,$A229)+COUNTIF('Lui'!$B$6:$B$300,$A229)+COUNTIF('Thaís'!$B$6:$B$300,$A229)+COUNTIF('Daniel'!$B$6:$B$300,$A229)+COUNTIF('Fernando'!$B$6:$B$300,$A229)+COUNTIF('Stephanie'!$B$6:$B$300,$A229)+COUNTIF('Fox'!$B$6:$B$300,$A229)+COUNTIF('Bruna'!$B$6:$B$300,$A229)+COUNTIF('Stella'!$B$6:$B$300,$A229)+COUNTIF('Igor'!$B$6:$B$300,$A229)))</f>
        <v/>
      </c>
      <c r="K229" s="18" t="n">
        <v>46113</v>
      </c>
      <c r="L229" s="18" t="n">
        <v>46122</v>
      </c>
      <c r="M229" s="19" t="n"/>
      <c r="N229" s="19" t="n"/>
      <c r="O229" s="19" t="n"/>
      <c r="P229" s="20">
        <f>IF($A229="","",IF(M229&lt;&gt;"",M229,IF(K229&lt;&gt;"",K229,"")))</f>
        <v/>
      </c>
      <c r="Q229" s="20">
        <f>IF($A229="","",IF(N229&lt;&gt;"",N229,IF(L229&lt;&gt;"",L229,"")))</f>
        <v/>
      </c>
      <c r="R229" s="15" t="n"/>
      <c r="S229" s="16">
        <f t="array" ref="S229">IF($A229="","",_xlfn.TEXTJOIN(CHAR(10),TRUE,IF('Clarice'!$B$6:$B$300=$A229,"Clarice"&amp;IF('Clarice'!$E$6:$E$300="",""," : "&amp;'Clarice'!$E$6:$E$300)&amp;" ["&amp;'Clarice'!$F$6:$F$300&amp;"]",""),IF('Luisa'!$B$6:$B$300=$A229,"Luisa"&amp;IF('Luisa'!$E$6:$E$300="",""," : "&amp;'Luisa'!$E$6:$E$300)&amp;" ["&amp;'Luisa'!$F$6:$F$300&amp;"]",""),IF('Lui'!$B$6:$B$300=$A229,"Lui"&amp;IF('Lui'!$E$6:$E$300="",""," : "&amp;'Lui'!$E$6:$E$300)&amp;" ["&amp;'Lui'!$F$6:$F$300&amp;"]",""),IF('Thaís'!$B$6:$B$300=$A229,"Thaís"&amp;IF('Thaís'!$E$6:$E$300="",""," : "&amp;'Thaís'!$E$6:$E$300)&amp;" ["&amp;'Thaís'!$F$6:$F$300&amp;"]",""),IF('Daniel'!$B$6:$B$300=$A229,"Daniel"&amp;IF('Daniel'!$E$6:$E$300="",""," : "&amp;'Daniel'!$E$6:$E$300)&amp;" ["&amp;'Daniel'!$F$6:$F$300&amp;"]",""),IF('Fernando'!$B$6:$B$300=$A229,"Fernando"&amp;IF('Fernando'!$E$6:$E$300="",""," : "&amp;'Fernando'!$E$6:$E$300)&amp;" ["&amp;'Fernando'!$F$6:$F$300&amp;"]",""),IF('Stephanie'!$B$6:$B$300=$A229,"Stephanie"&amp;IF('Stephanie'!$E$6:$E$300="",""," : "&amp;'Stephanie'!$E$6:$E$300)&amp;" ["&amp;'Stephanie'!$F$6:$F$300&amp;"]",""),IF('Fox'!$B$6:$B$300=$A229,"Fox"&amp;IF('Fox'!$E$6:$E$300="",""," : "&amp;'Fox'!$E$6:$E$300)&amp;" ["&amp;'Fox'!$F$6:$F$300&amp;"]",""),IF('Bruna'!$B$6:$B$300=$A229,"Bruna"&amp;IF('Bruna'!$E$6:$E$300="",""," : "&amp;'Bruna'!$E$6:$E$300)&amp;" ["&amp;'Bruna'!$F$6:$F$300&amp;"]",""),IF('Stella'!$B$6:$B$300=$A229,"Stella"&amp;IF('Stella'!$E$6:$E$300="",""," : "&amp;'Stella'!$E$6:$E$300)&amp;" ["&amp;'Stella'!$F$6:$F$300&amp;"]",""),IF('Igor'!$B$6:$B$300=$A229,"Igor"&amp;IF('Igor'!$E$6:$E$300="",""," : "&amp;'Igor'!$E$6:$E$300)&amp;" ["&amp;'Igor'!$F$6:$F$300&amp;"]","")))</f>
        <v/>
      </c>
    </row>
    <row r="230">
      <c r="A230" s="21" t="n"/>
      <c r="B230" s="21" t="inlineStr">
        <is>
          <t>Etapa 2: Construção das métricas | Atividade 7: Operacionalização das métricas</t>
        </is>
      </c>
      <c r="C230" s="21" t="inlineStr">
        <is>
          <t>Relatório operacionalização das métricas (produto 3)</t>
        </is>
      </c>
      <c r="D230" s="21" t="inlineStr">
        <is>
          <t>UTGCA</t>
        </is>
      </c>
      <c r="E230" s="21" t="inlineStr">
        <is>
          <t>UTGCA</t>
        </is>
      </c>
      <c r="F230" s="21" t="n"/>
      <c r="G230" s="21">
        <f>IF($A230="","",_xlfn.TEXTJOIN("; ",TRUE,IF(COUNTIF('Clarice'!$B$6:$B$300,$A230)&gt;0,"Clarice",""),IF(COUNTIF('Luisa'!$B$6:$B$300,$A230)&gt;0,"Luisa",""),IF(COUNTIF('Lui'!$B$6:$B$300,$A230)&gt;0,"Lui",""),IF(COUNTIF('Thaís'!$B$6:$B$300,$A230)&gt;0,"Thaís",""),IF(COUNTIF('Daniel'!$B$6:$B$300,$A230)&gt;0,"Daniel",""),IF(COUNTIF('Fernando'!$B$6:$B$300,$A230)&gt;0,"Fernando",""),IF(COUNTIF('Stephanie'!$B$6:$B$300,$A230)&gt;0,"Stephanie",""),IF(COUNTIF('Fox'!$B$6:$B$300,$A230)&gt;0,"Fox",""),IF(COUNTIF('Bruna'!$B$6:$B$300,$A230)&gt;0,"Bruna",""),IF(COUNTIF('Stella'!$B$6:$B$300,$A230)&gt;0,"Stella",""),IF(COUNTIF('Igor'!$B$6:$B$300,$A230)&gt;0,"Igor","")))</f>
        <v/>
      </c>
      <c r="H230" s="21" t="n"/>
      <c r="I230" s="21" t="n"/>
      <c r="J230" s="21">
        <f>IF(OR($A230="",(COUNTIF('Clarice'!$B$6:$B$300,$A230)+COUNTIF('Luisa'!$B$6:$B$300,$A230)+COUNTIF('Lui'!$B$6:$B$300,$A230)+COUNTIF('Thaís'!$B$6:$B$300,$A230)+COUNTIF('Daniel'!$B$6:$B$300,$A230)+COUNTIF('Fernando'!$B$6:$B$300,$A230)+COUNTIF('Stephanie'!$B$6:$B$300,$A230)+COUNTIF('Fox'!$B$6:$B$300,$A230)+COUNTIF('Bruna'!$B$6:$B$300,$A230)+COUNTIF('Stella'!$B$6:$B$300,$A230)+COUNTIF('Igor'!$B$6:$B$300,$A230))=0),"",(COUNTIFS('Clarice'!$B$6:$B$300,$A230,'Clarice'!$F$6:$F$300,"Concluído")+COUNTIFS('Luisa'!$B$6:$B$300,$A230,'Luisa'!$F$6:$F$300,"Concluído")+COUNTIFS('Lui'!$B$6:$B$300,$A230,'Lui'!$F$6:$F$300,"Concluído")+COUNTIFS('Thaís'!$B$6:$B$300,$A230,'Thaís'!$F$6:$F$300,"Concluído")+COUNTIFS('Daniel'!$B$6:$B$300,$A230,'Daniel'!$F$6:$F$300,"Concluído")+COUNTIFS('Fernando'!$B$6:$B$300,$A230,'Fernando'!$F$6:$F$300,"Concluído")+COUNTIFS('Stephanie'!$B$6:$B$300,$A230,'Stephanie'!$F$6:$F$300,"Concluído")+COUNTIFS('Fox'!$B$6:$B$300,$A230,'Fox'!$F$6:$F$300,"Concluído")+COUNTIFS('Bruna'!$B$6:$B$300,$A230,'Bruna'!$F$6:$F$300,"Concluído")+COUNTIFS('Stella'!$B$6:$B$300,$A230,'Stella'!$F$6:$F$300,"Concluído")+COUNTIFS('Igor'!$B$6:$B$300,$A230,'Igor'!$F$6:$F$300,"Concluído"))&amp;" / "&amp;(COUNTIF('Clarice'!$B$6:$B$300,$A230)+COUNTIF('Luisa'!$B$6:$B$300,$A230)+COUNTIF('Lui'!$B$6:$B$300,$A230)+COUNTIF('Thaís'!$B$6:$B$300,$A230)+COUNTIF('Daniel'!$B$6:$B$300,$A230)+COUNTIF('Fernando'!$B$6:$B$300,$A230)+COUNTIF('Stephanie'!$B$6:$B$300,$A230)+COUNTIF('Fox'!$B$6:$B$300,$A230)+COUNTIF('Bruna'!$B$6:$B$300,$A230)+COUNTIF('Stella'!$B$6:$B$300,$A230)+COUNTIF('Igor'!$B$6:$B$300,$A230)))</f>
        <v/>
      </c>
      <c r="K230" s="21" t="n"/>
      <c r="L230" s="21" t="n"/>
      <c r="M230" s="21" t="n"/>
      <c r="N230" s="21" t="n"/>
      <c r="O230" s="21" t="n"/>
      <c r="P230" s="22">
        <f>IF($A230="","",IF(M230&lt;&gt;"",M230,IF(K230&lt;&gt;"",K230,"")))</f>
        <v/>
      </c>
      <c r="Q230" s="22">
        <f>IF($A230="","",IF(N230&lt;&gt;"",N230,IF(L230&lt;&gt;"",L230,"")))</f>
        <v/>
      </c>
      <c r="R230" s="21" t="n"/>
      <c r="S230" s="21">
        <f t="array" ref="S230">IF($A230="","",_xlfn.TEXTJOIN(CHAR(10),TRUE,IF('Clarice'!$B$6:$B$300=$A230,"Clarice"&amp;IF('Clarice'!$E$6:$E$300="",""," : "&amp;'Clarice'!$E$6:$E$300)&amp;" ["&amp;'Clarice'!$F$6:$F$300&amp;"]",""),IF('Luisa'!$B$6:$B$300=$A230,"Luisa"&amp;IF('Luisa'!$E$6:$E$300="",""," : "&amp;'Luisa'!$E$6:$E$300)&amp;" ["&amp;'Luisa'!$F$6:$F$300&amp;"]",""),IF('Lui'!$B$6:$B$300=$A230,"Lui"&amp;IF('Lui'!$E$6:$E$300="",""," : "&amp;'Lui'!$E$6:$E$300)&amp;" ["&amp;'Lui'!$F$6:$F$300&amp;"]",""),IF('Thaís'!$B$6:$B$300=$A230,"Thaís"&amp;IF('Thaís'!$E$6:$E$300="",""," : "&amp;'Thaís'!$E$6:$E$300)&amp;" ["&amp;'Thaís'!$F$6:$F$300&amp;"]",""),IF('Daniel'!$B$6:$B$300=$A230,"Daniel"&amp;IF('Daniel'!$E$6:$E$300="",""," : "&amp;'Daniel'!$E$6:$E$300)&amp;" ["&amp;'Daniel'!$F$6:$F$300&amp;"]",""),IF('Fernando'!$B$6:$B$300=$A230,"Fernando"&amp;IF('Fernando'!$E$6:$E$300="",""," : "&amp;'Fernando'!$E$6:$E$300)&amp;" ["&amp;'Fernando'!$F$6:$F$300&amp;"]",""),IF('Stephanie'!$B$6:$B$300=$A230,"Stephanie"&amp;IF('Stephanie'!$E$6:$E$300="",""," : "&amp;'Stephanie'!$E$6:$E$300)&amp;" ["&amp;'Stephanie'!$F$6:$F$300&amp;"]",""),IF('Fox'!$B$6:$B$300=$A230,"Fox"&amp;IF('Fox'!$E$6:$E$300="",""," : "&amp;'Fox'!$E$6:$E$300)&amp;" ["&amp;'Fox'!$F$6:$F$300&amp;"]",""),IF('Bruna'!$B$6:$B$300=$A230,"Bruna"&amp;IF('Bruna'!$E$6:$E$300="",""," : "&amp;'Bruna'!$E$6:$E$300)&amp;" ["&amp;'Bruna'!$F$6:$F$300&amp;"]",""),IF('Stella'!$B$6:$B$300=$A230,"Stella"&amp;IF('Stella'!$E$6:$E$300="",""," : "&amp;'Stella'!$E$6:$E$300)&amp;" ["&amp;'Stella'!$F$6:$F$300&amp;"]",""),IF('Igor'!$B$6:$B$300=$A230,"Igor"&amp;IF('Igor'!$E$6:$E$300="",""," : "&amp;'Igor'!$E$6:$E$300)&amp;" ["&amp;'Igor'!$F$6:$F$300&amp;"]","")))</f>
        <v/>
      </c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  <c r="BF230" s="21" t="n"/>
      <c r="BG230" s="21" t="n"/>
      <c r="BH230" s="21" t="n"/>
      <c r="BI230" s="21" t="n"/>
    </row>
    <row r="231" ht="15.5" customHeight="1">
      <c r="A231" s="13" t="inlineStr">
        <is>
          <t>P3-005</t>
        </is>
      </c>
      <c r="B231" s="14" t="inlineStr">
        <is>
          <t>Etapa 2: Construção das métricas | Atividade 7: Operacionalização das métricas</t>
        </is>
      </c>
      <c r="C231" s="14" t="inlineStr">
        <is>
          <t>Relatório operacionalização das métricas (produto 3)</t>
        </is>
      </c>
      <c r="D231" s="14" t="inlineStr">
        <is>
          <t>UTGCA</t>
        </is>
      </c>
      <c r="E231" s="15" t="inlineStr">
        <is>
          <t>Sistematizar dados (UTGCA)</t>
        </is>
      </c>
      <c r="F231" s="13" t="n"/>
      <c r="G231" s="16">
        <f>IF($A231="","",_xlfn.TEXTJOIN("; ",TRUE,IF(COUNTIF('Clarice'!$B$6:$B$300,$A231)&gt;0,"Clarice",""),IF(COUNTIF('Luisa'!$B$6:$B$300,$A231)&gt;0,"Luisa",""),IF(COUNTIF('Lui'!$B$6:$B$300,$A231)&gt;0,"Lui",""),IF(COUNTIF('Thaís'!$B$6:$B$300,$A231)&gt;0,"Thaís",""),IF(COUNTIF('Daniel'!$B$6:$B$300,$A231)&gt;0,"Daniel",""),IF(COUNTIF('Fernando'!$B$6:$B$300,$A231)&gt;0,"Fernando",""),IF(COUNTIF('Stephanie'!$B$6:$B$300,$A231)&gt;0,"Stephanie",""),IF(COUNTIF('Fox'!$B$6:$B$300,$A231)&gt;0,"Fox",""),IF(COUNTIF('Bruna'!$B$6:$B$300,$A231)&gt;0,"Bruna",""),IF(COUNTIF('Stella'!$B$6:$B$300,$A231)&gt;0,"Stella",""),IF(COUNTIF('Igor'!$B$6:$B$300,$A231)&gt;0,"Igor","")))</f>
        <v/>
      </c>
      <c r="H231" s="13" t="n"/>
      <c r="I231" s="13" t="inlineStr">
        <is>
          <t>Concluído</t>
        </is>
      </c>
      <c r="J231" s="17">
        <f>IF(OR($A231="",(COUNTIF('Clarice'!$B$6:$B$300,$A231)+COUNTIF('Luisa'!$B$6:$B$300,$A231)+COUNTIF('Lui'!$B$6:$B$300,$A231)+COUNTIF('Thaís'!$B$6:$B$300,$A231)+COUNTIF('Daniel'!$B$6:$B$300,$A231)+COUNTIF('Fernando'!$B$6:$B$300,$A231)+COUNTIF('Stephanie'!$B$6:$B$300,$A231)+COUNTIF('Fox'!$B$6:$B$300,$A231)+COUNTIF('Bruna'!$B$6:$B$300,$A231)+COUNTIF('Stella'!$B$6:$B$300,$A231)+COUNTIF('Igor'!$B$6:$B$300,$A231))=0),"",(COUNTIFS('Clarice'!$B$6:$B$300,$A231,'Clarice'!$F$6:$F$300,"Concluído")+COUNTIFS('Luisa'!$B$6:$B$300,$A231,'Luisa'!$F$6:$F$300,"Concluído")+COUNTIFS('Lui'!$B$6:$B$300,$A231,'Lui'!$F$6:$F$300,"Concluído")+COUNTIFS('Thaís'!$B$6:$B$300,$A231,'Thaís'!$F$6:$F$300,"Concluído")+COUNTIFS('Daniel'!$B$6:$B$300,$A231,'Daniel'!$F$6:$F$300,"Concluído")+COUNTIFS('Fernando'!$B$6:$B$300,$A231,'Fernando'!$F$6:$F$300,"Concluído")+COUNTIFS('Stephanie'!$B$6:$B$300,$A231,'Stephanie'!$F$6:$F$300,"Concluído")+COUNTIFS('Fox'!$B$6:$B$300,$A231,'Fox'!$F$6:$F$300,"Concluído")+COUNTIFS('Bruna'!$B$6:$B$300,$A231,'Bruna'!$F$6:$F$300,"Concluído")+COUNTIFS('Stella'!$B$6:$B$300,$A231,'Stella'!$F$6:$F$300,"Concluído")+COUNTIFS('Igor'!$B$6:$B$300,$A231,'Igor'!$F$6:$F$300,"Concluído"))&amp;" / "&amp;(COUNTIF('Clarice'!$B$6:$B$300,$A231)+COUNTIF('Luisa'!$B$6:$B$300,$A231)+COUNTIF('Lui'!$B$6:$B$300,$A231)+COUNTIF('Thaís'!$B$6:$B$300,$A231)+COUNTIF('Daniel'!$B$6:$B$300,$A231)+COUNTIF('Fernando'!$B$6:$B$300,$A231)+COUNTIF('Stephanie'!$B$6:$B$300,$A231)+COUNTIF('Fox'!$B$6:$B$300,$A231)+COUNTIF('Bruna'!$B$6:$B$300,$A231)+COUNTIF('Stella'!$B$6:$B$300,$A231)+COUNTIF('Igor'!$B$6:$B$300,$A231)))</f>
        <v/>
      </c>
      <c r="K231" s="19" t="n"/>
      <c r="L231" s="19" t="n"/>
      <c r="M231" s="19" t="n"/>
      <c r="N231" s="19" t="n"/>
      <c r="O231" s="19" t="n"/>
      <c r="P231" s="20">
        <f>IF($A231="","",IF(M231&lt;&gt;"",M231,IF(K231&lt;&gt;"",K231,"")))</f>
        <v/>
      </c>
      <c r="Q231" s="20">
        <f>IF($A231="","",IF(N231&lt;&gt;"",N231,IF(L231&lt;&gt;"",L231,"")))</f>
        <v/>
      </c>
      <c r="R231" s="15" t="n"/>
      <c r="S231" s="16">
        <f t="array" ref="S231">IF($A231="","",_xlfn.TEXTJOIN(CHAR(10),TRUE,IF('Clarice'!$B$6:$B$300=$A231,"Clarice"&amp;IF('Clarice'!$E$6:$E$300="",""," : "&amp;'Clarice'!$E$6:$E$300)&amp;" ["&amp;'Clarice'!$F$6:$F$300&amp;"]",""),IF('Luisa'!$B$6:$B$300=$A231,"Luisa"&amp;IF('Luisa'!$E$6:$E$300="",""," : "&amp;'Luisa'!$E$6:$E$300)&amp;" ["&amp;'Luisa'!$F$6:$F$300&amp;"]",""),IF('Lui'!$B$6:$B$300=$A231,"Lui"&amp;IF('Lui'!$E$6:$E$300="",""," : "&amp;'Lui'!$E$6:$E$300)&amp;" ["&amp;'Lui'!$F$6:$F$300&amp;"]",""),IF('Thaís'!$B$6:$B$300=$A231,"Thaís"&amp;IF('Thaís'!$E$6:$E$300="",""," : "&amp;'Thaís'!$E$6:$E$300)&amp;" ["&amp;'Thaís'!$F$6:$F$300&amp;"]",""),IF('Daniel'!$B$6:$B$300=$A231,"Daniel"&amp;IF('Daniel'!$E$6:$E$300="",""," : "&amp;'Daniel'!$E$6:$E$300)&amp;" ["&amp;'Daniel'!$F$6:$F$300&amp;"]",""),IF('Fernando'!$B$6:$B$300=$A231,"Fernando"&amp;IF('Fernando'!$E$6:$E$300="",""," : "&amp;'Fernando'!$E$6:$E$300)&amp;" ["&amp;'Fernando'!$F$6:$F$300&amp;"]",""),IF('Stephanie'!$B$6:$B$300=$A231,"Stephanie"&amp;IF('Stephanie'!$E$6:$E$300="",""," : "&amp;'Stephanie'!$E$6:$E$300)&amp;" ["&amp;'Stephanie'!$F$6:$F$300&amp;"]",""),IF('Fox'!$B$6:$B$300=$A231,"Fox"&amp;IF('Fox'!$E$6:$E$300="",""," : "&amp;'Fox'!$E$6:$E$300)&amp;" ["&amp;'Fox'!$F$6:$F$300&amp;"]",""),IF('Bruna'!$B$6:$B$300=$A231,"Bruna"&amp;IF('Bruna'!$E$6:$E$300="",""," : "&amp;'Bruna'!$E$6:$E$300)&amp;" ["&amp;'Bruna'!$F$6:$F$300&amp;"]",""),IF('Stella'!$B$6:$B$300=$A231,"Stella"&amp;IF('Stella'!$E$6:$E$300="",""," : "&amp;'Stella'!$E$6:$E$300)&amp;" ["&amp;'Stella'!$F$6:$F$300&amp;"]",""),IF('Igor'!$B$6:$B$300=$A231,"Igor"&amp;IF('Igor'!$E$6:$E$300="",""," : "&amp;'Igor'!$E$6:$E$300)&amp;" ["&amp;'Igor'!$F$6:$F$300&amp;"]","")))</f>
        <v/>
      </c>
    </row>
    <row r="232" ht="15.5" customHeight="1">
      <c r="A232" s="13" t="inlineStr">
        <is>
          <t>P3-006</t>
        </is>
      </c>
      <c r="B232" s="14" t="inlineStr">
        <is>
          <t>Etapa 2: Construção das métricas | Atividade 7: Operacionalização das métricas</t>
        </is>
      </c>
      <c r="C232" s="14" t="inlineStr">
        <is>
          <t>Relatório operacionalização das métricas (produto 3)</t>
        </is>
      </c>
      <c r="D232" s="14" t="inlineStr">
        <is>
          <t>UTGCA</t>
        </is>
      </c>
      <c r="E232" s="15" t="inlineStr">
        <is>
          <t>Preparar as tabelas dos dados sistematizados (UTGCA)</t>
        </is>
      </c>
      <c r="F232" s="13" t="n"/>
      <c r="G232" s="16">
        <f>IF($A232="","",_xlfn.TEXTJOIN("; ",TRUE,IF(COUNTIF('Clarice'!$B$6:$B$300,$A232)&gt;0,"Clarice",""),IF(COUNTIF('Luisa'!$B$6:$B$300,$A232)&gt;0,"Luisa",""),IF(COUNTIF('Lui'!$B$6:$B$300,$A232)&gt;0,"Lui",""),IF(COUNTIF('Thaís'!$B$6:$B$300,$A232)&gt;0,"Thaís",""),IF(COUNTIF('Daniel'!$B$6:$B$300,$A232)&gt;0,"Daniel",""),IF(COUNTIF('Fernando'!$B$6:$B$300,$A232)&gt;0,"Fernando",""),IF(COUNTIF('Stephanie'!$B$6:$B$300,$A232)&gt;0,"Stephanie",""),IF(COUNTIF('Fox'!$B$6:$B$300,$A232)&gt;0,"Fox",""),IF(COUNTIF('Bruna'!$B$6:$B$300,$A232)&gt;0,"Bruna",""),IF(COUNTIF('Stella'!$B$6:$B$300,$A232)&gt;0,"Stella",""),IF(COUNTIF('Igor'!$B$6:$B$300,$A232)&gt;0,"Igor","")))</f>
        <v/>
      </c>
      <c r="H232" s="13" t="n"/>
      <c r="I232" s="13" t="inlineStr">
        <is>
          <t>Concluído</t>
        </is>
      </c>
      <c r="J232" s="17">
        <f>IF(OR($A232="",(COUNTIF('Clarice'!$B$6:$B$300,$A232)+COUNTIF('Luisa'!$B$6:$B$300,$A232)+COUNTIF('Lui'!$B$6:$B$300,$A232)+COUNTIF('Thaís'!$B$6:$B$300,$A232)+COUNTIF('Daniel'!$B$6:$B$300,$A232)+COUNTIF('Fernando'!$B$6:$B$300,$A232)+COUNTIF('Stephanie'!$B$6:$B$300,$A232)+COUNTIF('Fox'!$B$6:$B$300,$A232)+COUNTIF('Bruna'!$B$6:$B$300,$A232)+COUNTIF('Stella'!$B$6:$B$300,$A232)+COUNTIF('Igor'!$B$6:$B$300,$A232))=0),"",(COUNTIFS('Clarice'!$B$6:$B$300,$A232,'Clarice'!$F$6:$F$300,"Concluído")+COUNTIFS('Luisa'!$B$6:$B$300,$A232,'Luisa'!$F$6:$F$300,"Concluído")+COUNTIFS('Lui'!$B$6:$B$300,$A232,'Lui'!$F$6:$F$300,"Concluído")+COUNTIFS('Thaís'!$B$6:$B$300,$A232,'Thaís'!$F$6:$F$300,"Concluído")+COUNTIFS('Daniel'!$B$6:$B$300,$A232,'Daniel'!$F$6:$F$300,"Concluído")+COUNTIFS('Fernando'!$B$6:$B$300,$A232,'Fernando'!$F$6:$F$300,"Concluído")+COUNTIFS('Stephanie'!$B$6:$B$300,$A232,'Stephanie'!$F$6:$F$300,"Concluído")+COUNTIFS('Fox'!$B$6:$B$300,$A232,'Fox'!$F$6:$F$300,"Concluído")+COUNTIFS('Bruna'!$B$6:$B$300,$A232,'Bruna'!$F$6:$F$300,"Concluído")+COUNTIFS('Stella'!$B$6:$B$300,$A232,'Stella'!$F$6:$F$300,"Concluído")+COUNTIFS('Igor'!$B$6:$B$300,$A232,'Igor'!$F$6:$F$300,"Concluído"))&amp;" / "&amp;(COUNTIF('Clarice'!$B$6:$B$300,$A232)+COUNTIF('Luisa'!$B$6:$B$300,$A232)+COUNTIF('Lui'!$B$6:$B$300,$A232)+COUNTIF('Thaís'!$B$6:$B$300,$A232)+COUNTIF('Daniel'!$B$6:$B$300,$A232)+COUNTIF('Fernando'!$B$6:$B$300,$A232)+COUNTIF('Stephanie'!$B$6:$B$300,$A232)+COUNTIF('Fox'!$B$6:$B$300,$A232)+COUNTIF('Bruna'!$B$6:$B$300,$A232)+COUNTIF('Stella'!$B$6:$B$300,$A232)+COUNTIF('Igor'!$B$6:$B$300,$A232)))</f>
        <v/>
      </c>
      <c r="K232" s="18" t="n">
        <v>46113</v>
      </c>
      <c r="L232" s="18" t="n">
        <v>46122</v>
      </c>
      <c r="M232" s="19" t="n"/>
      <c r="N232" s="19" t="n"/>
      <c r="O232" s="19" t="n"/>
      <c r="P232" s="20">
        <f>IF($A232="","",IF(M232&lt;&gt;"",M232,IF(K232&lt;&gt;"",K232,"")))</f>
        <v/>
      </c>
      <c r="Q232" s="20">
        <f>IF($A232="","",IF(N232&lt;&gt;"",N232,IF(L232&lt;&gt;"",L232,"")))</f>
        <v/>
      </c>
      <c r="R232" s="15" t="n"/>
      <c r="S232" s="16">
        <f t="array" ref="S232">IF($A232="","",_xlfn.TEXTJOIN(CHAR(10),TRUE,IF('Clarice'!$B$6:$B$300=$A232,"Clarice"&amp;IF('Clarice'!$E$6:$E$300="",""," : "&amp;'Clarice'!$E$6:$E$300)&amp;" ["&amp;'Clarice'!$F$6:$F$300&amp;"]",""),IF('Luisa'!$B$6:$B$300=$A232,"Luisa"&amp;IF('Luisa'!$E$6:$E$300="",""," : "&amp;'Luisa'!$E$6:$E$300)&amp;" ["&amp;'Luisa'!$F$6:$F$300&amp;"]",""),IF('Lui'!$B$6:$B$300=$A232,"Lui"&amp;IF('Lui'!$E$6:$E$300="",""," : "&amp;'Lui'!$E$6:$E$300)&amp;" ["&amp;'Lui'!$F$6:$F$300&amp;"]",""),IF('Thaís'!$B$6:$B$300=$A232,"Thaís"&amp;IF('Thaís'!$E$6:$E$300="",""," : "&amp;'Thaís'!$E$6:$E$300)&amp;" ["&amp;'Thaís'!$F$6:$F$300&amp;"]",""),IF('Daniel'!$B$6:$B$300=$A232,"Daniel"&amp;IF('Daniel'!$E$6:$E$300="",""," : "&amp;'Daniel'!$E$6:$E$300)&amp;" ["&amp;'Daniel'!$F$6:$F$300&amp;"]",""),IF('Fernando'!$B$6:$B$300=$A232,"Fernando"&amp;IF('Fernando'!$E$6:$E$300="",""," : "&amp;'Fernando'!$E$6:$E$300)&amp;" ["&amp;'Fernando'!$F$6:$F$300&amp;"]",""),IF('Stephanie'!$B$6:$B$300=$A232,"Stephanie"&amp;IF('Stephanie'!$E$6:$E$300="",""," : "&amp;'Stephanie'!$E$6:$E$300)&amp;" ["&amp;'Stephanie'!$F$6:$F$300&amp;"]",""),IF('Fox'!$B$6:$B$300=$A232,"Fox"&amp;IF('Fox'!$E$6:$E$300="",""," : "&amp;'Fox'!$E$6:$E$300)&amp;" ["&amp;'Fox'!$F$6:$F$300&amp;"]",""),IF('Bruna'!$B$6:$B$300=$A232,"Bruna"&amp;IF('Bruna'!$E$6:$E$300="",""," : "&amp;'Bruna'!$E$6:$E$300)&amp;" ["&amp;'Bruna'!$F$6:$F$300&amp;"]",""),IF('Stella'!$B$6:$B$300=$A232,"Stella"&amp;IF('Stella'!$E$6:$E$300="",""," : "&amp;'Stella'!$E$6:$E$300)&amp;" ["&amp;'Stella'!$F$6:$F$300&amp;"]",""),IF('Igor'!$B$6:$B$300=$A232,"Igor"&amp;IF('Igor'!$E$6:$E$300="",""," : "&amp;'Igor'!$E$6:$E$300)&amp;" ["&amp;'Igor'!$F$6:$F$300&amp;"]","")))</f>
        <v/>
      </c>
    </row>
    <row r="233" ht="40.5" customHeight="1">
      <c r="A233" s="13" t="inlineStr">
        <is>
          <t>P3-007</t>
        </is>
      </c>
      <c r="B233" s="14" t="inlineStr">
        <is>
          <t>Etapa 2: Construção das métricas | Atividade 7: Operacionalização das métricas</t>
        </is>
      </c>
      <c r="C233" s="14" t="inlineStr">
        <is>
          <t>Relatório operacionalização das métricas (produto 3)</t>
        </is>
      </c>
      <c r="D233" s="14" t="inlineStr">
        <is>
          <t>UTGCA</t>
        </is>
      </c>
      <c r="E233" s="15" t="inlineStr">
        <is>
          <t>Escrever texto da unidade (ex. histórico da unidade, dados disponíveis da unidade, relação entre dados e as 3 métricas) (UTGCA)</t>
        </is>
      </c>
      <c r="F233" s="13" t="n"/>
      <c r="G233" s="16">
        <f>IF($A233="","",_xlfn.TEXTJOIN("; ",TRUE,IF(COUNTIF('Clarice'!$B$6:$B$300,$A233)&gt;0,"Clarice",""),IF(COUNTIF('Luisa'!$B$6:$B$300,$A233)&gt;0,"Luisa",""),IF(COUNTIF('Lui'!$B$6:$B$300,$A233)&gt;0,"Lui",""),IF(COUNTIF('Thaís'!$B$6:$B$300,$A233)&gt;0,"Thaís",""),IF(COUNTIF('Daniel'!$B$6:$B$300,$A233)&gt;0,"Daniel",""),IF(COUNTIF('Fernando'!$B$6:$B$300,$A233)&gt;0,"Fernando",""),IF(COUNTIF('Stephanie'!$B$6:$B$300,$A233)&gt;0,"Stephanie",""),IF(COUNTIF('Fox'!$B$6:$B$300,$A233)&gt;0,"Fox",""),IF(COUNTIF('Bruna'!$B$6:$B$300,$A233)&gt;0,"Bruna",""),IF(COUNTIF('Stella'!$B$6:$B$300,$A233)&gt;0,"Stella",""),IF(COUNTIF('Igor'!$B$6:$B$300,$A233)&gt;0,"Igor","")))</f>
        <v/>
      </c>
      <c r="H233" s="13" t="n"/>
      <c r="I233" s="13" t="inlineStr">
        <is>
          <t>Concluído</t>
        </is>
      </c>
      <c r="J233" s="17">
        <f>IF(OR($A233="",(COUNTIF('Clarice'!$B$6:$B$300,$A233)+COUNTIF('Luisa'!$B$6:$B$300,$A233)+COUNTIF('Lui'!$B$6:$B$300,$A233)+COUNTIF('Thaís'!$B$6:$B$300,$A233)+COUNTIF('Daniel'!$B$6:$B$300,$A233)+COUNTIF('Fernando'!$B$6:$B$300,$A233)+COUNTIF('Stephanie'!$B$6:$B$300,$A233)+COUNTIF('Fox'!$B$6:$B$300,$A233)+COUNTIF('Bruna'!$B$6:$B$300,$A233)+COUNTIF('Stella'!$B$6:$B$300,$A233)+COUNTIF('Igor'!$B$6:$B$300,$A233))=0),"",(COUNTIFS('Clarice'!$B$6:$B$300,$A233,'Clarice'!$F$6:$F$300,"Concluído")+COUNTIFS('Luisa'!$B$6:$B$300,$A233,'Luisa'!$F$6:$F$300,"Concluído")+COUNTIFS('Lui'!$B$6:$B$300,$A233,'Lui'!$F$6:$F$300,"Concluído")+COUNTIFS('Thaís'!$B$6:$B$300,$A233,'Thaís'!$F$6:$F$300,"Concluído")+COUNTIFS('Daniel'!$B$6:$B$300,$A233,'Daniel'!$F$6:$F$300,"Concluído")+COUNTIFS('Fernando'!$B$6:$B$300,$A233,'Fernando'!$F$6:$F$300,"Concluído")+COUNTIFS('Stephanie'!$B$6:$B$300,$A233,'Stephanie'!$F$6:$F$300,"Concluído")+COUNTIFS('Fox'!$B$6:$B$300,$A233,'Fox'!$F$6:$F$300,"Concluído")+COUNTIFS('Bruna'!$B$6:$B$300,$A233,'Bruna'!$F$6:$F$300,"Concluído")+COUNTIFS('Stella'!$B$6:$B$300,$A233,'Stella'!$F$6:$F$300,"Concluído")+COUNTIFS('Igor'!$B$6:$B$300,$A233,'Igor'!$F$6:$F$300,"Concluído"))&amp;" / "&amp;(COUNTIF('Clarice'!$B$6:$B$300,$A233)+COUNTIF('Luisa'!$B$6:$B$300,$A233)+COUNTIF('Lui'!$B$6:$B$300,$A233)+COUNTIF('Thaís'!$B$6:$B$300,$A233)+COUNTIF('Daniel'!$B$6:$B$300,$A233)+COUNTIF('Fernando'!$B$6:$B$300,$A233)+COUNTIF('Stephanie'!$B$6:$B$300,$A233)+COUNTIF('Fox'!$B$6:$B$300,$A233)+COUNTIF('Bruna'!$B$6:$B$300,$A233)+COUNTIF('Stella'!$B$6:$B$300,$A233)+COUNTIF('Igor'!$B$6:$B$300,$A233)))</f>
        <v/>
      </c>
      <c r="K233" s="18" t="n">
        <v>46113</v>
      </c>
      <c r="L233" s="18" t="n">
        <v>46122</v>
      </c>
      <c r="M233" s="19" t="n"/>
      <c r="N233" s="19" t="n"/>
      <c r="O233" s="19" t="n"/>
      <c r="P233" s="20">
        <f>IF($A233="","",IF(M233&lt;&gt;"",M233,IF(K233&lt;&gt;"",K233,"")))</f>
        <v/>
      </c>
      <c r="Q233" s="20">
        <f>IF($A233="","",IF(N233&lt;&gt;"",N233,IF(L233&lt;&gt;"",L233,"")))</f>
        <v/>
      </c>
      <c r="R233" s="15" t="n"/>
      <c r="S233" s="16">
        <f t="array" ref="S233">IF($A233="","",_xlfn.TEXTJOIN(CHAR(10),TRUE,IF('Clarice'!$B$6:$B$300=$A233,"Clarice"&amp;IF('Clarice'!$E$6:$E$300="",""," : "&amp;'Clarice'!$E$6:$E$300)&amp;" ["&amp;'Clarice'!$F$6:$F$300&amp;"]",""),IF('Luisa'!$B$6:$B$300=$A233,"Luisa"&amp;IF('Luisa'!$E$6:$E$300="",""," : "&amp;'Luisa'!$E$6:$E$300)&amp;" ["&amp;'Luisa'!$F$6:$F$300&amp;"]",""),IF('Lui'!$B$6:$B$300=$A233,"Lui"&amp;IF('Lui'!$E$6:$E$300="",""," : "&amp;'Lui'!$E$6:$E$300)&amp;" ["&amp;'Lui'!$F$6:$F$300&amp;"]",""),IF('Thaís'!$B$6:$B$300=$A233,"Thaís"&amp;IF('Thaís'!$E$6:$E$300="",""," : "&amp;'Thaís'!$E$6:$E$300)&amp;" ["&amp;'Thaís'!$F$6:$F$300&amp;"]",""),IF('Daniel'!$B$6:$B$300=$A233,"Daniel"&amp;IF('Daniel'!$E$6:$E$300="",""," : "&amp;'Daniel'!$E$6:$E$300)&amp;" ["&amp;'Daniel'!$F$6:$F$300&amp;"]",""),IF('Fernando'!$B$6:$B$300=$A233,"Fernando"&amp;IF('Fernando'!$E$6:$E$300="",""," : "&amp;'Fernando'!$E$6:$E$300)&amp;" ["&amp;'Fernando'!$F$6:$F$300&amp;"]",""),IF('Stephanie'!$B$6:$B$300=$A233,"Stephanie"&amp;IF('Stephanie'!$E$6:$E$300="",""," : "&amp;'Stephanie'!$E$6:$E$300)&amp;" ["&amp;'Stephanie'!$F$6:$F$300&amp;"]",""),IF('Fox'!$B$6:$B$300=$A233,"Fox"&amp;IF('Fox'!$E$6:$E$300="",""," : "&amp;'Fox'!$E$6:$E$300)&amp;" ["&amp;'Fox'!$F$6:$F$300&amp;"]",""),IF('Bruna'!$B$6:$B$300=$A233,"Bruna"&amp;IF('Bruna'!$E$6:$E$300="",""," : "&amp;'Bruna'!$E$6:$E$300)&amp;" ["&amp;'Bruna'!$F$6:$F$300&amp;"]",""),IF('Stella'!$B$6:$B$300=$A233,"Stella"&amp;IF('Stella'!$E$6:$E$300="",""," : "&amp;'Stella'!$E$6:$E$300)&amp;" ["&amp;'Stella'!$F$6:$F$300&amp;"]",""),IF('Igor'!$B$6:$B$300=$A233,"Igor"&amp;IF('Igor'!$E$6:$E$300="",""," : "&amp;'Igor'!$E$6:$E$300)&amp;" ["&amp;'Igor'!$F$6:$F$300&amp;"]","")))</f>
        <v/>
      </c>
    </row>
    <row r="234">
      <c r="A234" s="21" t="n"/>
      <c r="B234" s="21" t="inlineStr">
        <is>
          <t>Etapa 2: Construção das métricas | Atividade 7: Operacionalização das métricas</t>
        </is>
      </c>
      <c r="C234" s="21" t="inlineStr">
        <is>
          <t>Relatório operacionalização das métricas (produto 3)</t>
        </is>
      </c>
      <c r="D234" s="21" t="inlineStr">
        <is>
          <t>Boaventura e UTGCA</t>
        </is>
      </c>
      <c r="E234" s="21" t="inlineStr">
        <is>
          <t>Boaventura e UTGCA</t>
        </is>
      </c>
      <c r="F234" s="21" t="inlineStr">
        <is>
          <t>Stephanie</t>
        </is>
      </c>
      <c r="G234" s="21">
        <f>IF($A234="","",_xlfn.TEXTJOIN("; ",TRUE,IF(COUNTIF('Clarice'!$B$6:$B$300,$A234)&gt;0,"Clarice",""),IF(COUNTIF('Luisa'!$B$6:$B$300,$A234)&gt;0,"Luisa",""),IF(COUNTIF('Lui'!$B$6:$B$300,$A234)&gt;0,"Lui",""),IF(COUNTIF('Thaís'!$B$6:$B$300,$A234)&gt;0,"Thaís",""),IF(COUNTIF('Daniel'!$B$6:$B$300,$A234)&gt;0,"Daniel",""),IF(COUNTIF('Fernando'!$B$6:$B$300,$A234)&gt;0,"Fernando",""),IF(COUNTIF('Stephanie'!$B$6:$B$300,$A234)&gt;0,"Stephanie",""),IF(COUNTIF('Fox'!$B$6:$B$300,$A234)&gt;0,"Fox",""),IF(COUNTIF('Bruna'!$B$6:$B$300,$A234)&gt;0,"Bruna",""),IF(COUNTIF('Stella'!$B$6:$B$300,$A234)&gt;0,"Stella",""),IF(COUNTIF('Igor'!$B$6:$B$300,$A234)&gt;0,"Igor","")))</f>
        <v/>
      </c>
      <c r="H234" s="21" t="n"/>
      <c r="I234" s="21" t="n"/>
      <c r="J234" s="21">
        <f>IF(OR($A234="",(COUNTIF('Clarice'!$B$6:$B$300,$A234)+COUNTIF('Luisa'!$B$6:$B$300,$A234)+COUNTIF('Lui'!$B$6:$B$300,$A234)+COUNTIF('Thaís'!$B$6:$B$300,$A234)+COUNTIF('Daniel'!$B$6:$B$300,$A234)+COUNTIF('Fernando'!$B$6:$B$300,$A234)+COUNTIF('Stephanie'!$B$6:$B$300,$A234)+COUNTIF('Fox'!$B$6:$B$300,$A234)+COUNTIF('Bruna'!$B$6:$B$300,$A234)+COUNTIF('Stella'!$B$6:$B$300,$A234)+COUNTIF('Igor'!$B$6:$B$300,$A234))=0),"",(COUNTIFS('Clarice'!$B$6:$B$300,$A234,'Clarice'!$F$6:$F$300,"Concluído")+COUNTIFS('Luisa'!$B$6:$B$300,$A234,'Luisa'!$F$6:$F$300,"Concluído")+COUNTIFS('Lui'!$B$6:$B$300,$A234,'Lui'!$F$6:$F$300,"Concluído")+COUNTIFS('Thaís'!$B$6:$B$300,$A234,'Thaís'!$F$6:$F$300,"Concluído")+COUNTIFS('Daniel'!$B$6:$B$300,$A234,'Daniel'!$F$6:$F$300,"Concluído")+COUNTIFS('Fernando'!$B$6:$B$300,$A234,'Fernando'!$F$6:$F$300,"Concluído")+COUNTIFS('Stephanie'!$B$6:$B$300,$A234,'Stephanie'!$F$6:$F$300,"Concluído")+COUNTIFS('Fox'!$B$6:$B$300,$A234,'Fox'!$F$6:$F$300,"Concluído")+COUNTIFS('Bruna'!$B$6:$B$300,$A234,'Bruna'!$F$6:$F$300,"Concluído")+COUNTIFS('Stella'!$B$6:$B$300,$A234,'Stella'!$F$6:$F$300,"Concluído")+COUNTIFS('Igor'!$B$6:$B$300,$A234,'Igor'!$F$6:$F$300,"Concluído"))&amp;" / "&amp;(COUNTIF('Clarice'!$B$6:$B$300,$A234)+COUNTIF('Luisa'!$B$6:$B$300,$A234)+COUNTIF('Lui'!$B$6:$B$300,$A234)+COUNTIF('Thaís'!$B$6:$B$300,$A234)+COUNTIF('Daniel'!$B$6:$B$300,$A234)+COUNTIF('Fernando'!$B$6:$B$300,$A234)+COUNTIF('Stephanie'!$B$6:$B$300,$A234)+COUNTIF('Fox'!$B$6:$B$300,$A234)+COUNTIF('Bruna'!$B$6:$B$300,$A234)+COUNTIF('Stella'!$B$6:$B$300,$A234)+COUNTIF('Igor'!$B$6:$B$300,$A234)))</f>
        <v/>
      </c>
      <c r="K234" s="21" t="n"/>
      <c r="L234" s="21" t="n"/>
      <c r="M234" s="21" t="n"/>
      <c r="N234" s="21" t="n"/>
      <c r="O234" s="21" t="n"/>
      <c r="P234" s="22">
        <f>IF($A234="","",IF(M234&lt;&gt;"",M234,IF(K234&lt;&gt;"",K234,"")))</f>
        <v/>
      </c>
      <c r="Q234" s="22">
        <f>IF($A234="","",IF(N234&lt;&gt;"",N234,IF(L234&lt;&gt;"",L234,"")))</f>
        <v/>
      </c>
      <c r="R234" s="21" t="n"/>
      <c r="S234" s="21">
        <f t="array" ref="S234">IF($A234="","",_xlfn.TEXTJOIN(CHAR(10),TRUE,IF('Clarice'!$B$6:$B$300=$A234,"Clarice"&amp;IF('Clarice'!$E$6:$E$300="",""," : "&amp;'Clarice'!$E$6:$E$300)&amp;" ["&amp;'Clarice'!$F$6:$F$300&amp;"]",""),IF('Luisa'!$B$6:$B$300=$A234,"Luisa"&amp;IF('Luisa'!$E$6:$E$300="",""," : "&amp;'Luisa'!$E$6:$E$300)&amp;" ["&amp;'Luisa'!$F$6:$F$300&amp;"]",""),IF('Lui'!$B$6:$B$300=$A234,"Lui"&amp;IF('Lui'!$E$6:$E$300="",""," : "&amp;'Lui'!$E$6:$E$300)&amp;" ["&amp;'Lui'!$F$6:$F$300&amp;"]",""),IF('Thaís'!$B$6:$B$300=$A234,"Thaís"&amp;IF('Thaís'!$E$6:$E$300="",""," : "&amp;'Thaís'!$E$6:$E$300)&amp;" ["&amp;'Thaís'!$F$6:$F$300&amp;"]",""),IF('Daniel'!$B$6:$B$300=$A234,"Daniel"&amp;IF('Daniel'!$E$6:$E$300="",""," : "&amp;'Daniel'!$E$6:$E$300)&amp;" ["&amp;'Daniel'!$F$6:$F$300&amp;"]",""),IF('Fernando'!$B$6:$B$300=$A234,"Fernando"&amp;IF('Fernando'!$E$6:$E$300="",""," : "&amp;'Fernando'!$E$6:$E$300)&amp;" ["&amp;'Fernando'!$F$6:$F$300&amp;"]",""),IF('Stephanie'!$B$6:$B$300=$A234,"Stephanie"&amp;IF('Stephanie'!$E$6:$E$300="",""," : "&amp;'Stephanie'!$E$6:$E$300)&amp;" ["&amp;'Stephanie'!$F$6:$F$300&amp;"]",""),IF('Fox'!$B$6:$B$300=$A234,"Fox"&amp;IF('Fox'!$E$6:$E$300="",""," : "&amp;'Fox'!$E$6:$E$300)&amp;" ["&amp;'Fox'!$F$6:$F$300&amp;"]",""),IF('Bruna'!$B$6:$B$300=$A234,"Bruna"&amp;IF('Bruna'!$E$6:$E$300="",""," : "&amp;'Bruna'!$E$6:$E$300)&amp;" ["&amp;'Bruna'!$F$6:$F$300&amp;"]",""),IF('Stella'!$B$6:$B$300=$A234,"Stella"&amp;IF('Stella'!$E$6:$E$300="",""," : "&amp;'Stella'!$E$6:$E$300)&amp;" ["&amp;'Stella'!$F$6:$F$300&amp;"]",""),IF('Igor'!$B$6:$B$300=$A234,"Igor"&amp;IF('Igor'!$E$6:$E$300="",""," : "&amp;'Igor'!$E$6:$E$300)&amp;" ["&amp;'Igor'!$F$6:$F$300&amp;"]","")))</f>
        <v/>
      </c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  <c r="BF234" s="21" t="n"/>
      <c r="BG234" s="21" t="n"/>
      <c r="BH234" s="21" t="n"/>
      <c r="BI234" s="21" t="n"/>
    </row>
    <row r="235" ht="53" customHeight="1">
      <c r="A235" s="13" t="inlineStr">
        <is>
          <t>P3-008</t>
        </is>
      </c>
      <c r="B235" s="14" t="inlineStr">
        <is>
          <t>Etapa 2: Construção das métricas | Atividade 7: Operacionalização das métricas</t>
        </is>
      </c>
      <c r="C235" s="14" t="inlineStr">
        <is>
          <t>Relatório operacionalização das métricas (produto 3)</t>
        </is>
      </c>
      <c r="D235" s="14" t="inlineStr">
        <is>
          <t>Boaventura e UTGCA</t>
        </is>
      </c>
      <c r="E235" s="15" t="inlineStr">
        <is>
          <t>Preparar as tabelas dos dados sistematizados (Boaventura e UTGCA)</t>
        </is>
      </c>
      <c r="F235" s="13" t="inlineStr">
        <is>
          <t>Stephanie</t>
        </is>
      </c>
      <c r="G235" s="16">
        <f>IF($A235="","",_xlfn.TEXTJOIN("; ",TRUE,IF(COUNTIF('Clarice'!$B$6:$B$300,$A235)&gt;0,"Clarice",""),IF(COUNTIF('Luisa'!$B$6:$B$300,$A235)&gt;0,"Luisa",""),IF(COUNTIF('Lui'!$B$6:$B$300,$A235)&gt;0,"Lui",""),IF(COUNTIF('Thaís'!$B$6:$B$300,$A235)&gt;0,"Thaís",""),IF(COUNTIF('Daniel'!$B$6:$B$300,$A235)&gt;0,"Daniel",""),IF(COUNTIF('Fernando'!$B$6:$B$300,$A235)&gt;0,"Fernando",""),IF(COUNTIF('Stephanie'!$B$6:$B$300,$A235)&gt;0,"Stephanie",""),IF(COUNTIF('Fox'!$B$6:$B$300,$A235)&gt;0,"Fox",""),IF(COUNTIF('Bruna'!$B$6:$B$300,$A235)&gt;0,"Bruna",""),IF(COUNTIF('Stella'!$B$6:$B$300,$A235)&gt;0,"Stella",""),IF(COUNTIF('Igor'!$B$6:$B$300,$A235)&gt;0,"Igor","")))</f>
        <v/>
      </c>
      <c r="H235" s="13" t="n"/>
      <c r="I235" s="13" t="inlineStr">
        <is>
          <t>Concluído</t>
        </is>
      </c>
      <c r="J235" s="17">
        <f>IF(OR($A235="",(COUNTIF('Clarice'!$B$6:$B$300,$A235)+COUNTIF('Luisa'!$B$6:$B$300,$A235)+COUNTIF('Lui'!$B$6:$B$300,$A235)+COUNTIF('Thaís'!$B$6:$B$300,$A235)+COUNTIF('Daniel'!$B$6:$B$300,$A235)+COUNTIF('Fernando'!$B$6:$B$300,$A235)+COUNTIF('Stephanie'!$B$6:$B$300,$A235)+COUNTIF('Fox'!$B$6:$B$300,$A235)+COUNTIF('Bruna'!$B$6:$B$300,$A235)+COUNTIF('Stella'!$B$6:$B$300,$A235)+COUNTIF('Igor'!$B$6:$B$300,$A235))=0),"",(COUNTIFS('Clarice'!$B$6:$B$300,$A235,'Clarice'!$F$6:$F$300,"Concluído")+COUNTIFS('Luisa'!$B$6:$B$300,$A235,'Luisa'!$F$6:$F$300,"Concluído")+COUNTIFS('Lui'!$B$6:$B$300,$A235,'Lui'!$F$6:$F$300,"Concluído")+COUNTIFS('Thaís'!$B$6:$B$300,$A235,'Thaís'!$F$6:$F$300,"Concluído")+COUNTIFS('Daniel'!$B$6:$B$300,$A235,'Daniel'!$F$6:$F$300,"Concluído")+COUNTIFS('Fernando'!$B$6:$B$300,$A235,'Fernando'!$F$6:$F$300,"Concluído")+COUNTIFS('Stephanie'!$B$6:$B$300,$A235,'Stephanie'!$F$6:$F$300,"Concluído")+COUNTIFS('Fox'!$B$6:$B$300,$A235,'Fox'!$F$6:$F$300,"Concluído")+COUNTIFS('Bruna'!$B$6:$B$300,$A235,'Bruna'!$F$6:$F$300,"Concluído")+COUNTIFS('Stella'!$B$6:$B$300,$A235,'Stella'!$F$6:$F$300,"Concluído")+COUNTIFS('Igor'!$B$6:$B$300,$A235,'Igor'!$F$6:$F$300,"Concluído"))&amp;" / "&amp;(COUNTIF('Clarice'!$B$6:$B$300,$A235)+COUNTIF('Luisa'!$B$6:$B$300,$A235)+COUNTIF('Lui'!$B$6:$B$300,$A235)+COUNTIF('Thaís'!$B$6:$B$300,$A235)+COUNTIF('Daniel'!$B$6:$B$300,$A235)+COUNTIF('Fernando'!$B$6:$B$300,$A235)+COUNTIF('Stephanie'!$B$6:$B$300,$A235)+COUNTIF('Fox'!$B$6:$B$300,$A235)+COUNTIF('Bruna'!$B$6:$B$300,$A235)+COUNTIF('Stella'!$B$6:$B$300,$A235)+COUNTIF('Igor'!$B$6:$B$300,$A235)))</f>
        <v/>
      </c>
      <c r="K235" s="18" t="n">
        <v>46113</v>
      </c>
      <c r="L235" s="18" t="n">
        <v>46142</v>
      </c>
      <c r="M235" s="18" t="n">
        <v>46113</v>
      </c>
      <c r="N235" s="18" t="n">
        <v>46220</v>
      </c>
      <c r="O235" s="19" t="n"/>
      <c r="P235" s="20">
        <f>IF($A235="","",IF(M235&lt;&gt;"",M235,IF(K235&lt;&gt;"",K235,"")))</f>
        <v/>
      </c>
      <c r="Q235" s="20">
        <f>IF($A235="","",IF(N235&lt;&gt;"",N235,IF(L235&lt;&gt;"",L235,"")))</f>
        <v/>
      </c>
      <c r="R235" s="15" t="n"/>
      <c r="S235" s="16">
        <f t="array" ref="S235">IF($A235="","",_xlfn.TEXTJOIN(CHAR(10),TRUE,IF('Clarice'!$B$6:$B$300=$A235,"Clarice"&amp;IF('Clarice'!$E$6:$E$300="",""," : "&amp;'Clarice'!$E$6:$E$300)&amp;" ["&amp;'Clarice'!$F$6:$F$300&amp;"]",""),IF('Luisa'!$B$6:$B$300=$A235,"Luisa"&amp;IF('Luisa'!$E$6:$E$300="",""," : "&amp;'Luisa'!$E$6:$E$300)&amp;" ["&amp;'Luisa'!$F$6:$F$300&amp;"]",""),IF('Lui'!$B$6:$B$300=$A235,"Lui"&amp;IF('Lui'!$E$6:$E$300="",""," : "&amp;'Lui'!$E$6:$E$300)&amp;" ["&amp;'Lui'!$F$6:$F$300&amp;"]",""),IF('Thaís'!$B$6:$B$300=$A235,"Thaís"&amp;IF('Thaís'!$E$6:$E$300="",""," : "&amp;'Thaís'!$E$6:$E$300)&amp;" ["&amp;'Thaís'!$F$6:$F$300&amp;"]",""),IF('Daniel'!$B$6:$B$300=$A235,"Daniel"&amp;IF('Daniel'!$E$6:$E$300="",""," : "&amp;'Daniel'!$E$6:$E$300)&amp;" ["&amp;'Daniel'!$F$6:$F$300&amp;"]",""),IF('Fernando'!$B$6:$B$300=$A235,"Fernando"&amp;IF('Fernando'!$E$6:$E$300="",""," : "&amp;'Fernando'!$E$6:$E$300)&amp;" ["&amp;'Fernando'!$F$6:$F$300&amp;"]",""),IF('Stephanie'!$B$6:$B$300=$A235,"Stephanie"&amp;IF('Stephanie'!$E$6:$E$300="",""," : "&amp;'Stephanie'!$E$6:$E$300)&amp;" ["&amp;'Stephanie'!$F$6:$F$300&amp;"]",""),IF('Fox'!$B$6:$B$300=$A235,"Fox"&amp;IF('Fox'!$E$6:$E$300="",""," : "&amp;'Fox'!$E$6:$E$300)&amp;" ["&amp;'Fox'!$F$6:$F$300&amp;"]",""),IF('Bruna'!$B$6:$B$300=$A235,"Bruna"&amp;IF('Bruna'!$E$6:$E$300="",""," : "&amp;'Bruna'!$E$6:$E$300)&amp;" ["&amp;'Bruna'!$F$6:$F$300&amp;"]",""),IF('Stella'!$B$6:$B$300=$A235,"Stella"&amp;IF('Stella'!$E$6:$E$300="",""," : "&amp;'Stella'!$E$6:$E$300)&amp;" ["&amp;'Stella'!$F$6:$F$300&amp;"]",""),IF('Igor'!$B$6:$B$300=$A235,"Igor"&amp;IF('Igor'!$E$6:$E$300="",""," : "&amp;'Igor'!$E$6:$E$300)&amp;" ["&amp;'Igor'!$F$6:$F$300&amp;"]","")))</f>
        <v/>
      </c>
    </row>
    <row r="236" ht="28" customHeight="1">
      <c r="A236" s="13" t="inlineStr">
        <is>
          <t>P3-009</t>
        </is>
      </c>
      <c r="B236" s="14" t="inlineStr">
        <is>
          <t>Etapa 2: Construção das métricas | Atividade 7: Operacionalização das métricas</t>
        </is>
      </c>
      <c r="C236" s="14" t="inlineStr">
        <is>
          <t>Relatório operacionalização das métricas (produto 3)</t>
        </is>
      </c>
      <c r="D236" s="14" t="inlineStr">
        <is>
          <t>Boaventura e UTGCA</t>
        </is>
      </c>
      <c r="E236" s="15" t="inlineStr">
        <is>
          <t>Adaptar as tabelas para o formato Darwin Core</t>
        </is>
      </c>
      <c r="F236" s="13" t="inlineStr">
        <is>
          <t>Stephanie</t>
        </is>
      </c>
      <c r="G236" s="16">
        <f>IF($A236="","",_xlfn.TEXTJOIN("; ",TRUE,IF(COUNTIF('Clarice'!$B$6:$B$300,$A236)&gt;0,"Clarice",""),IF(COUNTIF('Luisa'!$B$6:$B$300,$A236)&gt;0,"Luisa",""),IF(COUNTIF('Lui'!$B$6:$B$300,$A236)&gt;0,"Lui",""),IF(COUNTIF('Thaís'!$B$6:$B$300,$A236)&gt;0,"Thaís",""),IF(COUNTIF('Daniel'!$B$6:$B$300,$A236)&gt;0,"Daniel",""),IF(COUNTIF('Fernando'!$B$6:$B$300,$A236)&gt;0,"Fernando",""),IF(COUNTIF('Stephanie'!$B$6:$B$300,$A236)&gt;0,"Stephanie",""),IF(COUNTIF('Fox'!$B$6:$B$300,$A236)&gt;0,"Fox",""),IF(COUNTIF('Bruna'!$B$6:$B$300,$A236)&gt;0,"Bruna",""),IF(COUNTIF('Stella'!$B$6:$B$300,$A236)&gt;0,"Stella",""),IF(COUNTIF('Igor'!$B$6:$B$300,$A236)&gt;0,"Igor","")))</f>
        <v/>
      </c>
      <c r="H236" s="13" t="n"/>
      <c r="I236" s="13" t="inlineStr">
        <is>
          <t>Concluído</t>
        </is>
      </c>
      <c r="J236" s="17">
        <f>IF(OR($A236="",(COUNTIF('Clarice'!$B$6:$B$300,$A236)+COUNTIF('Luisa'!$B$6:$B$300,$A236)+COUNTIF('Lui'!$B$6:$B$300,$A236)+COUNTIF('Thaís'!$B$6:$B$300,$A236)+COUNTIF('Daniel'!$B$6:$B$300,$A236)+COUNTIF('Fernando'!$B$6:$B$300,$A236)+COUNTIF('Stephanie'!$B$6:$B$300,$A236)+COUNTIF('Fox'!$B$6:$B$300,$A236)+COUNTIF('Bruna'!$B$6:$B$300,$A236)+COUNTIF('Stella'!$B$6:$B$300,$A236)+COUNTIF('Igor'!$B$6:$B$300,$A236))=0),"",(COUNTIFS('Clarice'!$B$6:$B$300,$A236,'Clarice'!$F$6:$F$300,"Concluído")+COUNTIFS('Luisa'!$B$6:$B$300,$A236,'Luisa'!$F$6:$F$300,"Concluído")+COUNTIFS('Lui'!$B$6:$B$300,$A236,'Lui'!$F$6:$F$300,"Concluído")+COUNTIFS('Thaís'!$B$6:$B$300,$A236,'Thaís'!$F$6:$F$300,"Concluído")+COUNTIFS('Daniel'!$B$6:$B$300,$A236,'Daniel'!$F$6:$F$300,"Concluído")+COUNTIFS('Fernando'!$B$6:$B$300,$A236,'Fernando'!$F$6:$F$300,"Concluído")+COUNTIFS('Stephanie'!$B$6:$B$300,$A236,'Stephanie'!$F$6:$F$300,"Concluído")+COUNTIFS('Fox'!$B$6:$B$300,$A236,'Fox'!$F$6:$F$300,"Concluído")+COUNTIFS('Bruna'!$B$6:$B$300,$A236,'Bruna'!$F$6:$F$300,"Concluído")+COUNTIFS('Stella'!$B$6:$B$300,$A236,'Stella'!$F$6:$F$300,"Concluído")+COUNTIFS('Igor'!$B$6:$B$300,$A236,'Igor'!$F$6:$F$300,"Concluído"))&amp;" / "&amp;(COUNTIF('Clarice'!$B$6:$B$300,$A236)+COUNTIF('Luisa'!$B$6:$B$300,$A236)+COUNTIF('Lui'!$B$6:$B$300,$A236)+COUNTIF('Thaís'!$B$6:$B$300,$A236)+COUNTIF('Daniel'!$B$6:$B$300,$A236)+COUNTIF('Fernando'!$B$6:$B$300,$A236)+COUNTIF('Stephanie'!$B$6:$B$300,$A236)+COUNTIF('Fox'!$B$6:$B$300,$A236)+COUNTIF('Bruna'!$B$6:$B$300,$A236)+COUNTIF('Stella'!$B$6:$B$300,$A236)+COUNTIF('Igor'!$B$6:$B$300,$A236)))</f>
        <v/>
      </c>
      <c r="K236" s="19" t="n"/>
      <c r="L236" s="19" t="n"/>
      <c r="M236" s="18" t="n">
        <v>46216</v>
      </c>
      <c r="N236" s="18" t="n">
        <v>46220</v>
      </c>
      <c r="O236" s="19" t="n"/>
      <c r="P236" s="20">
        <f>IF($A236="","",IF(M236&lt;&gt;"",M236,IF(K236&lt;&gt;"",K236,"")))</f>
        <v/>
      </c>
      <c r="Q236" s="20">
        <f>IF($A236="","",IF(N236&lt;&gt;"",N236,IF(L236&lt;&gt;"",L236,"")))</f>
        <v/>
      </c>
      <c r="R236" s="15" t="n"/>
      <c r="S236" s="16">
        <f t="array" ref="S236">IF($A236="","",_xlfn.TEXTJOIN(CHAR(10),TRUE,IF('Clarice'!$B$6:$B$300=$A236,"Clarice"&amp;IF('Clarice'!$E$6:$E$300="",""," : "&amp;'Clarice'!$E$6:$E$300)&amp;" ["&amp;'Clarice'!$F$6:$F$300&amp;"]",""),IF('Luisa'!$B$6:$B$300=$A236,"Luisa"&amp;IF('Luisa'!$E$6:$E$300="",""," : "&amp;'Luisa'!$E$6:$E$300)&amp;" ["&amp;'Luisa'!$F$6:$F$300&amp;"]",""),IF('Lui'!$B$6:$B$300=$A236,"Lui"&amp;IF('Lui'!$E$6:$E$300="",""," : "&amp;'Lui'!$E$6:$E$300)&amp;" ["&amp;'Lui'!$F$6:$F$300&amp;"]",""),IF('Thaís'!$B$6:$B$300=$A236,"Thaís"&amp;IF('Thaís'!$E$6:$E$300="",""," : "&amp;'Thaís'!$E$6:$E$300)&amp;" ["&amp;'Thaís'!$F$6:$F$300&amp;"]",""),IF('Daniel'!$B$6:$B$300=$A236,"Daniel"&amp;IF('Daniel'!$E$6:$E$300="",""," : "&amp;'Daniel'!$E$6:$E$300)&amp;" ["&amp;'Daniel'!$F$6:$F$300&amp;"]",""),IF('Fernando'!$B$6:$B$300=$A236,"Fernando"&amp;IF('Fernando'!$E$6:$E$300="",""," : "&amp;'Fernando'!$E$6:$E$300)&amp;" ["&amp;'Fernando'!$F$6:$F$300&amp;"]",""),IF('Stephanie'!$B$6:$B$300=$A236,"Stephanie"&amp;IF('Stephanie'!$E$6:$E$300="",""," : "&amp;'Stephanie'!$E$6:$E$300)&amp;" ["&amp;'Stephanie'!$F$6:$F$300&amp;"]",""),IF('Fox'!$B$6:$B$300=$A236,"Fox"&amp;IF('Fox'!$E$6:$E$300="",""," : "&amp;'Fox'!$E$6:$E$300)&amp;" ["&amp;'Fox'!$F$6:$F$300&amp;"]",""),IF('Bruna'!$B$6:$B$300=$A236,"Bruna"&amp;IF('Bruna'!$E$6:$E$300="",""," : "&amp;'Bruna'!$E$6:$E$300)&amp;" ["&amp;'Bruna'!$F$6:$F$300&amp;"]",""),IF('Stella'!$B$6:$B$300=$A236,"Stella"&amp;IF('Stella'!$E$6:$E$300="",""," : "&amp;'Stella'!$E$6:$E$300)&amp;" ["&amp;'Stella'!$F$6:$F$300&amp;"]",""),IF('Igor'!$B$6:$B$300=$A236,"Igor"&amp;IF('Igor'!$E$6:$E$300="",""," : "&amp;'Igor'!$E$6:$E$300)&amp;" ["&amp;'Igor'!$F$6:$F$300&amp;"]","")))</f>
        <v/>
      </c>
    </row>
    <row r="237" ht="40.5" customHeight="1">
      <c r="A237" s="13" t="inlineStr">
        <is>
          <t>P3-010</t>
        </is>
      </c>
      <c r="B237" s="14" t="inlineStr">
        <is>
          <t>Etapa 2: Construção das métricas | Atividade 7: Operacionalização das métricas</t>
        </is>
      </c>
      <c r="C237" s="14" t="inlineStr">
        <is>
          <t>Relatório operacionalização das métricas (produto 3)</t>
        </is>
      </c>
      <c r="D237" s="14" t="inlineStr">
        <is>
          <t>Boaventura e UTGCA</t>
        </is>
      </c>
      <c r="E237" s="15" t="inlineStr">
        <is>
          <t>Escrever texto da unidade (ex. histórico da unidade, dados disponíveis da unidade, relação entre dados e as 3 métricas) (Boaventura)</t>
        </is>
      </c>
      <c r="F237" s="13" t="inlineStr">
        <is>
          <t>Stephanie</t>
        </is>
      </c>
      <c r="G237" s="16">
        <f>IF($A237="","",_xlfn.TEXTJOIN("; ",TRUE,IF(COUNTIF('Clarice'!$B$6:$B$300,$A237)&gt;0,"Clarice",""),IF(COUNTIF('Luisa'!$B$6:$B$300,$A237)&gt;0,"Luisa",""),IF(COUNTIF('Lui'!$B$6:$B$300,$A237)&gt;0,"Lui",""),IF(COUNTIF('Thaís'!$B$6:$B$300,$A237)&gt;0,"Thaís",""),IF(COUNTIF('Daniel'!$B$6:$B$300,$A237)&gt;0,"Daniel",""),IF(COUNTIF('Fernando'!$B$6:$B$300,$A237)&gt;0,"Fernando",""),IF(COUNTIF('Stephanie'!$B$6:$B$300,$A237)&gt;0,"Stephanie",""),IF(COUNTIF('Fox'!$B$6:$B$300,$A237)&gt;0,"Fox",""),IF(COUNTIF('Bruna'!$B$6:$B$300,$A237)&gt;0,"Bruna",""),IF(COUNTIF('Stella'!$B$6:$B$300,$A237)&gt;0,"Stella",""),IF(COUNTIF('Igor'!$B$6:$B$300,$A237)&gt;0,"Igor","")))</f>
        <v/>
      </c>
      <c r="H237" s="13" t="n"/>
      <c r="I237" s="13" t="inlineStr">
        <is>
          <t>Concluído</t>
        </is>
      </c>
      <c r="J237" s="17">
        <f>IF(OR($A237="",(COUNTIF('Clarice'!$B$6:$B$300,$A237)+COUNTIF('Luisa'!$B$6:$B$300,$A237)+COUNTIF('Lui'!$B$6:$B$300,$A237)+COUNTIF('Thaís'!$B$6:$B$300,$A237)+COUNTIF('Daniel'!$B$6:$B$300,$A237)+COUNTIF('Fernando'!$B$6:$B$300,$A237)+COUNTIF('Stephanie'!$B$6:$B$300,$A237)+COUNTIF('Fox'!$B$6:$B$300,$A237)+COUNTIF('Bruna'!$B$6:$B$300,$A237)+COUNTIF('Stella'!$B$6:$B$300,$A237)+COUNTIF('Igor'!$B$6:$B$300,$A237))=0),"",(COUNTIFS('Clarice'!$B$6:$B$300,$A237,'Clarice'!$F$6:$F$300,"Concluído")+COUNTIFS('Luisa'!$B$6:$B$300,$A237,'Luisa'!$F$6:$F$300,"Concluído")+COUNTIFS('Lui'!$B$6:$B$300,$A237,'Lui'!$F$6:$F$300,"Concluído")+COUNTIFS('Thaís'!$B$6:$B$300,$A237,'Thaís'!$F$6:$F$300,"Concluído")+COUNTIFS('Daniel'!$B$6:$B$300,$A237,'Daniel'!$F$6:$F$300,"Concluído")+COUNTIFS('Fernando'!$B$6:$B$300,$A237,'Fernando'!$F$6:$F$300,"Concluído")+COUNTIFS('Stephanie'!$B$6:$B$300,$A237,'Stephanie'!$F$6:$F$300,"Concluído")+COUNTIFS('Fox'!$B$6:$B$300,$A237,'Fox'!$F$6:$F$300,"Concluído")+COUNTIFS('Bruna'!$B$6:$B$300,$A237,'Bruna'!$F$6:$F$300,"Concluído")+COUNTIFS('Stella'!$B$6:$B$300,$A237,'Stella'!$F$6:$F$300,"Concluído")+COUNTIFS('Igor'!$B$6:$B$300,$A237,'Igor'!$F$6:$F$300,"Concluído"))&amp;" / "&amp;(COUNTIF('Clarice'!$B$6:$B$300,$A237)+COUNTIF('Luisa'!$B$6:$B$300,$A237)+COUNTIF('Lui'!$B$6:$B$300,$A237)+COUNTIF('Thaís'!$B$6:$B$300,$A237)+COUNTIF('Daniel'!$B$6:$B$300,$A237)+COUNTIF('Fernando'!$B$6:$B$300,$A237)+COUNTIF('Stephanie'!$B$6:$B$300,$A237)+COUNTIF('Fox'!$B$6:$B$300,$A237)+COUNTIF('Bruna'!$B$6:$B$300,$A237)+COUNTIF('Stella'!$B$6:$B$300,$A237)+COUNTIF('Igor'!$B$6:$B$300,$A237)))</f>
        <v/>
      </c>
      <c r="K237" s="18" t="n">
        <v>46118</v>
      </c>
      <c r="L237" s="18" t="n">
        <v>46142</v>
      </c>
      <c r="M237" s="18" t="n">
        <v>46118</v>
      </c>
      <c r="N237" s="18" t="n">
        <v>46164</v>
      </c>
      <c r="O237" s="19" t="n"/>
      <c r="P237" s="20">
        <f>IF($A237="","",IF(M237&lt;&gt;"",M237,IF(K237&lt;&gt;"",K237,"")))</f>
        <v/>
      </c>
      <c r="Q237" s="20">
        <f>IF($A237="","",IF(N237&lt;&gt;"",N237,IF(L237&lt;&gt;"",L237,"")))</f>
        <v/>
      </c>
      <c r="R237" s="15" t="n"/>
      <c r="S237" s="16">
        <f t="array" ref="S237">IF($A237="","",_xlfn.TEXTJOIN(CHAR(10),TRUE,IF('Clarice'!$B$6:$B$300=$A237,"Clarice"&amp;IF('Clarice'!$E$6:$E$300="",""," : "&amp;'Clarice'!$E$6:$E$300)&amp;" ["&amp;'Clarice'!$F$6:$F$300&amp;"]",""),IF('Luisa'!$B$6:$B$300=$A237,"Luisa"&amp;IF('Luisa'!$E$6:$E$300="",""," : "&amp;'Luisa'!$E$6:$E$300)&amp;" ["&amp;'Luisa'!$F$6:$F$300&amp;"]",""),IF('Lui'!$B$6:$B$300=$A237,"Lui"&amp;IF('Lui'!$E$6:$E$300="",""," : "&amp;'Lui'!$E$6:$E$300)&amp;" ["&amp;'Lui'!$F$6:$F$300&amp;"]",""),IF('Thaís'!$B$6:$B$300=$A237,"Thaís"&amp;IF('Thaís'!$E$6:$E$300="",""," : "&amp;'Thaís'!$E$6:$E$300)&amp;" ["&amp;'Thaís'!$F$6:$F$300&amp;"]",""),IF('Daniel'!$B$6:$B$300=$A237,"Daniel"&amp;IF('Daniel'!$E$6:$E$300="",""," : "&amp;'Daniel'!$E$6:$E$300)&amp;" ["&amp;'Daniel'!$F$6:$F$300&amp;"]",""),IF('Fernando'!$B$6:$B$300=$A237,"Fernando"&amp;IF('Fernando'!$E$6:$E$300="",""," : "&amp;'Fernando'!$E$6:$E$300)&amp;" ["&amp;'Fernando'!$F$6:$F$300&amp;"]",""),IF('Stephanie'!$B$6:$B$300=$A237,"Stephanie"&amp;IF('Stephanie'!$E$6:$E$300="",""," : "&amp;'Stephanie'!$E$6:$E$300)&amp;" ["&amp;'Stephanie'!$F$6:$F$300&amp;"]",""),IF('Fox'!$B$6:$B$300=$A237,"Fox"&amp;IF('Fox'!$E$6:$E$300="",""," : "&amp;'Fox'!$E$6:$E$300)&amp;" ["&amp;'Fox'!$F$6:$F$300&amp;"]",""),IF('Bruna'!$B$6:$B$300=$A237,"Bruna"&amp;IF('Bruna'!$E$6:$E$300="",""," : "&amp;'Bruna'!$E$6:$E$300)&amp;" ["&amp;'Bruna'!$F$6:$F$300&amp;"]",""),IF('Stella'!$B$6:$B$300=$A237,"Stella"&amp;IF('Stella'!$E$6:$E$300="",""," : "&amp;'Stella'!$E$6:$E$300)&amp;" ["&amp;'Stella'!$F$6:$F$300&amp;"]",""),IF('Igor'!$B$6:$B$300=$A237,"Igor"&amp;IF('Igor'!$E$6:$E$300="",""," : "&amp;'Igor'!$E$6:$E$300)&amp;" ["&amp;'Igor'!$F$6:$F$300&amp;"]","")))</f>
        <v/>
      </c>
    </row>
    <row r="238">
      <c r="A238" s="21" t="n"/>
      <c r="B238" s="21" t="inlineStr">
        <is>
          <t>Etapa 2: Construção das métricas | Atividade 7: Operacionalização das métricas</t>
        </is>
      </c>
      <c r="C238" s="21" t="inlineStr">
        <is>
          <t>Relatório operacionalização das métricas (produto 3)</t>
        </is>
      </c>
      <c r="D238" s="21" t="inlineStr">
        <is>
          <t>GR3</t>
        </is>
      </c>
      <c r="E238" s="21" t="inlineStr">
        <is>
          <t>GR3</t>
        </is>
      </c>
      <c r="F238" s="21" t="inlineStr">
        <is>
          <t>Daniel</t>
        </is>
      </c>
      <c r="G238" s="21">
        <f>IF($A238="","",_xlfn.TEXTJOIN("; ",TRUE,IF(COUNTIF('Clarice'!$B$6:$B$300,$A238)&gt;0,"Clarice",""),IF(COUNTIF('Luisa'!$B$6:$B$300,$A238)&gt;0,"Luisa",""),IF(COUNTIF('Lui'!$B$6:$B$300,$A238)&gt;0,"Lui",""),IF(COUNTIF('Thaís'!$B$6:$B$300,$A238)&gt;0,"Thaís",""),IF(COUNTIF('Daniel'!$B$6:$B$300,$A238)&gt;0,"Daniel",""),IF(COUNTIF('Fernando'!$B$6:$B$300,$A238)&gt;0,"Fernando",""),IF(COUNTIF('Stephanie'!$B$6:$B$300,$A238)&gt;0,"Stephanie",""),IF(COUNTIF('Fox'!$B$6:$B$300,$A238)&gt;0,"Fox",""),IF(COUNTIF('Bruna'!$B$6:$B$300,$A238)&gt;0,"Bruna",""),IF(COUNTIF('Stella'!$B$6:$B$300,$A238)&gt;0,"Stella",""),IF(COUNTIF('Igor'!$B$6:$B$300,$A238)&gt;0,"Igor","")))</f>
        <v/>
      </c>
      <c r="H238" s="21" t="n"/>
      <c r="I238" s="21" t="n"/>
      <c r="J238" s="21">
        <f>IF(OR($A238="",(COUNTIF('Clarice'!$B$6:$B$300,$A238)+COUNTIF('Luisa'!$B$6:$B$300,$A238)+COUNTIF('Lui'!$B$6:$B$300,$A238)+COUNTIF('Thaís'!$B$6:$B$300,$A238)+COUNTIF('Daniel'!$B$6:$B$300,$A238)+COUNTIF('Fernando'!$B$6:$B$300,$A238)+COUNTIF('Stephanie'!$B$6:$B$300,$A238)+COUNTIF('Fox'!$B$6:$B$300,$A238)+COUNTIF('Bruna'!$B$6:$B$300,$A238)+COUNTIF('Stella'!$B$6:$B$300,$A238)+COUNTIF('Igor'!$B$6:$B$300,$A238))=0),"",(COUNTIFS('Clarice'!$B$6:$B$300,$A238,'Clarice'!$F$6:$F$300,"Concluído")+COUNTIFS('Luisa'!$B$6:$B$300,$A238,'Luisa'!$F$6:$F$300,"Concluído")+COUNTIFS('Lui'!$B$6:$B$300,$A238,'Lui'!$F$6:$F$300,"Concluído")+COUNTIFS('Thaís'!$B$6:$B$300,$A238,'Thaís'!$F$6:$F$300,"Concluído")+COUNTIFS('Daniel'!$B$6:$B$300,$A238,'Daniel'!$F$6:$F$300,"Concluído")+COUNTIFS('Fernando'!$B$6:$B$300,$A238,'Fernando'!$F$6:$F$300,"Concluído")+COUNTIFS('Stephanie'!$B$6:$B$300,$A238,'Stephanie'!$F$6:$F$300,"Concluído")+COUNTIFS('Fox'!$B$6:$B$300,$A238,'Fox'!$F$6:$F$300,"Concluído")+COUNTIFS('Bruna'!$B$6:$B$300,$A238,'Bruna'!$F$6:$F$300,"Concluído")+COUNTIFS('Stella'!$B$6:$B$300,$A238,'Stella'!$F$6:$F$300,"Concluído")+COUNTIFS('Igor'!$B$6:$B$300,$A238,'Igor'!$F$6:$F$300,"Concluído"))&amp;" / "&amp;(COUNTIF('Clarice'!$B$6:$B$300,$A238)+COUNTIF('Luisa'!$B$6:$B$300,$A238)+COUNTIF('Lui'!$B$6:$B$300,$A238)+COUNTIF('Thaís'!$B$6:$B$300,$A238)+COUNTIF('Daniel'!$B$6:$B$300,$A238)+COUNTIF('Fernando'!$B$6:$B$300,$A238)+COUNTIF('Stephanie'!$B$6:$B$300,$A238)+COUNTIF('Fox'!$B$6:$B$300,$A238)+COUNTIF('Bruna'!$B$6:$B$300,$A238)+COUNTIF('Stella'!$B$6:$B$300,$A238)+COUNTIF('Igor'!$B$6:$B$300,$A238)))</f>
        <v/>
      </c>
      <c r="K238" s="21" t="n"/>
      <c r="L238" s="21" t="n"/>
      <c r="M238" s="21" t="n"/>
      <c r="N238" s="21" t="n"/>
      <c r="O238" s="21" t="n"/>
      <c r="P238" s="22">
        <f>IF($A238="","",IF(M238&lt;&gt;"",M238,IF(K238&lt;&gt;"",K238,"")))</f>
        <v/>
      </c>
      <c r="Q238" s="22">
        <f>IF($A238="","",IF(N238&lt;&gt;"",N238,IF(L238&lt;&gt;"",L238,"")))</f>
        <v/>
      </c>
      <c r="R238" s="21" t="n"/>
      <c r="S238" s="21">
        <f t="array" ref="S238">IF($A238="","",_xlfn.TEXTJOIN(CHAR(10),TRUE,IF('Clarice'!$B$6:$B$300=$A238,"Clarice"&amp;IF('Clarice'!$E$6:$E$300="",""," : "&amp;'Clarice'!$E$6:$E$300)&amp;" ["&amp;'Clarice'!$F$6:$F$300&amp;"]",""),IF('Luisa'!$B$6:$B$300=$A238,"Luisa"&amp;IF('Luisa'!$E$6:$E$300="",""," : "&amp;'Luisa'!$E$6:$E$300)&amp;" ["&amp;'Luisa'!$F$6:$F$300&amp;"]",""),IF('Lui'!$B$6:$B$300=$A238,"Lui"&amp;IF('Lui'!$E$6:$E$300="",""," : "&amp;'Lui'!$E$6:$E$300)&amp;" ["&amp;'Lui'!$F$6:$F$300&amp;"]",""),IF('Thaís'!$B$6:$B$300=$A238,"Thaís"&amp;IF('Thaís'!$E$6:$E$300="",""," : "&amp;'Thaís'!$E$6:$E$300)&amp;" ["&amp;'Thaís'!$F$6:$F$300&amp;"]",""),IF('Daniel'!$B$6:$B$300=$A238,"Daniel"&amp;IF('Daniel'!$E$6:$E$300="",""," : "&amp;'Daniel'!$E$6:$E$300)&amp;" ["&amp;'Daniel'!$F$6:$F$300&amp;"]",""),IF('Fernando'!$B$6:$B$300=$A238,"Fernando"&amp;IF('Fernando'!$E$6:$E$300="",""," : "&amp;'Fernando'!$E$6:$E$300)&amp;" ["&amp;'Fernando'!$F$6:$F$300&amp;"]",""),IF('Stephanie'!$B$6:$B$300=$A238,"Stephanie"&amp;IF('Stephanie'!$E$6:$E$300="",""," : "&amp;'Stephanie'!$E$6:$E$300)&amp;" ["&amp;'Stephanie'!$F$6:$F$300&amp;"]",""),IF('Fox'!$B$6:$B$300=$A238,"Fox"&amp;IF('Fox'!$E$6:$E$300="",""," : "&amp;'Fox'!$E$6:$E$300)&amp;" ["&amp;'Fox'!$F$6:$F$300&amp;"]",""),IF('Bruna'!$B$6:$B$300=$A238,"Bruna"&amp;IF('Bruna'!$E$6:$E$300="",""," : "&amp;'Bruna'!$E$6:$E$300)&amp;" ["&amp;'Bruna'!$F$6:$F$300&amp;"]",""),IF('Stella'!$B$6:$B$300=$A238,"Stella"&amp;IF('Stella'!$E$6:$E$300="",""," : "&amp;'Stella'!$E$6:$E$300)&amp;" ["&amp;'Stella'!$F$6:$F$300&amp;"]",""),IF('Igor'!$B$6:$B$300=$A238,"Igor"&amp;IF('Igor'!$E$6:$E$300="",""," : "&amp;'Igor'!$E$6:$E$300)&amp;" ["&amp;'Igor'!$F$6:$F$300&amp;"]","")))</f>
        <v/>
      </c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  <c r="BF238" s="21" t="n"/>
      <c r="BG238" s="21" t="n"/>
      <c r="BH238" s="21" t="n"/>
      <c r="BI238" s="21" t="n"/>
    </row>
    <row r="239" ht="28" customHeight="1">
      <c r="A239" s="13" t="inlineStr">
        <is>
          <t>P3-011</t>
        </is>
      </c>
      <c r="B239" s="14" t="inlineStr">
        <is>
          <t>Etapa 2: Construção das métricas | Atividade 7: Operacionalização das métricas</t>
        </is>
      </c>
      <c r="C239" s="14" t="inlineStr">
        <is>
          <t>Relatório operacionalização das métricas (produto 3)</t>
        </is>
      </c>
      <c r="D239" s="14" t="inlineStr">
        <is>
          <t>GR3</t>
        </is>
      </c>
      <c r="E239" s="15" t="inlineStr">
        <is>
          <t>Preparar as tabelas dos dados sistematizados (GR3)</t>
        </is>
      </c>
      <c r="F239" s="13" t="inlineStr">
        <is>
          <t>Daniel</t>
        </is>
      </c>
      <c r="G239" s="16">
        <f>IF($A239="","",_xlfn.TEXTJOIN("; ",TRUE,IF(COUNTIF('Clarice'!$B$6:$B$300,$A239)&gt;0,"Clarice",""),IF(COUNTIF('Luisa'!$B$6:$B$300,$A239)&gt;0,"Luisa",""),IF(COUNTIF('Lui'!$B$6:$B$300,$A239)&gt;0,"Lui",""),IF(COUNTIF('Thaís'!$B$6:$B$300,$A239)&gt;0,"Thaís",""),IF(COUNTIF('Daniel'!$B$6:$B$300,$A239)&gt;0,"Daniel",""),IF(COUNTIF('Fernando'!$B$6:$B$300,$A239)&gt;0,"Fernando",""),IF(COUNTIF('Stephanie'!$B$6:$B$300,$A239)&gt;0,"Stephanie",""),IF(COUNTIF('Fox'!$B$6:$B$300,$A239)&gt;0,"Fox",""),IF(COUNTIF('Bruna'!$B$6:$B$300,$A239)&gt;0,"Bruna",""),IF(COUNTIF('Stella'!$B$6:$B$300,$A239)&gt;0,"Stella",""),IF(COUNTIF('Igor'!$B$6:$B$300,$A239)&gt;0,"Igor","")))</f>
        <v/>
      </c>
      <c r="H239" s="13" t="n"/>
      <c r="I239" s="13" t="inlineStr">
        <is>
          <t>Em andamento</t>
        </is>
      </c>
      <c r="J239" s="17">
        <f>IF(OR($A239="",(COUNTIF('Clarice'!$B$6:$B$300,$A239)+COUNTIF('Luisa'!$B$6:$B$300,$A239)+COUNTIF('Lui'!$B$6:$B$300,$A239)+COUNTIF('Thaís'!$B$6:$B$300,$A239)+COUNTIF('Daniel'!$B$6:$B$300,$A239)+COUNTIF('Fernando'!$B$6:$B$300,$A239)+COUNTIF('Stephanie'!$B$6:$B$300,$A239)+COUNTIF('Fox'!$B$6:$B$300,$A239)+COUNTIF('Bruna'!$B$6:$B$300,$A239)+COUNTIF('Stella'!$B$6:$B$300,$A239)+COUNTIF('Igor'!$B$6:$B$300,$A239))=0),"",(COUNTIFS('Clarice'!$B$6:$B$300,$A239,'Clarice'!$F$6:$F$300,"Concluído")+COUNTIFS('Luisa'!$B$6:$B$300,$A239,'Luisa'!$F$6:$F$300,"Concluído")+COUNTIFS('Lui'!$B$6:$B$300,$A239,'Lui'!$F$6:$F$300,"Concluído")+COUNTIFS('Thaís'!$B$6:$B$300,$A239,'Thaís'!$F$6:$F$300,"Concluído")+COUNTIFS('Daniel'!$B$6:$B$300,$A239,'Daniel'!$F$6:$F$300,"Concluído")+COUNTIFS('Fernando'!$B$6:$B$300,$A239,'Fernando'!$F$6:$F$300,"Concluído")+COUNTIFS('Stephanie'!$B$6:$B$300,$A239,'Stephanie'!$F$6:$F$300,"Concluído")+COUNTIFS('Fox'!$B$6:$B$300,$A239,'Fox'!$F$6:$F$300,"Concluído")+COUNTIFS('Bruna'!$B$6:$B$300,$A239,'Bruna'!$F$6:$F$300,"Concluído")+COUNTIFS('Stella'!$B$6:$B$300,$A239,'Stella'!$F$6:$F$300,"Concluído")+COUNTIFS('Igor'!$B$6:$B$300,$A239,'Igor'!$F$6:$F$300,"Concluído"))&amp;" / "&amp;(COUNTIF('Clarice'!$B$6:$B$300,$A239)+COUNTIF('Luisa'!$B$6:$B$300,$A239)+COUNTIF('Lui'!$B$6:$B$300,$A239)+COUNTIF('Thaís'!$B$6:$B$300,$A239)+COUNTIF('Daniel'!$B$6:$B$300,$A239)+COUNTIF('Fernando'!$B$6:$B$300,$A239)+COUNTIF('Stephanie'!$B$6:$B$300,$A239)+COUNTIF('Fox'!$B$6:$B$300,$A239)+COUNTIF('Bruna'!$B$6:$B$300,$A239)+COUNTIF('Stella'!$B$6:$B$300,$A239)+COUNTIF('Igor'!$B$6:$B$300,$A239)))</f>
        <v/>
      </c>
      <c r="K239" s="18" t="n">
        <v>46160</v>
      </c>
      <c r="L239" s="18" t="n">
        <v>46171</v>
      </c>
      <c r="M239" s="18" t="n">
        <v>46160</v>
      </c>
      <c r="N239" s="18" t="n">
        <v>46220</v>
      </c>
      <c r="O239" s="19" t="n"/>
      <c r="P239" s="20">
        <f>IF($A239="","",IF(M239&lt;&gt;"",M239,IF(K239&lt;&gt;"",K239,"")))</f>
        <v/>
      </c>
      <c r="Q239" s="20">
        <f>IF($A239="","",IF(N239&lt;&gt;"",N239,IF(L239&lt;&gt;"",L239,"")))</f>
        <v/>
      </c>
      <c r="R239" s="15" t="n"/>
      <c r="S239" s="16">
        <f t="array" ref="S239">IF($A239="","",_xlfn.TEXTJOIN(CHAR(10),TRUE,IF('Clarice'!$B$6:$B$300=$A239,"Clarice"&amp;IF('Clarice'!$E$6:$E$300="",""," : "&amp;'Clarice'!$E$6:$E$300)&amp;" ["&amp;'Clarice'!$F$6:$F$300&amp;"]",""),IF('Luisa'!$B$6:$B$300=$A239,"Luisa"&amp;IF('Luisa'!$E$6:$E$300="",""," : "&amp;'Luisa'!$E$6:$E$300)&amp;" ["&amp;'Luisa'!$F$6:$F$300&amp;"]",""),IF('Lui'!$B$6:$B$300=$A239,"Lui"&amp;IF('Lui'!$E$6:$E$300="",""," : "&amp;'Lui'!$E$6:$E$300)&amp;" ["&amp;'Lui'!$F$6:$F$300&amp;"]",""),IF('Thaís'!$B$6:$B$300=$A239,"Thaís"&amp;IF('Thaís'!$E$6:$E$300="",""," : "&amp;'Thaís'!$E$6:$E$300)&amp;" ["&amp;'Thaís'!$F$6:$F$300&amp;"]",""),IF('Daniel'!$B$6:$B$300=$A239,"Daniel"&amp;IF('Daniel'!$E$6:$E$300="",""," : "&amp;'Daniel'!$E$6:$E$300)&amp;" ["&amp;'Daniel'!$F$6:$F$300&amp;"]",""),IF('Fernando'!$B$6:$B$300=$A239,"Fernando"&amp;IF('Fernando'!$E$6:$E$300="",""," : "&amp;'Fernando'!$E$6:$E$300)&amp;" ["&amp;'Fernando'!$F$6:$F$300&amp;"]",""),IF('Stephanie'!$B$6:$B$300=$A239,"Stephanie"&amp;IF('Stephanie'!$E$6:$E$300="",""," : "&amp;'Stephanie'!$E$6:$E$300)&amp;" ["&amp;'Stephanie'!$F$6:$F$300&amp;"]",""),IF('Fox'!$B$6:$B$300=$A239,"Fox"&amp;IF('Fox'!$E$6:$E$300="",""," : "&amp;'Fox'!$E$6:$E$300)&amp;" ["&amp;'Fox'!$F$6:$F$300&amp;"]",""),IF('Bruna'!$B$6:$B$300=$A239,"Bruna"&amp;IF('Bruna'!$E$6:$E$300="",""," : "&amp;'Bruna'!$E$6:$E$300)&amp;" ["&amp;'Bruna'!$F$6:$F$300&amp;"]",""),IF('Stella'!$B$6:$B$300=$A239,"Stella"&amp;IF('Stella'!$E$6:$E$300="",""," : "&amp;'Stella'!$E$6:$E$300)&amp;" ["&amp;'Stella'!$F$6:$F$300&amp;"]",""),IF('Igor'!$B$6:$B$300=$A239,"Igor"&amp;IF('Igor'!$E$6:$E$300="",""," : "&amp;'Igor'!$E$6:$E$300)&amp;" ["&amp;'Igor'!$F$6:$F$300&amp;"]","")))</f>
        <v/>
      </c>
    </row>
    <row r="240" ht="40.5" customHeight="1">
      <c r="A240" s="13" t="inlineStr">
        <is>
          <t>P3-012</t>
        </is>
      </c>
      <c r="B240" s="14" t="inlineStr">
        <is>
          <t>Etapa 2: Construção das métricas | Atividade 7: Operacionalização das métricas</t>
        </is>
      </c>
      <c r="C240" s="14" t="inlineStr">
        <is>
          <t>Relatório operacionalização das métricas (produto 3)</t>
        </is>
      </c>
      <c r="D240" s="14" t="inlineStr">
        <is>
          <t>GR3</t>
        </is>
      </c>
      <c r="E240" s="15" t="inlineStr">
        <is>
          <t>Escrever texto da unidade (ex. histórico da unidade, dados disponíveis da unidade, relação entre dados e as 3 métricas) (GR3)</t>
        </is>
      </c>
      <c r="F240" s="13" t="inlineStr">
        <is>
          <t>Daniel</t>
        </is>
      </c>
      <c r="G240" s="16">
        <f>IF($A240="","",_xlfn.TEXTJOIN("; ",TRUE,IF(COUNTIF('Clarice'!$B$6:$B$300,$A240)&gt;0,"Clarice",""),IF(COUNTIF('Luisa'!$B$6:$B$300,$A240)&gt;0,"Luisa",""),IF(COUNTIF('Lui'!$B$6:$B$300,$A240)&gt;0,"Lui",""),IF(COUNTIF('Thaís'!$B$6:$B$300,$A240)&gt;0,"Thaís",""),IF(COUNTIF('Daniel'!$B$6:$B$300,$A240)&gt;0,"Daniel",""),IF(COUNTIF('Fernando'!$B$6:$B$300,$A240)&gt;0,"Fernando",""),IF(COUNTIF('Stephanie'!$B$6:$B$300,$A240)&gt;0,"Stephanie",""),IF(COUNTIF('Fox'!$B$6:$B$300,$A240)&gt;0,"Fox",""),IF(COUNTIF('Bruna'!$B$6:$B$300,$A240)&gt;0,"Bruna",""),IF(COUNTIF('Stella'!$B$6:$B$300,$A240)&gt;0,"Stella",""),IF(COUNTIF('Igor'!$B$6:$B$300,$A240)&gt;0,"Igor","")))</f>
        <v/>
      </c>
      <c r="H240" s="13" t="n"/>
      <c r="I240" s="13" t="inlineStr">
        <is>
          <t>Concluído</t>
        </is>
      </c>
      <c r="J240" s="17">
        <f>IF(OR($A240="",(COUNTIF('Clarice'!$B$6:$B$300,$A240)+COUNTIF('Luisa'!$B$6:$B$300,$A240)+COUNTIF('Lui'!$B$6:$B$300,$A240)+COUNTIF('Thaís'!$B$6:$B$300,$A240)+COUNTIF('Daniel'!$B$6:$B$300,$A240)+COUNTIF('Fernando'!$B$6:$B$300,$A240)+COUNTIF('Stephanie'!$B$6:$B$300,$A240)+COUNTIF('Fox'!$B$6:$B$300,$A240)+COUNTIF('Bruna'!$B$6:$B$300,$A240)+COUNTIF('Stella'!$B$6:$B$300,$A240)+COUNTIF('Igor'!$B$6:$B$300,$A240))=0),"",(COUNTIFS('Clarice'!$B$6:$B$300,$A240,'Clarice'!$F$6:$F$300,"Concluído")+COUNTIFS('Luisa'!$B$6:$B$300,$A240,'Luisa'!$F$6:$F$300,"Concluído")+COUNTIFS('Lui'!$B$6:$B$300,$A240,'Lui'!$F$6:$F$300,"Concluído")+COUNTIFS('Thaís'!$B$6:$B$300,$A240,'Thaís'!$F$6:$F$300,"Concluído")+COUNTIFS('Daniel'!$B$6:$B$300,$A240,'Daniel'!$F$6:$F$300,"Concluído")+COUNTIFS('Fernando'!$B$6:$B$300,$A240,'Fernando'!$F$6:$F$300,"Concluído")+COUNTIFS('Stephanie'!$B$6:$B$300,$A240,'Stephanie'!$F$6:$F$300,"Concluído")+COUNTIFS('Fox'!$B$6:$B$300,$A240,'Fox'!$F$6:$F$300,"Concluído")+COUNTIFS('Bruna'!$B$6:$B$300,$A240,'Bruna'!$F$6:$F$300,"Concluído")+COUNTIFS('Stella'!$B$6:$B$300,$A240,'Stella'!$F$6:$F$300,"Concluído")+COUNTIFS('Igor'!$B$6:$B$300,$A240,'Igor'!$F$6:$F$300,"Concluído"))&amp;" / "&amp;(COUNTIF('Clarice'!$B$6:$B$300,$A240)+COUNTIF('Luisa'!$B$6:$B$300,$A240)+COUNTIF('Lui'!$B$6:$B$300,$A240)+COUNTIF('Thaís'!$B$6:$B$300,$A240)+COUNTIF('Daniel'!$B$6:$B$300,$A240)+COUNTIF('Fernando'!$B$6:$B$300,$A240)+COUNTIF('Stephanie'!$B$6:$B$300,$A240)+COUNTIF('Fox'!$B$6:$B$300,$A240)+COUNTIF('Bruna'!$B$6:$B$300,$A240)+COUNTIF('Stella'!$B$6:$B$300,$A240)+COUNTIF('Igor'!$B$6:$B$300,$A240)))</f>
        <v/>
      </c>
      <c r="K240" s="18" t="n">
        <v>46146</v>
      </c>
      <c r="L240" s="18" t="n">
        <v>46164</v>
      </c>
      <c r="M240" s="19" t="n"/>
      <c r="N240" s="19" t="n"/>
      <c r="O240" s="19" t="n"/>
      <c r="P240" s="20">
        <f>IF($A240="","",IF(M240&lt;&gt;"",M240,IF(K240&lt;&gt;"",K240,"")))</f>
        <v/>
      </c>
      <c r="Q240" s="20">
        <f>IF($A240="","",IF(N240&lt;&gt;"",N240,IF(L240&lt;&gt;"",L240,"")))</f>
        <v/>
      </c>
      <c r="R240" s="15" t="n"/>
      <c r="S240" s="16">
        <f t="array" ref="S240">IF($A240="","",_xlfn.TEXTJOIN(CHAR(10),TRUE,IF('Clarice'!$B$6:$B$300=$A240,"Clarice"&amp;IF('Clarice'!$E$6:$E$300="",""," : "&amp;'Clarice'!$E$6:$E$300)&amp;" ["&amp;'Clarice'!$F$6:$F$300&amp;"]",""),IF('Luisa'!$B$6:$B$300=$A240,"Luisa"&amp;IF('Luisa'!$E$6:$E$300="",""," : "&amp;'Luisa'!$E$6:$E$300)&amp;" ["&amp;'Luisa'!$F$6:$F$300&amp;"]",""),IF('Lui'!$B$6:$B$300=$A240,"Lui"&amp;IF('Lui'!$E$6:$E$300="",""," : "&amp;'Lui'!$E$6:$E$300)&amp;" ["&amp;'Lui'!$F$6:$F$300&amp;"]",""),IF('Thaís'!$B$6:$B$300=$A240,"Thaís"&amp;IF('Thaís'!$E$6:$E$300="",""," : "&amp;'Thaís'!$E$6:$E$300)&amp;" ["&amp;'Thaís'!$F$6:$F$300&amp;"]",""),IF('Daniel'!$B$6:$B$300=$A240,"Daniel"&amp;IF('Daniel'!$E$6:$E$300="",""," : "&amp;'Daniel'!$E$6:$E$300)&amp;" ["&amp;'Daniel'!$F$6:$F$300&amp;"]",""),IF('Fernando'!$B$6:$B$300=$A240,"Fernando"&amp;IF('Fernando'!$E$6:$E$300="",""," : "&amp;'Fernando'!$E$6:$E$300)&amp;" ["&amp;'Fernando'!$F$6:$F$300&amp;"]",""),IF('Stephanie'!$B$6:$B$300=$A240,"Stephanie"&amp;IF('Stephanie'!$E$6:$E$300="",""," : "&amp;'Stephanie'!$E$6:$E$300)&amp;" ["&amp;'Stephanie'!$F$6:$F$300&amp;"]",""),IF('Fox'!$B$6:$B$300=$A240,"Fox"&amp;IF('Fox'!$E$6:$E$300="",""," : "&amp;'Fox'!$E$6:$E$300)&amp;" ["&amp;'Fox'!$F$6:$F$300&amp;"]",""),IF('Bruna'!$B$6:$B$300=$A240,"Bruna"&amp;IF('Bruna'!$E$6:$E$300="",""," : "&amp;'Bruna'!$E$6:$E$300)&amp;" ["&amp;'Bruna'!$F$6:$F$300&amp;"]",""),IF('Stella'!$B$6:$B$300=$A240,"Stella"&amp;IF('Stella'!$E$6:$E$300="",""," : "&amp;'Stella'!$E$6:$E$300)&amp;" ["&amp;'Stella'!$F$6:$F$300&amp;"]",""),IF('Igor'!$B$6:$B$300=$A240,"Igor"&amp;IF('Igor'!$E$6:$E$300="",""," : "&amp;'Igor'!$E$6:$E$300)&amp;" ["&amp;'Igor'!$F$6:$F$300&amp;"]","")))</f>
        <v/>
      </c>
    </row>
    <row r="241" ht="28" customHeight="1">
      <c r="A241" s="13" t="inlineStr">
        <is>
          <t>P3-013</t>
        </is>
      </c>
      <c r="B241" s="14" t="inlineStr">
        <is>
          <t>Etapa 2: Construção das métricas | Atividade 7: Operacionalização das métricas</t>
        </is>
      </c>
      <c r="C241" s="14" t="inlineStr">
        <is>
          <t>Relatório operacionalização das métricas (produto 3)</t>
        </is>
      </c>
      <c r="D241" s="14" t="inlineStr">
        <is>
          <t>GR3</t>
        </is>
      </c>
      <c r="E241" s="15" t="inlineStr">
        <is>
          <t>Revisão do texto da unidade</t>
        </is>
      </c>
      <c r="F241" s="13" t="inlineStr">
        <is>
          <t>Daniel</t>
        </is>
      </c>
      <c r="G241" s="16">
        <f>IF($A241="","",_xlfn.TEXTJOIN("; ",TRUE,IF(COUNTIF('Clarice'!$B$6:$B$300,$A241)&gt;0,"Clarice",""),IF(COUNTIF('Luisa'!$B$6:$B$300,$A241)&gt;0,"Luisa",""),IF(COUNTIF('Lui'!$B$6:$B$300,$A241)&gt;0,"Lui",""),IF(COUNTIF('Thaís'!$B$6:$B$300,$A241)&gt;0,"Thaís",""),IF(COUNTIF('Daniel'!$B$6:$B$300,$A241)&gt;0,"Daniel",""),IF(COUNTIF('Fernando'!$B$6:$B$300,$A241)&gt;0,"Fernando",""),IF(COUNTIF('Stephanie'!$B$6:$B$300,$A241)&gt;0,"Stephanie",""),IF(COUNTIF('Fox'!$B$6:$B$300,$A241)&gt;0,"Fox",""),IF(COUNTIF('Bruna'!$B$6:$B$300,$A241)&gt;0,"Bruna",""),IF(COUNTIF('Stella'!$B$6:$B$300,$A241)&gt;0,"Stella",""),IF(COUNTIF('Igor'!$B$6:$B$300,$A241)&gt;0,"Igor","")))</f>
        <v/>
      </c>
      <c r="H241" s="13" t="n"/>
      <c r="I241" s="13" t="inlineStr">
        <is>
          <t>Não iniciado</t>
        </is>
      </c>
      <c r="J241" s="17">
        <f>IF(OR($A241="",(COUNTIF('Clarice'!$B$6:$B$300,$A241)+COUNTIF('Luisa'!$B$6:$B$300,$A241)+COUNTIF('Lui'!$B$6:$B$300,$A241)+COUNTIF('Thaís'!$B$6:$B$300,$A241)+COUNTIF('Daniel'!$B$6:$B$300,$A241)+COUNTIF('Fernando'!$B$6:$B$300,$A241)+COUNTIF('Stephanie'!$B$6:$B$300,$A241)+COUNTIF('Fox'!$B$6:$B$300,$A241)+COUNTIF('Bruna'!$B$6:$B$300,$A241)+COUNTIF('Stella'!$B$6:$B$300,$A241)+COUNTIF('Igor'!$B$6:$B$300,$A241))=0),"",(COUNTIFS('Clarice'!$B$6:$B$300,$A241,'Clarice'!$F$6:$F$300,"Concluído")+COUNTIFS('Luisa'!$B$6:$B$300,$A241,'Luisa'!$F$6:$F$300,"Concluído")+COUNTIFS('Lui'!$B$6:$B$300,$A241,'Lui'!$F$6:$F$300,"Concluído")+COUNTIFS('Thaís'!$B$6:$B$300,$A241,'Thaís'!$F$6:$F$300,"Concluído")+COUNTIFS('Daniel'!$B$6:$B$300,$A241,'Daniel'!$F$6:$F$300,"Concluído")+COUNTIFS('Fernando'!$B$6:$B$300,$A241,'Fernando'!$F$6:$F$300,"Concluído")+COUNTIFS('Stephanie'!$B$6:$B$300,$A241,'Stephanie'!$F$6:$F$300,"Concluído")+COUNTIFS('Fox'!$B$6:$B$300,$A241,'Fox'!$F$6:$F$300,"Concluído")+COUNTIFS('Bruna'!$B$6:$B$300,$A241,'Bruna'!$F$6:$F$300,"Concluído")+COUNTIFS('Stella'!$B$6:$B$300,$A241,'Stella'!$F$6:$F$300,"Concluído")+COUNTIFS('Igor'!$B$6:$B$300,$A241,'Igor'!$F$6:$F$300,"Concluído"))&amp;" / "&amp;(COUNTIF('Clarice'!$B$6:$B$300,$A241)+COUNTIF('Luisa'!$B$6:$B$300,$A241)+COUNTIF('Lui'!$B$6:$B$300,$A241)+COUNTIF('Thaís'!$B$6:$B$300,$A241)+COUNTIF('Daniel'!$B$6:$B$300,$A241)+COUNTIF('Fernando'!$B$6:$B$300,$A241)+COUNTIF('Stephanie'!$B$6:$B$300,$A241)+COUNTIF('Fox'!$B$6:$B$300,$A241)+COUNTIF('Bruna'!$B$6:$B$300,$A241)+COUNTIF('Stella'!$B$6:$B$300,$A241)+COUNTIF('Igor'!$B$6:$B$300,$A241)))</f>
        <v/>
      </c>
      <c r="K241" s="19" t="n"/>
      <c r="L241" s="19" t="n"/>
      <c r="M241" s="19" t="n"/>
      <c r="N241" s="19" t="n"/>
      <c r="O241" s="19" t="n"/>
      <c r="P241" s="20">
        <f>IF($A241="","",IF(M241&lt;&gt;"",M241,IF(K241&lt;&gt;"",K241,"")))</f>
        <v/>
      </c>
      <c r="Q241" s="20">
        <f>IF($A241="","",IF(N241&lt;&gt;"",N241,IF(L241&lt;&gt;"",L241,"")))</f>
        <v/>
      </c>
      <c r="R241" s="15" t="n"/>
      <c r="S241" s="16">
        <f t="array" ref="S241">IF($A241="","",_xlfn.TEXTJOIN(CHAR(10),TRUE,IF('Clarice'!$B$6:$B$300=$A241,"Clarice"&amp;IF('Clarice'!$E$6:$E$300="",""," : "&amp;'Clarice'!$E$6:$E$300)&amp;" ["&amp;'Clarice'!$F$6:$F$300&amp;"]",""),IF('Luisa'!$B$6:$B$300=$A241,"Luisa"&amp;IF('Luisa'!$E$6:$E$300="",""," : "&amp;'Luisa'!$E$6:$E$300)&amp;" ["&amp;'Luisa'!$F$6:$F$300&amp;"]",""),IF('Lui'!$B$6:$B$300=$A241,"Lui"&amp;IF('Lui'!$E$6:$E$300="",""," : "&amp;'Lui'!$E$6:$E$300)&amp;" ["&amp;'Lui'!$F$6:$F$300&amp;"]",""),IF('Thaís'!$B$6:$B$300=$A241,"Thaís"&amp;IF('Thaís'!$E$6:$E$300="",""," : "&amp;'Thaís'!$E$6:$E$300)&amp;" ["&amp;'Thaís'!$F$6:$F$300&amp;"]",""),IF('Daniel'!$B$6:$B$300=$A241,"Daniel"&amp;IF('Daniel'!$E$6:$E$300="",""," : "&amp;'Daniel'!$E$6:$E$300)&amp;" ["&amp;'Daniel'!$F$6:$F$300&amp;"]",""),IF('Fernando'!$B$6:$B$300=$A241,"Fernando"&amp;IF('Fernando'!$E$6:$E$300="",""," : "&amp;'Fernando'!$E$6:$E$300)&amp;" ["&amp;'Fernando'!$F$6:$F$300&amp;"]",""),IF('Stephanie'!$B$6:$B$300=$A241,"Stephanie"&amp;IF('Stephanie'!$E$6:$E$300="",""," : "&amp;'Stephanie'!$E$6:$E$300)&amp;" ["&amp;'Stephanie'!$F$6:$F$300&amp;"]",""),IF('Fox'!$B$6:$B$300=$A241,"Fox"&amp;IF('Fox'!$E$6:$E$300="",""," : "&amp;'Fox'!$E$6:$E$300)&amp;" ["&amp;'Fox'!$F$6:$F$300&amp;"]",""),IF('Bruna'!$B$6:$B$300=$A241,"Bruna"&amp;IF('Bruna'!$E$6:$E$300="",""," : "&amp;'Bruna'!$E$6:$E$300)&amp;" ["&amp;'Bruna'!$F$6:$F$300&amp;"]",""),IF('Stella'!$B$6:$B$300=$A241,"Stella"&amp;IF('Stella'!$E$6:$E$300="",""," : "&amp;'Stella'!$E$6:$E$300)&amp;" ["&amp;'Stella'!$F$6:$F$300&amp;"]",""),IF('Igor'!$B$6:$B$300=$A241,"Igor"&amp;IF('Igor'!$E$6:$E$300="",""," : "&amp;'Igor'!$E$6:$E$300)&amp;" ["&amp;'Igor'!$F$6:$F$300&amp;"]","")))</f>
        <v/>
      </c>
    </row>
    <row r="242">
      <c r="A242" s="21" t="n"/>
      <c r="B242" s="21" t="inlineStr">
        <is>
          <t>Etapa 2: Construção das métricas | Atividade 7: Operacionalização das métricas</t>
        </is>
      </c>
      <c r="C242" s="21" t="inlineStr">
        <is>
          <t>Relatório operacionalização das métricas (produto 3)</t>
        </is>
      </c>
      <c r="D242" s="21" t="inlineStr">
        <is>
          <t>Finalização do produto 3</t>
        </is>
      </c>
      <c r="E242" s="21" t="inlineStr">
        <is>
          <t>Finalização do produto 3</t>
        </is>
      </c>
      <c r="F242" s="21" t="inlineStr">
        <is>
          <t>Stephanie</t>
        </is>
      </c>
      <c r="G242" s="21">
        <f>IF($A242="","",_xlfn.TEXTJOIN("; ",TRUE,IF(COUNTIF('Clarice'!$B$6:$B$300,$A242)&gt;0,"Clarice",""),IF(COUNTIF('Luisa'!$B$6:$B$300,$A242)&gt;0,"Luisa",""),IF(COUNTIF('Lui'!$B$6:$B$300,$A242)&gt;0,"Lui",""),IF(COUNTIF('Thaís'!$B$6:$B$300,$A242)&gt;0,"Thaís",""),IF(COUNTIF('Daniel'!$B$6:$B$300,$A242)&gt;0,"Daniel",""),IF(COUNTIF('Fernando'!$B$6:$B$300,$A242)&gt;0,"Fernando",""),IF(COUNTIF('Stephanie'!$B$6:$B$300,$A242)&gt;0,"Stephanie",""),IF(COUNTIF('Fox'!$B$6:$B$300,$A242)&gt;0,"Fox",""),IF(COUNTIF('Bruna'!$B$6:$B$300,$A242)&gt;0,"Bruna",""),IF(COUNTIF('Stella'!$B$6:$B$300,$A242)&gt;0,"Stella",""),IF(COUNTIF('Igor'!$B$6:$B$300,$A242)&gt;0,"Igor","")))</f>
        <v/>
      </c>
      <c r="H242" s="21" t="n"/>
      <c r="I242" s="21" t="n"/>
      <c r="J242" s="21">
        <f>IF(OR($A242="",(COUNTIF('Clarice'!$B$6:$B$300,$A242)+COUNTIF('Luisa'!$B$6:$B$300,$A242)+COUNTIF('Lui'!$B$6:$B$300,$A242)+COUNTIF('Thaís'!$B$6:$B$300,$A242)+COUNTIF('Daniel'!$B$6:$B$300,$A242)+COUNTIF('Fernando'!$B$6:$B$300,$A242)+COUNTIF('Stephanie'!$B$6:$B$300,$A242)+COUNTIF('Fox'!$B$6:$B$300,$A242)+COUNTIF('Bruna'!$B$6:$B$300,$A242)+COUNTIF('Stella'!$B$6:$B$300,$A242)+COUNTIF('Igor'!$B$6:$B$300,$A242))=0),"",(COUNTIFS('Clarice'!$B$6:$B$300,$A242,'Clarice'!$F$6:$F$300,"Concluído")+COUNTIFS('Luisa'!$B$6:$B$300,$A242,'Luisa'!$F$6:$F$300,"Concluído")+COUNTIFS('Lui'!$B$6:$B$300,$A242,'Lui'!$F$6:$F$300,"Concluído")+COUNTIFS('Thaís'!$B$6:$B$300,$A242,'Thaís'!$F$6:$F$300,"Concluído")+COUNTIFS('Daniel'!$B$6:$B$300,$A242,'Daniel'!$F$6:$F$300,"Concluído")+COUNTIFS('Fernando'!$B$6:$B$300,$A242,'Fernando'!$F$6:$F$300,"Concluído")+COUNTIFS('Stephanie'!$B$6:$B$300,$A242,'Stephanie'!$F$6:$F$300,"Concluído")+COUNTIFS('Fox'!$B$6:$B$300,$A242,'Fox'!$F$6:$F$300,"Concluído")+COUNTIFS('Bruna'!$B$6:$B$300,$A242,'Bruna'!$F$6:$F$300,"Concluído")+COUNTIFS('Stella'!$B$6:$B$300,$A242,'Stella'!$F$6:$F$300,"Concluído")+COUNTIFS('Igor'!$B$6:$B$300,$A242,'Igor'!$F$6:$F$300,"Concluído"))&amp;" / "&amp;(COUNTIF('Clarice'!$B$6:$B$300,$A242)+COUNTIF('Luisa'!$B$6:$B$300,$A242)+COUNTIF('Lui'!$B$6:$B$300,$A242)+COUNTIF('Thaís'!$B$6:$B$300,$A242)+COUNTIF('Daniel'!$B$6:$B$300,$A242)+COUNTIF('Fernando'!$B$6:$B$300,$A242)+COUNTIF('Stephanie'!$B$6:$B$300,$A242)+COUNTIF('Fox'!$B$6:$B$300,$A242)+COUNTIF('Bruna'!$B$6:$B$300,$A242)+COUNTIF('Stella'!$B$6:$B$300,$A242)+COUNTIF('Igor'!$B$6:$B$300,$A242)))</f>
        <v/>
      </c>
      <c r="K242" s="21" t="n"/>
      <c r="L242" s="21" t="n"/>
      <c r="M242" s="21" t="n"/>
      <c r="N242" s="21" t="n"/>
      <c r="O242" s="21" t="n"/>
      <c r="P242" s="22">
        <f>IF($A242="","",IF(M242&lt;&gt;"",M242,IF(K242&lt;&gt;"",K242,"")))</f>
        <v/>
      </c>
      <c r="Q242" s="22">
        <f>IF($A242="","",IF(N242&lt;&gt;"",N242,IF(L242&lt;&gt;"",L242,"")))</f>
        <v/>
      </c>
      <c r="R242" s="21" t="n"/>
      <c r="S242" s="21">
        <f t="array" ref="S242">IF($A242="","",_xlfn.TEXTJOIN(CHAR(10),TRUE,IF('Clarice'!$B$6:$B$300=$A242,"Clarice"&amp;IF('Clarice'!$E$6:$E$300="",""," : "&amp;'Clarice'!$E$6:$E$300)&amp;" ["&amp;'Clarice'!$F$6:$F$300&amp;"]",""),IF('Luisa'!$B$6:$B$300=$A242,"Luisa"&amp;IF('Luisa'!$E$6:$E$300="",""," : "&amp;'Luisa'!$E$6:$E$300)&amp;" ["&amp;'Luisa'!$F$6:$F$300&amp;"]",""),IF('Lui'!$B$6:$B$300=$A242,"Lui"&amp;IF('Lui'!$E$6:$E$300="",""," : "&amp;'Lui'!$E$6:$E$300)&amp;" ["&amp;'Lui'!$F$6:$F$300&amp;"]",""),IF('Thaís'!$B$6:$B$300=$A242,"Thaís"&amp;IF('Thaís'!$E$6:$E$300="",""," : "&amp;'Thaís'!$E$6:$E$300)&amp;" ["&amp;'Thaís'!$F$6:$F$300&amp;"]",""),IF('Daniel'!$B$6:$B$300=$A242,"Daniel"&amp;IF('Daniel'!$E$6:$E$300="",""," : "&amp;'Daniel'!$E$6:$E$300)&amp;" ["&amp;'Daniel'!$F$6:$F$300&amp;"]",""),IF('Fernando'!$B$6:$B$300=$A242,"Fernando"&amp;IF('Fernando'!$E$6:$E$300="",""," : "&amp;'Fernando'!$E$6:$E$300)&amp;" ["&amp;'Fernando'!$F$6:$F$300&amp;"]",""),IF('Stephanie'!$B$6:$B$300=$A242,"Stephanie"&amp;IF('Stephanie'!$E$6:$E$300="",""," : "&amp;'Stephanie'!$E$6:$E$300)&amp;" ["&amp;'Stephanie'!$F$6:$F$300&amp;"]",""),IF('Fox'!$B$6:$B$300=$A242,"Fox"&amp;IF('Fox'!$E$6:$E$300="",""," : "&amp;'Fox'!$E$6:$E$300)&amp;" ["&amp;'Fox'!$F$6:$F$300&amp;"]",""),IF('Bruna'!$B$6:$B$300=$A242,"Bruna"&amp;IF('Bruna'!$E$6:$E$300="",""," : "&amp;'Bruna'!$E$6:$E$300)&amp;" ["&amp;'Bruna'!$F$6:$F$300&amp;"]",""),IF('Stella'!$B$6:$B$300=$A242,"Stella"&amp;IF('Stella'!$E$6:$E$300="",""," : "&amp;'Stella'!$E$6:$E$300)&amp;" ["&amp;'Stella'!$F$6:$F$300&amp;"]",""),IF('Igor'!$B$6:$B$300=$A242,"Igor"&amp;IF('Igor'!$E$6:$E$300="",""," : "&amp;'Igor'!$E$6:$E$300)&amp;" ["&amp;'Igor'!$F$6:$F$300&amp;"]","")))</f>
        <v/>
      </c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  <c r="BF242" s="21" t="n"/>
      <c r="BG242" s="21" t="n"/>
      <c r="BH242" s="21" t="n"/>
      <c r="BI242" s="21" t="n"/>
    </row>
    <row r="243" ht="28" customHeight="1">
      <c r="A243" s="13" t="inlineStr">
        <is>
          <t>P3-014</t>
        </is>
      </c>
      <c r="B243" s="14" t="inlineStr">
        <is>
          <t>Etapa 2: Construção das métricas | Atividade 7: Operacionalização das métricas</t>
        </is>
      </c>
      <c r="C243" s="14" t="inlineStr">
        <is>
          <t>Relatório operacionalização das métricas (produto 3)</t>
        </is>
      </c>
      <c r="D243" s="14" t="inlineStr">
        <is>
          <t>Finalização do produto 3</t>
        </is>
      </c>
      <c r="E243" s="15" t="inlineStr">
        <is>
          <t>Revisar o texto de todo o relatório</t>
        </is>
      </c>
      <c r="F243" s="13" t="inlineStr">
        <is>
          <t>Stephanie</t>
        </is>
      </c>
      <c r="G243" s="16">
        <f>IF($A243="","",_xlfn.TEXTJOIN("; ",TRUE,IF(COUNTIF('Clarice'!$B$6:$B$300,$A243)&gt;0,"Clarice",""),IF(COUNTIF('Luisa'!$B$6:$B$300,$A243)&gt;0,"Luisa",""),IF(COUNTIF('Lui'!$B$6:$B$300,$A243)&gt;0,"Lui",""),IF(COUNTIF('Thaís'!$B$6:$B$300,$A243)&gt;0,"Thaís",""),IF(COUNTIF('Daniel'!$B$6:$B$300,$A243)&gt;0,"Daniel",""),IF(COUNTIF('Fernando'!$B$6:$B$300,$A243)&gt;0,"Fernando",""),IF(COUNTIF('Stephanie'!$B$6:$B$300,$A243)&gt;0,"Stephanie",""),IF(COUNTIF('Fox'!$B$6:$B$300,$A243)&gt;0,"Fox",""),IF(COUNTIF('Bruna'!$B$6:$B$300,$A243)&gt;0,"Bruna",""),IF(COUNTIF('Stella'!$B$6:$B$300,$A243)&gt;0,"Stella",""),IF(COUNTIF('Igor'!$B$6:$B$300,$A243)&gt;0,"Igor","")))</f>
        <v/>
      </c>
      <c r="H243" s="13" t="n"/>
      <c r="I243" s="13" t="inlineStr">
        <is>
          <t>Concluído</t>
        </is>
      </c>
      <c r="J243" s="17">
        <f>IF(OR($A243="",(COUNTIF('Clarice'!$B$6:$B$300,$A243)+COUNTIF('Luisa'!$B$6:$B$300,$A243)+COUNTIF('Lui'!$B$6:$B$300,$A243)+COUNTIF('Thaís'!$B$6:$B$300,$A243)+COUNTIF('Daniel'!$B$6:$B$300,$A243)+COUNTIF('Fernando'!$B$6:$B$300,$A243)+COUNTIF('Stephanie'!$B$6:$B$300,$A243)+COUNTIF('Fox'!$B$6:$B$300,$A243)+COUNTIF('Bruna'!$B$6:$B$300,$A243)+COUNTIF('Stella'!$B$6:$B$300,$A243)+COUNTIF('Igor'!$B$6:$B$300,$A243))=0),"",(COUNTIFS('Clarice'!$B$6:$B$300,$A243,'Clarice'!$F$6:$F$300,"Concluído")+COUNTIFS('Luisa'!$B$6:$B$300,$A243,'Luisa'!$F$6:$F$300,"Concluído")+COUNTIFS('Lui'!$B$6:$B$300,$A243,'Lui'!$F$6:$F$300,"Concluído")+COUNTIFS('Thaís'!$B$6:$B$300,$A243,'Thaís'!$F$6:$F$300,"Concluído")+COUNTIFS('Daniel'!$B$6:$B$300,$A243,'Daniel'!$F$6:$F$300,"Concluído")+COUNTIFS('Fernando'!$B$6:$B$300,$A243,'Fernando'!$F$6:$F$300,"Concluído")+COUNTIFS('Stephanie'!$B$6:$B$300,$A243,'Stephanie'!$F$6:$F$300,"Concluído")+COUNTIFS('Fox'!$B$6:$B$300,$A243,'Fox'!$F$6:$F$300,"Concluído")+COUNTIFS('Bruna'!$B$6:$B$300,$A243,'Bruna'!$F$6:$F$300,"Concluído")+COUNTIFS('Stella'!$B$6:$B$300,$A243,'Stella'!$F$6:$F$300,"Concluído")+COUNTIFS('Igor'!$B$6:$B$300,$A243,'Igor'!$F$6:$F$300,"Concluído"))&amp;" / "&amp;(COUNTIF('Clarice'!$B$6:$B$300,$A243)+COUNTIF('Luisa'!$B$6:$B$300,$A243)+COUNTIF('Lui'!$B$6:$B$300,$A243)+COUNTIF('Thaís'!$B$6:$B$300,$A243)+COUNTIF('Daniel'!$B$6:$B$300,$A243)+COUNTIF('Fernando'!$B$6:$B$300,$A243)+COUNTIF('Stephanie'!$B$6:$B$300,$A243)+COUNTIF('Fox'!$B$6:$B$300,$A243)+COUNTIF('Bruna'!$B$6:$B$300,$A243)+COUNTIF('Stella'!$B$6:$B$300,$A243)+COUNTIF('Igor'!$B$6:$B$300,$A243)))</f>
        <v/>
      </c>
      <c r="K243" s="18" t="n">
        <v>46153</v>
      </c>
      <c r="L243" s="18" t="n">
        <v>46171</v>
      </c>
      <c r="M243" s="19" t="n"/>
      <c r="N243" s="19" t="n"/>
      <c r="O243" s="19" t="n"/>
      <c r="P243" s="20">
        <f>IF($A243="","",IF(M243&lt;&gt;"",M243,IF(K243&lt;&gt;"",K243,"")))</f>
        <v/>
      </c>
      <c r="Q243" s="20">
        <f>IF($A243="","",IF(N243&lt;&gt;"",N243,IF(L243&lt;&gt;"",L243,"")))</f>
        <v/>
      </c>
      <c r="R243" s="15" t="n"/>
      <c r="S243" s="16">
        <f t="array" ref="S243">IF($A243="","",_xlfn.TEXTJOIN(CHAR(10),TRUE,IF('Clarice'!$B$6:$B$300=$A243,"Clarice"&amp;IF('Clarice'!$E$6:$E$300="",""," : "&amp;'Clarice'!$E$6:$E$300)&amp;" ["&amp;'Clarice'!$F$6:$F$300&amp;"]",""),IF('Luisa'!$B$6:$B$300=$A243,"Luisa"&amp;IF('Luisa'!$E$6:$E$300="",""," : "&amp;'Luisa'!$E$6:$E$300)&amp;" ["&amp;'Luisa'!$F$6:$F$300&amp;"]",""),IF('Lui'!$B$6:$B$300=$A243,"Lui"&amp;IF('Lui'!$E$6:$E$300="",""," : "&amp;'Lui'!$E$6:$E$300)&amp;" ["&amp;'Lui'!$F$6:$F$300&amp;"]",""),IF('Thaís'!$B$6:$B$300=$A243,"Thaís"&amp;IF('Thaís'!$E$6:$E$300="",""," : "&amp;'Thaís'!$E$6:$E$300)&amp;" ["&amp;'Thaís'!$F$6:$F$300&amp;"]",""),IF('Daniel'!$B$6:$B$300=$A243,"Daniel"&amp;IF('Daniel'!$E$6:$E$300="",""," : "&amp;'Daniel'!$E$6:$E$300)&amp;" ["&amp;'Daniel'!$F$6:$F$300&amp;"]",""),IF('Fernando'!$B$6:$B$300=$A243,"Fernando"&amp;IF('Fernando'!$E$6:$E$300="",""," : "&amp;'Fernando'!$E$6:$E$300)&amp;" ["&amp;'Fernando'!$F$6:$F$300&amp;"]",""),IF('Stephanie'!$B$6:$B$300=$A243,"Stephanie"&amp;IF('Stephanie'!$E$6:$E$300="",""," : "&amp;'Stephanie'!$E$6:$E$300)&amp;" ["&amp;'Stephanie'!$F$6:$F$300&amp;"]",""),IF('Fox'!$B$6:$B$300=$A243,"Fox"&amp;IF('Fox'!$E$6:$E$300="",""," : "&amp;'Fox'!$E$6:$E$300)&amp;" ["&amp;'Fox'!$F$6:$F$300&amp;"]",""),IF('Bruna'!$B$6:$B$300=$A243,"Bruna"&amp;IF('Bruna'!$E$6:$E$300="",""," : "&amp;'Bruna'!$E$6:$E$300)&amp;" ["&amp;'Bruna'!$F$6:$F$300&amp;"]",""),IF('Stella'!$B$6:$B$300=$A243,"Stella"&amp;IF('Stella'!$E$6:$E$300="",""," : "&amp;'Stella'!$E$6:$E$300)&amp;" ["&amp;'Stella'!$F$6:$F$300&amp;"]",""),IF('Igor'!$B$6:$B$300=$A243,"Igor"&amp;IF('Igor'!$E$6:$E$300="",""," : "&amp;'Igor'!$E$6:$E$300)&amp;" ["&amp;'Igor'!$F$6:$F$300&amp;"]","")))</f>
        <v/>
      </c>
    </row>
    <row r="244" ht="28" customHeight="1">
      <c r="A244" s="13" t="inlineStr">
        <is>
          <t>P3-015</t>
        </is>
      </c>
      <c r="B244" s="14" t="inlineStr">
        <is>
          <t>Etapa 2: Construção das métricas | Atividade 7: Operacionalização das métricas</t>
        </is>
      </c>
      <c r="C244" s="14" t="inlineStr">
        <is>
          <t>Relatório operacionalização das métricas (produto 3)</t>
        </is>
      </c>
      <c r="D244" s="14" t="inlineStr">
        <is>
          <t>Finalização do produto 3</t>
        </is>
      </c>
      <c r="E244" s="15" t="inlineStr">
        <is>
          <t>Incluir os dados do GR3</t>
        </is>
      </c>
      <c r="F244" s="13" t="inlineStr">
        <is>
          <t>Stephanie</t>
        </is>
      </c>
      <c r="G244" s="16">
        <f>IF($A244="","",_xlfn.TEXTJOIN("; ",TRUE,IF(COUNTIF('Clarice'!$B$6:$B$300,$A244)&gt;0,"Clarice",""),IF(COUNTIF('Luisa'!$B$6:$B$300,$A244)&gt;0,"Luisa",""),IF(COUNTIF('Lui'!$B$6:$B$300,$A244)&gt;0,"Lui",""),IF(COUNTIF('Thaís'!$B$6:$B$300,$A244)&gt;0,"Thaís",""),IF(COUNTIF('Daniel'!$B$6:$B$300,$A244)&gt;0,"Daniel",""),IF(COUNTIF('Fernando'!$B$6:$B$300,$A244)&gt;0,"Fernando",""),IF(COUNTIF('Stephanie'!$B$6:$B$300,$A244)&gt;0,"Stephanie",""),IF(COUNTIF('Fox'!$B$6:$B$300,$A244)&gt;0,"Fox",""),IF(COUNTIF('Bruna'!$B$6:$B$300,$A244)&gt;0,"Bruna",""),IF(COUNTIF('Stella'!$B$6:$B$300,$A244)&gt;0,"Stella",""),IF(COUNTIF('Igor'!$B$6:$B$300,$A244)&gt;0,"Igor","")))</f>
        <v/>
      </c>
      <c r="H244" s="13" t="n"/>
      <c r="I244" s="13" t="inlineStr">
        <is>
          <t>Em andamento</t>
        </is>
      </c>
      <c r="J244" s="17">
        <f>IF(OR($A244="",(COUNTIF('Clarice'!$B$6:$B$300,$A244)+COUNTIF('Luisa'!$B$6:$B$300,$A244)+COUNTIF('Lui'!$B$6:$B$300,$A244)+COUNTIF('Thaís'!$B$6:$B$300,$A244)+COUNTIF('Daniel'!$B$6:$B$300,$A244)+COUNTIF('Fernando'!$B$6:$B$300,$A244)+COUNTIF('Stephanie'!$B$6:$B$300,$A244)+COUNTIF('Fox'!$B$6:$B$300,$A244)+COUNTIF('Bruna'!$B$6:$B$300,$A244)+COUNTIF('Stella'!$B$6:$B$300,$A244)+COUNTIF('Igor'!$B$6:$B$300,$A244))=0),"",(COUNTIFS('Clarice'!$B$6:$B$300,$A244,'Clarice'!$F$6:$F$300,"Concluído")+COUNTIFS('Luisa'!$B$6:$B$300,$A244,'Luisa'!$F$6:$F$300,"Concluído")+COUNTIFS('Lui'!$B$6:$B$300,$A244,'Lui'!$F$6:$F$300,"Concluído")+COUNTIFS('Thaís'!$B$6:$B$300,$A244,'Thaís'!$F$6:$F$300,"Concluído")+COUNTIFS('Daniel'!$B$6:$B$300,$A244,'Daniel'!$F$6:$F$300,"Concluído")+COUNTIFS('Fernando'!$B$6:$B$300,$A244,'Fernando'!$F$6:$F$300,"Concluído")+COUNTIFS('Stephanie'!$B$6:$B$300,$A244,'Stephanie'!$F$6:$F$300,"Concluído")+COUNTIFS('Fox'!$B$6:$B$300,$A244,'Fox'!$F$6:$F$300,"Concluído")+COUNTIFS('Bruna'!$B$6:$B$300,$A244,'Bruna'!$F$6:$F$300,"Concluído")+COUNTIFS('Stella'!$B$6:$B$300,$A244,'Stella'!$F$6:$F$300,"Concluído")+COUNTIFS('Igor'!$B$6:$B$300,$A244,'Igor'!$F$6:$F$300,"Concluído"))&amp;" / "&amp;(COUNTIF('Clarice'!$B$6:$B$300,$A244)+COUNTIF('Luisa'!$B$6:$B$300,$A244)+COUNTIF('Lui'!$B$6:$B$300,$A244)+COUNTIF('Thaís'!$B$6:$B$300,$A244)+COUNTIF('Daniel'!$B$6:$B$300,$A244)+COUNTIF('Fernando'!$B$6:$B$300,$A244)+COUNTIF('Stephanie'!$B$6:$B$300,$A244)+COUNTIF('Fox'!$B$6:$B$300,$A244)+COUNTIF('Bruna'!$B$6:$B$300,$A244)+COUNTIF('Stella'!$B$6:$B$300,$A244)+COUNTIF('Igor'!$B$6:$B$300,$A244)))</f>
        <v/>
      </c>
      <c r="K244" s="19" t="n"/>
      <c r="L244" s="19" t="n"/>
      <c r="M244" s="18" t="n">
        <v>46204</v>
      </c>
      <c r="N244" s="18" t="n">
        <v>46206</v>
      </c>
      <c r="O244" s="19" t="n"/>
      <c r="P244" s="20">
        <f>IF($A244="","",IF(M244&lt;&gt;"",M244,IF(K244&lt;&gt;"",K244,"")))</f>
        <v/>
      </c>
      <c r="Q244" s="20">
        <f>IF($A244="","",IF(N244&lt;&gt;"",N244,IF(L244&lt;&gt;"",L244,"")))</f>
        <v/>
      </c>
      <c r="R244" s="15" t="n"/>
      <c r="S244" s="16">
        <f t="array" ref="S244">IF($A244="","",_xlfn.TEXTJOIN(CHAR(10),TRUE,IF('Clarice'!$B$6:$B$300=$A244,"Clarice"&amp;IF('Clarice'!$E$6:$E$300="",""," : "&amp;'Clarice'!$E$6:$E$300)&amp;" ["&amp;'Clarice'!$F$6:$F$300&amp;"]",""),IF('Luisa'!$B$6:$B$300=$A244,"Luisa"&amp;IF('Luisa'!$E$6:$E$300="",""," : "&amp;'Luisa'!$E$6:$E$300)&amp;" ["&amp;'Luisa'!$F$6:$F$300&amp;"]",""),IF('Lui'!$B$6:$B$300=$A244,"Lui"&amp;IF('Lui'!$E$6:$E$300="",""," : "&amp;'Lui'!$E$6:$E$300)&amp;" ["&amp;'Lui'!$F$6:$F$300&amp;"]",""),IF('Thaís'!$B$6:$B$300=$A244,"Thaís"&amp;IF('Thaís'!$E$6:$E$300="",""," : "&amp;'Thaís'!$E$6:$E$300)&amp;" ["&amp;'Thaís'!$F$6:$F$300&amp;"]",""),IF('Daniel'!$B$6:$B$300=$A244,"Daniel"&amp;IF('Daniel'!$E$6:$E$300="",""," : "&amp;'Daniel'!$E$6:$E$300)&amp;" ["&amp;'Daniel'!$F$6:$F$300&amp;"]",""),IF('Fernando'!$B$6:$B$300=$A244,"Fernando"&amp;IF('Fernando'!$E$6:$E$300="",""," : "&amp;'Fernando'!$E$6:$E$300)&amp;" ["&amp;'Fernando'!$F$6:$F$300&amp;"]",""),IF('Stephanie'!$B$6:$B$300=$A244,"Stephanie"&amp;IF('Stephanie'!$E$6:$E$300="",""," : "&amp;'Stephanie'!$E$6:$E$300)&amp;" ["&amp;'Stephanie'!$F$6:$F$300&amp;"]",""),IF('Fox'!$B$6:$B$300=$A244,"Fox"&amp;IF('Fox'!$E$6:$E$300="",""," : "&amp;'Fox'!$E$6:$E$300)&amp;" ["&amp;'Fox'!$F$6:$F$300&amp;"]",""),IF('Bruna'!$B$6:$B$300=$A244,"Bruna"&amp;IF('Bruna'!$E$6:$E$300="",""," : "&amp;'Bruna'!$E$6:$E$300)&amp;" ["&amp;'Bruna'!$F$6:$F$300&amp;"]",""),IF('Stella'!$B$6:$B$300=$A244,"Stella"&amp;IF('Stella'!$E$6:$E$300="",""," : "&amp;'Stella'!$E$6:$E$300)&amp;" ["&amp;'Stella'!$F$6:$F$300&amp;"]",""),IF('Igor'!$B$6:$B$300=$A244,"Igor"&amp;IF('Igor'!$E$6:$E$300="",""," : "&amp;'Igor'!$E$6:$E$300)&amp;" ["&amp;'Igor'!$F$6:$F$300&amp;"]","")))</f>
        <v/>
      </c>
    </row>
    <row r="245" ht="78" customHeight="1">
      <c r="A245" s="13" t="inlineStr">
        <is>
          <t>P3-016</t>
        </is>
      </c>
      <c r="B245" s="14" t="inlineStr">
        <is>
          <t>Etapa 2: Construção das métricas | Atividade 7: Operacionalização das métricas</t>
        </is>
      </c>
      <c r="C245" s="14" t="inlineStr">
        <is>
          <t>Relatório operacionalização das métricas (produto 3)</t>
        </is>
      </c>
      <c r="D245" s="14" t="inlineStr">
        <is>
          <t>Finalização do produto 3</t>
        </is>
      </c>
      <c r="E245" s="15" t="inlineStr">
        <is>
          <t>Finalização e padronização dos anexos e dos metadados</t>
        </is>
      </c>
      <c r="F245" s="13" t="inlineStr">
        <is>
          <t>Stephanie</t>
        </is>
      </c>
      <c r="G245" s="16">
        <f>IF($A245="","",_xlfn.TEXTJOIN("; ",TRUE,IF(COUNTIF('Clarice'!$B$6:$B$300,$A245)&gt;0,"Clarice",""),IF(COUNTIF('Luisa'!$B$6:$B$300,$A245)&gt;0,"Luisa",""),IF(COUNTIF('Lui'!$B$6:$B$300,$A245)&gt;0,"Lui",""),IF(COUNTIF('Thaís'!$B$6:$B$300,$A245)&gt;0,"Thaís",""),IF(COUNTIF('Daniel'!$B$6:$B$300,$A245)&gt;0,"Daniel",""),IF(COUNTIF('Fernando'!$B$6:$B$300,$A245)&gt;0,"Fernando",""),IF(COUNTIF('Stephanie'!$B$6:$B$300,$A245)&gt;0,"Stephanie",""),IF(COUNTIF('Fox'!$B$6:$B$300,$A245)&gt;0,"Fox",""),IF(COUNTIF('Bruna'!$B$6:$B$300,$A245)&gt;0,"Bruna",""),IF(COUNTIF('Stella'!$B$6:$B$300,$A245)&gt;0,"Stella",""),IF(COUNTIF('Igor'!$B$6:$B$300,$A245)&gt;0,"Igor","")))</f>
        <v/>
      </c>
      <c r="H245" s="13" t="n"/>
      <c r="I245" s="13" t="inlineStr">
        <is>
          <t>Em andamento</t>
        </is>
      </c>
      <c r="J245" s="17">
        <f>IF(OR($A245="",(COUNTIF('Clarice'!$B$6:$B$300,$A245)+COUNTIF('Luisa'!$B$6:$B$300,$A245)+COUNTIF('Lui'!$B$6:$B$300,$A245)+COUNTIF('Thaís'!$B$6:$B$300,$A245)+COUNTIF('Daniel'!$B$6:$B$300,$A245)+COUNTIF('Fernando'!$B$6:$B$300,$A245)+COUNTIF('Stephanie'!$B$6:$B$300,$A245)+COUNTIF('Fox'!$B$6:$B$300,$A245)+COUNTIF('Bruna'!$B$6:$B$300,$A245)+COUNTIF('Stella'!$B$6:$B$300,$A245)+COUNTIF('Igor'!$B$6:$B$300,$A245))=0),"",(COUNTIFS('Clarice'!$B$6:$B$300,$A245,'Clarice'!$F$6:$F$300,"Concluído")+COUNTIFS('Luisa'!$B$6:$B$300,$A245,'Luisa'!$F$6:$F$300,"Concluído")+COUNTIFS('Lui'!$B$6:$B$300,$A245,'Lui'!$F$6:$F$300,"Concluído")+COUNTIFS('Thaís'!$B$6:$B$300,$A245,'Thaís'!$F$6:$F$300,"Concluído")+COUNTIFS('Daniel'!$B$6:$B$300,$A245,'Daniel'!$F$6:$F$300,"Concluído")+COUNTIFS('Fernando'!$B$6:$B$300,$A245,'Fernando'!$F$6:$F$300,"Concluído")+COUNTIFS('Stephanie'!$B$6:$B$300,$A245,'Stephanie'!$F$6:$F$300,"Concluído")+COUNTIFS('Fox'!$B$6:$B$300,$A245,'Fox'!$F$6:$F$300,"Concluído")+COUNTIFS('Bruna'!$B$6:$B$300,$A245,'Bruna'!$F$6:$F$300,"Concluído")+COUNTIFS('Stella'!$B$6:$B$300,$A245,'Stella'!$F$6:$F$300,"Concluído")+COUNTIFS('Igor'!$B$6:$B$300,$A245,'Igor'!$F$6:$F$300,"Concluído"))&amp;" / "&amp;(COUNTIF('Clarice'!$B$6:$B$300,$A245)+COUNTIF('Luisa'!$B$6:$B$300,$A245)+COUNTIF('Lui'!$B$6:$B$300,$A245)+COUNTIF('Thaís'!$B$6:$B$300,$A245)+COUNTIF('Daniel'!$B$6:$B$300,$A245)+COUNTIF('Fernando'!$B$6:$B$300,$A245)+COUNTIF('Stephanie'!$B$6:$B$300,$A245)+COUNTIF('Fox'!$B$6:$B$300,$A245)+COUNTIF('Bruna'!$B$6:$B$300,$A245)+COUNTIF('Stella'!$B$6:$B$300,$A245)+COUNTIF('Igor'!$B$6:$B$300,$A245)))</f>
        <v/>
      </c>
      <c r="K245" s="19" t="n"/>
      <c r="L245" s="19" t="n"/>
      <c r="M245" s="18" t="n">
        <v>46204</v>
      </c>
      <c r="N245" s="18" t="n">
        <v>46241</v>
      </c>
      <c r="O245" s="19" t="n"/>
      <c r="P245" s="20">
        <f>IF($A245="","",IF(M245&lt;&gt;"",M245,IF(K245&lt;&gt;"",K245,"")))</f>
        <v/>
      </c>
      <c r="Q245" s="20">
        <f>IF($A245="","",IF(N245&lt;&gt;"",N245,IF(L245&lt;&gt;"",L245,"")))</f>
        <v/>
      </c>
      <c r="R245" s="15" t="n"/>
      <c r="S245" s="16">
        <f t="array" ref="S245">IF($A245="","",_xlfn.TEXTJOIN(CHAR(10),TRUE,IF('Clarice'!$B$6:$B$300=$A245,"Clarice"&amp;IF('Clarice'!$E$6:$E$300="",""," : "&amp;'Clarice'!$E$6:$E$300)&amp;" ["&amp;'Clarice'!$F$6:$F$300&amp;"]",""),IF('Luisa'!$B$6:$B$300=$A245,"Luisa"&amp;IF('Luisa'!$E$6:$E$300="",""," : "&amp;'Luisa'!$E$6:$E$300)&amp;" ["&amp;'Luisa'!$F$6:$F$300&amp;"]",""),IF('Lui'!$B$6:$B$300=$A245,"Lui"&amp;IF('Lui'!$E$6:$E$300="",""," : "&amp;'Lui'!$E$6:$E$300)&amp;" ["&amp;'Lui'!$F$6:$F$300&amp;"]",""),IF('Thaís'!$B$6:$B$300=$A245,"Thaís"&amp;IF('Thaís'!$E$6:$E$300="",""," : "&amp;'Thaís'!$E$6:$E$300)&amp;" ["&amp;'Thaís'!$F$6:$F$300&amp;"]",""),IF('Daniel'!$B$6:$B$300=$A245,"Daniel"&amp;IF('Daniel'!$E$6:$E$300="",""," : "&amp;'Daniel'!$E$6:$E$300)&amp;" ["&amp;'Daniel'!$F$6:$F$300&amp;"]",""),IF('Fernando'!$B$6:$B$300=$A245,"Fernando"&amp;IF('Fernando'!$E$6:$E$300="",""," : "&amp;'Fernando'!$E$6:$E$300)&amp;" ["&amp;'Fernando'!$F$6:$F$300&amp;"]",""),IF('Stephanie'!$B$6:$B$300=$A245,"Stephanie"&amp;IF('Stephanie'!$E$6:$E$300="",""," : "&amp;'Stephanie'!$E$6:$E$300)&amp;" ["&amp;'Stephanie'!$F$6:$F$300&amp;"]",""),IF('Fox'!$B$6:$B$300=$A245,"Fox"&amp;IF('Fox'!$E$6:$E$300="",""," : "&amp;'Fox'!$E$6:$E$300)&amp;" ["&amp;'Fox'!$F$6:$F$300&amp;"]",""),IF('Bruna'!$B$6:$B$300=$A245,"Bruna"&amp;IF('Bruna'!$E$6:$E$300="",""," : "&amp;'Bruna'!$E$6:$E$300)&amp;" ["&amp;'Bruna'!$F$6:$F$300&amp;"]",""),IF('Stella'!$B$6:$B$300=$A245,"Stella"&amp;IF('Stella'!$E$6:$E$300="",""," : "&amp;'Stella'!$E$6:$E$300)&amp;" ["&amp;'Stella'!$F$6:$F$300&amp;"]",""),IF('Igor'!$B$6:$B$300=$A245,"Igor"&amp;IF('Igor'!$E$6:$E$300="",""," : "&amp;'Igor'!$E$6:$E$300)&amp;" ["&amp;'Igor'!$F$6:$F$300&amp;"]","")))</f>
        <v/>
      </c>
    </row>
    <row r="246" ht="28" customHeight="1">
      <c r="A246" s="13" t="inlineStr">
        <is>
          <t>P3-017</t>
        </is>
      </c>
      <c r="B246" s="14" t="inlineStr">
        <is>
          <t>Etapa 2: Construção das métricas | Atividade 7: Operacionalização das métricas</t>
        </is>
      </c>
      <c r="C246" s="14" t="inlineStr">
        <is>
          <t>Relatório operacionalização das métricas (produto 3)</t>
        </is>
      </c>
      <c r="D246" s="14" t="inlineStr">
        <is>
          <t>Finalização do produto 3</t>
        </is>
      </c>
      <c r="E246" s="15" t="inlineStr">
        <is>
          <t>Recomendações sobre sistematização de dados</t>
        </is>
      </c>
      <c r="F246" s="13" t="inlineStr">
        <is>
          <t>Stephanie</t>
        </is>
      </c>
      <c r="G246" s="16">
        <f>IF($A246="","",_xlfn.TEXTJOIN("; ",TRUE,IF(COUNTIF('Clarice'!$B$6:$B$300,$A246)&gt;0,"Clarice",""),IF(COUNTIF('Luisa'!$B$6:$B$300,$A246)&gt;0,"Luisa",""),IF(COUNTIF('Lui'!$B$6:$B$300,$A246)&gt;0,"Lui",""),IF(COUNTIF('Thaís'!$B$6:$B$300,$A246)&gt;0,"Thaís",""),IF(COUNTIF('Daniel'!$B$6:$B$300,$A246)&gt;0,"Daniel",""),IF(COUNTIF('Fernando'!$B$6:$B$300,$A246)&gt;0,"Fernando",""),IF(COUNTIF('Stephanie'!$B$6:$B$300,$A246)&gt;0,"Stephanie",""),IF(COUNTIF('Fox'!$B$6:$B$300,$A246)&gt;0,"Fox",""),IF(COUNTIF('Bruna'!$B$6:$B$300,$A246)&gt;0,"Bruna",""),IF(COUNTIF('Stella'!$B$6:$B$300,$A246)&gt;0,"Stella",""),IF(COUNTIF('Igor'!$B$6:$B$300,$A246)&gt;0,"Igor","")))</f>
        <v/>
      </c>
      <c r="H246" s="13" t="n"/>
      <c r="I246" s="13" t="inlineStr">
        <is>
          <t>Em andamento</t>
        </is>
      </c>
      <c r="J246" s="17">
        <f>IF(OR($A246="",(COUNTIF('Clarice'!$B$6:$B$300,$A246)+COUNTIF('Luisa'!$B$6:$B$300,$A246)+COUNTIF('Lui'!$B$6:$B$300,$A246)+COUNTIF('Thaís'!$B$6:$B$300,$A246)+COUNTIF('Daniel'!$B$6:$B$300,$A246)+COUNTIF('Fernando'!$B$6:$B$300,$A246)+COUNTIF('Stephanie'!$B$6:$B$300,$A246)+COUNTIF('Fox'!$B$6:$B$300,$A246)+COUNTIF('Bruna'!$B$6:$B$300,$A246)+COUNTIF('Stella'!$B$6:$B$300,$A246)+COUNTIF('Igor'!$B$6:$B$300,$A246))=0),"",(COUNTIFS('Clarice'!$B$6:$B$300,$A246,'Clarice'!$F$6:$F$300,"Concluído")+COUNTIFS('Luisa'!$B$6:$B$300,$A246,'Luisa'!$F$6:$F$300,"Concluído")+COUNTIFS('Lui'!$B$6:$B$300,$A246,'Lui'!$F$6:$F$300,"Concluído")+COUNTIFS('Thaís'!$B$6:$B$300,$A246,'Thaís'!$F$6:$F$300,"Concluído")+COUNTIFS('Daniel'!$B$6:$B$300,$A246,'Daniel'!$F$6:$F$300,"Concluído")+COUNTIFS('Fernando'!$B$6:$B$300,$A246,'Fernando'!$F$6:$F$300,"Concluído")+COUNTIFS('Stephanie'!$B$6:$B$300,$A246,'Stephanie'!$F$6:$F$300,"Concluído")+COUNTIFS('Fox'!$B$6:$B$300,$A246,'Fox'!$F$6:$F$300,"Concluído")+COUNTIFS('Bruna'!$B$6:$B$300,$A246,'Bruna'!$F$6:$F$300,"Concluído")+COUNTIFS('Stella'!$B$6:$B$300,$A246,'Stella'!$F$6:$F$300,"Concluído")+COUNTIFS('Igor'!$B$6:$B$300,$A246,'Igor'!$F$6:$F$300,"Concluído"))&amp;" / "&amp;(COUNTIF('Clarice'!$B$6:$B$300,$A246)+COUNTIF('Luisa'!$B$6:$B$300,$A246)+COUNTIF('Lui'!$B$6:$B$300,$A246)+COUNTIF('Thaís'!$B$6:$B$300,$A246)+COUNTIF('Daniel'!$B$6:$B$300,$A246)+COUNTIF('Fernando'!$B$6:$B$300,$A246)+COUNTIF('Stephanie'!$B$6:$B$300,$A246)+COUNTIF('Fox'!$B$6:$B$300,$A246)+COUNTIF('Bruna'!$B$6:$B$300,$A246)+COUNTIF('Stella'!$B$6:$B$300,$A246)+COUNTIF('Igor'!$B$6:$B$300,$A246)))</f>
        <v/>
      </c>
      <c r="K246" s="19" t="n"/>
      <c r="L246" s="19" t="n"/>
      <c r="M246" s="18" t="n">
        <v>46204</v>
      </c>
      <c r="N246" s="18" t="n">
        <v>46206</v>
      </c>
      <c r="O246" s="19" t="n"/>
      <c r="P246" s="20">
        <f>IF($A246="","",IF(M246&lt;&gt;"",M246,IF(K246&lt;&gt;"",K246,"")))</f>
        <v/>
      </c>
      <c r="Q246" s="20">
        <f>IF($A246="","",IF(N246&lt;&gt;"",N246,IF(L246&lt;&gt;"",L246,"")))</f>
        <v/>
      </c>
      <c r="R246" s="15" t="n"/>
      <c r="S246" s="16">
        <f t="array" ref="S246">IF($A246="","",_xlfn.TEXTJOIN(CHAR(10),TRUE,IF('Clarice'!$B$6:$B$300=$A246,"Clarice"&amp;IF('Clarice'!$E$6:$E$300="",""," : "&amp;'Clarice'!$E$6:$E$300)&amp;" ["&amp;'Clarice'!$F$6:$F$300&amp;"]",""),IF('Luisa'!$B$6:$B$300=$A246,"Luisa"&amp;IF('Luisa'!$E$6:$E$300="",""," : "&amp;'Luisa'!$E$6:$E$300)&amp;" ["&amp;'Luisa'!$F$6:$F$300&amp;"]",""),IF('Lui'!$B$6:$B$300=$A246,"Lui"&amp;IF('Lui'!$E$6:$E$300="",""," : "&amp;'Lui'!$E$6:$E$300)&amp;" ["&amp;'Lui'!$F$6:$F$300&amp;"]",""),IF('Thaís'!$B$6:$B$300=$A246,"Thaís"&amp;IF('Thaís'!$E$6:$E$300="",""," : "&amp;'Thaís'!$E$6:$E$300)&amp;" ["&amp;'Thaís'!$F$6:$F$300&amp;"]",""),IF('Daniel'!$B$6:$B$300=$A246,"Daniel"&amp;IF('Daniel'!$E$6:$E$300="",""," : "&amp;'Daniel'!$E$6:$E$300)&amp;" ["&amp;'Daniel'!$F$6:$F$300&amp;"]",""),IF('Fernando'!$B$6:$B$300=$A246,"Fernando"&amp;IF('Fernando'!$E$6:$E$300="",""," : "&amp;'Fernando'!$E$6:$E$300)&amp;" ["&amp;'Fernando'!$F$6:$F$300&amp;"]",""),IF('Stephanie'!$B$6:$B$300=$A246,"Stephanie"&amp;IF('Stephanie'!$E$6:$E$300="",""," : "&amp;'Stephanie'!$E$6:$E$300)&amp;" ["&amp;'Stephanie'!$F$6:$F$300&amp;"]",""),IF('Fox'!$B$6:$B$300=$A246,"Fox"&amp;IF('Fox'!$E$6:$E$300="",""," : "&amp;'Fox'!$E$6:$E$300)&amp;" ["&amp;'Fox'!$F$6:$F$300&amp;"]",""),IF('Bruna'!$B$6:$B$300=$A246,"Bruna"&amp;IF('Bruna'!$E$6:$E$300="",""," : "&amp;'Bruna'!$E$6:$E$300)&amp;" ["&amp;'Bruna'!$F$6:$F$300&amp;"]",""),IF('Stella'!$B$6:$B$300=$A246,"Stella"&amp;IF('Stella'!$E$6:$E$300="",""," : "&amp;'Stella'!$E$6:$E$300)&amp;" ["&amp;'Stella'!$F$6:$F$300&amp;"]",""),IF('Igor'!$B$6:$B$300=$A246,"Igor"&amp;IF('Igor'!$E$6:$E$300="",""," : "&amp;'Igor'!$E$6:$E$300)&amp;" ["&amp;'Igor'!$F$6:$F$300&amp;"]","")))</f>
        <v/>
      </c>
    </row>
    <row r="247" ht="15.5" customHeight="1">
      <c r="A247" s="13" t="inlineStr">
        <is>
          <t>P3-018</t>
        </is>
      </c>
      <c r="B247" s="14" t="inlineStr">
        <is>
          <t>Etapa 2: Construção das métricas | Atividade 7: Operacionalização das métricas</t>
        </is>
      </c>
      <c r="C247" s="14" t="inlineStr">
        <is>
          <t>Relatório operacionalização das métricas (produto 3)</t>
        </is>
      </c>
      <c r="D247" s="14" t="inlineStr">
        <is>
          <t>Finalização do produto 3</t>
        </is>
      </c>
      <c r="E247" s="15" t="inlineStr">
        <is>
          <t>Revisão coordenação geral</t>
        </is>
      </c>
      <c r="F247" s="13" t="inlineStr">
        <is>
          <t>Stephanie</t>
        </is>
      </c>
      <c r="G247" s="16">
        <f>IF($A247="","",_xlfn.TEXTJOIN("; ",TRUE,IF(COUNTIF('Clarice'!$B$6:$B$300,$A247)&gt;0,"Clarice",""),IF(COUNTIF('Luisa'!$B$6:$B$300,$A247)&gt;0,"Luisa",""),IF(COUNTIF('Lui'!$B$6:$B$300,$A247)&gt;0,"Lui",""),IF(COUNTIF('Thaís'!$B$6:$B$300,$A247)&gt;0,"Thaís",""),IF(COUNTIF('Daniel'!$B$6:$B$300,$A247)&gt;0,"Daniel",""),IF(COUNTIF('Fernando'!$B$6:$B$300,$A247)&gt;0,"Fernando",""),IF(COUNTIF('Stephanie'!$B$6:$B$300,$A247)&gt;0,"Stephanie",""),IF(COUNTIF('Fox'!$B$6:$B$300,$A247)&gt;0,"Fox",""),IF(COUNTIF('Bruna'!$B$6:$B$300,$A247)&gt;0,"Bruna",""),IF(COUNTIF('Stella'!$B$6:$B$300,$A247)&gt;0,"Stella",""),IF(COUNTIF('Igor'!$B$6:$B$300,$A247)&gt;0,"Igor","")))</f>
        <v/>
      </c>
      <c r="H247" s="13" t="n"/>
      <c r="I247" s="13" t="inlineStr">
        <is>
          <t>Em andamento</t>
        </is>
      </c>
      <c r="J247" s="17">
        <f>IF(OR($A247="",(COUNTIF('Clarice'!$B$6:$B$300,$A247)+COUNTIF('Luisa'!$B$6:$B$300,$A247)+COUNTIF('Lui'!$B$6:$B$300,$A247)+COUNTIF('Thaís'!$B$6:$B$300,$A247)+COUNTIF('Daniel'!$B$6:$B$300,$A247)+COUNTIF('Fernando'!$B$6:$B$300,$A247)+COUNTIF('Stephanie'!$B$6:$B$300,$A247)+COUNTIF('Fox'!$B$6:$B$300,$A247)+COUNTIF('Bruna'!$B$6:$B$300,$A247)+COUNTIF('Stella'!$B$6:$B$300,$A247)+COUNTIF('Igor'!$B$6:$B$300,$A247))=0),"",(COUNTIFS('Clarice'!$B$6:$B$300,$A247,'Clarice'!$F$6:$F$300,"Concluído")+COUNTIFS('Luisa'!$B$6:$B$300,$A247,'Luisa'!$F$6:$F$300,"Concluído")+COUNTIFS('Lui'!$B$6:$B$300,$A247,'Lui'!$F$6:$F$300,"Concluído")+COUNTIFS('Thaís'!$B$6:$B$300,$A247,'Thaís'!$F$6:$F$300,"Concluído")+COUNTIFS('Daniel'!$B$6:$B$300,$A247,'Daniel'!$F$6:$F$300,"Concluído")+COUNTIFS('Fernando'!$B$6:$B$300,$A247,'Fernando'!$F$6:$F$300,"Concluído")+COUNTIFS('Stephanie'!$B$6:$B$300,$A247,'Stephanie'!$F$6:$F$300,"Concluído")+COUNTIFS('Fox'!$B$6:$B$300,$A247,'Fox'!$F$6:$F$300,"Concluído")+COUNTIFS('Bruna'!$B$6:$B$300,$A247,'Bruna'!$F$6:$F$300,"Concluído")+COUNTIFS('Stella'!$B$6:$B$300,$A247,'Stella'!$F$6:$F$300,"Concluído")+COUNTIFS('Igor'!$B$6:$B$300,$A247,'Igor'!$F$6:$F$300,"Concluído"))&amp;" / "&amp;(COUNTIF('Clarice'!$B$6:$B$300,$A247)+COUNTIF('Luisa'!$B$6:$B$300,$A247)+COUNTIF('Lui'!$B$6:$B$300,$A247)+COUNTIF('Thaís'!$B$6:$B$300,$A247)+COUNTIF('Daniel'!$B$6:$B$300,$A247)+COUNTIF('Fernando'!$B$6:$B$300,$A247)+COUNTIF('Stephanie'!$B$6:$B$300,$A247)+COUNTIF('Fox'!$B$6:$B$300,$A247)+COUNTIF('Bruna'!$B$6:$B$300,$A247)+COUNTIF('Stella'!$B$6:$B$300,$A247)+COUNTIF('Igor'!$B$6:$B$300,$A247)))</f>
        <v/>
      </c>
      <c r="K247" s="18" t="n">
        <v>46167</v>
      </c>
      <c r="L247" s="18" t="n">
        <v>46171</v>
      </c>
      <c r="M247" s="18" t="n">
        <v>46167</v>
      </c>
      <c r="N247" s="18" t="n">
        <v>46234</v>
      </c>
      <c r="O247" s="19" t="n"/>
      <c r="P247" s="20">
        <f>IF($A247="","",IF(M247&lt;&gt;"",M247,IF(K247&lt;&gt;"",K247,"")))</f>
        <v/>
      </c>
      <c r="Q247" s="20">
        <f>IF($A247="","",IF(N247&lt;&gt;"",N247,IF(L247&lt;&gt;"",L247,"")))</f>
        <v/>
      </c>
      <c r="R247" s="15" t="n"/>
      <c r="S247" s="16">
        <f t="array" ref="S247">IF($A247="","",_xlfn.TEXTJOIN(CHAR(10),TRUE,IF('Clarice'!$B$6:$B$300=$A247,"Clarice"&amp;IF('Clarice'!$E$6:$E$300="",""," : "&amp;'Clarice'!$E$6:$E$300)&amp;" ["&amp;'Clarice'!$F$6:$F$300&amp;"]",""),IF('Luisa'!$B$6:$B$300=$A247,"Luisa"&amp;IF('Luisa'!$E$6:$E$300="",""," : "&amp;'Luisa'!$E$6:$E$300)&amp;" ["&amp;'Luisa'!$F$6:$F$300&amp;"]",""),IF('Lui'!$B$6:$B$300=$A247,"Lui"&amp;IF('Lui'!$E$6:$E$300="",""," : "&amp;'Lui'!$E$6:$E$300)&amp;" ["&amp;'Lui'!$F$6:$F$300&amp;"]",""),IF('Thaís'!$B$6:$B$300=$A247,"Thaís"&amp;IF('Thaís'!$E$6:$E$300="",""," : "&amp;'Thaís'!$E$6:$E$300)&amp;" ["&amp;'Thaís'!$F$6:$F$300&amp;"]",""),IF('Daniel'!$B$6:$B$300=$A247,"Daniel"&amp;IF('Daniel'!$E$6:$E$300="",""," : "&amp;'Daniel'!$E$6:$E$300)&amp;" ["&amp;'Daniel'!$F$6:$F$300&amp;"]",""),IF('Fernando'!$B$6:$B$300=$A247,"Fernando"&amp;IF('Fernando'!$E$6:$E$300="",""," : "&amp;'Fernando'!$E$6:$E$300)&amp;" ["&amp;'Fernando'!$F$6:$F$300&amp;"]",""),IF('Stephanie'!$B$6:$B$300=$A247,"Stephanie"&amp;IF('Stephanie'!$E$6:$E$300="",""," : "&amp;'Stephanie'!$E$6:$E$300)&amp;" ["&amp;'Stephanie'!$F$6:$F$300&amp;"]",""),IF('Fox'!$B$6:$B$300=$A247,"Fox"&amp;IF('Fox'!$E$6:$E$300="",""," : "&amp;'Fox'!$E$6:$E$300)&amp;" ["&amp;'Fox'!$F$6:$F$300&amp;"]",""),IF('Bruna'!$B$6:$B$300=$A247,"Bruna"&amp;IF('Bruna'!$E$6:$E$300="",""," : "&amp;'Bruna'!$E$6:$E$300)&amp;" ["&amp;'Bruna'!$F$6:$F$300&amp;"]",""),IF('Stella'!$B$6:$B$300=$A247,"Stella"&amp;IF('Stella'!$E$6:$E$300="",""," : "&amp;'Stella'!$E$6:$E$300)&amp;" ["&amp;'Stella'!$F$6:$F$300&amp;"]",""),IF('Igor'!$B$6:$B$300=$A247,"Igor"&amp;IF('Igor'!$E$6:$E$300="",""," : "&amp;'Igor'!$E$6:$E$300)&amp;" ["&amp;'Igor'!$F$6:$F$300&amp;"]","")))</f>
        <v/>
      </c>
    </row>
    <row r="248" ht="15.5" customHeight="1">
      <c r="A248" s="13" t="inlineStr">
        <is>
          <t>P3-019</t>
        </is>
      </c>
      <c r="B248" s="14" t="inlineStr">
        <is>
          <t>Etapa 2: Construção das métricas | Atividade 7: Operacionalização das métricas</t>
        </is>
      </c>
      <c r="C248" s="14" t="inlineStr">
        <is>
          <t>Relatório operacionalização das métricas (produto 3)</t>
        </is>
      </c>
      <c r="D248" s="14" t="inlineStr">
        <is>
          <t>Finalização do produto 3</t>
        </is>
      </c>
      <c r="E248" s="15" t="inlineStr">
        <is>
          <t>Entregar para a Petrobras</t>
        </is>
      </c>
      <c r="F248" s="13" t="inlineStr">
        <is>
          <t>Stephanie</t>
        </is>
      </c>
      <c r="G248" s="16">
        <f>IF($A248="","",_xlfn.TEXTJOIN("; ",TRUE,IF(COUNTIF('Clarice'!$B$6:$B$300,$A248)&gt;0,"Clarice",""),IF(COUNTIF('Luisa'!$B$6:$B$300,$A248)&gt;0,"Luisa",""),IF(COUNTIF('Lui'!$B$6:$B$300,$A248)&gt;0,"Lui",""),IF(COUNTIF('Thaís'!$B$6:$B$300,$A248)&gt;0,"Thaís",""),IF(COUNTIF('Daniel'!$B$6:$B$300,$A248)&gt;0,"Daniel",""),IF(COUNTIF('Fernando'!$B$6:$B$300,$A248)&gt;0,"Fernando",""),IF(COUNTIF('Stephanie'!$B$6:$B$300,$A248)&gt;0,"Stephanie",""),IF(COUNTIF('Fox'!$B$6:$B$300,$A248)&gt;0,"Fox",""),IF(COUNTIF('Bruna'!$B$6:$B$300,$A248)&gt;0,"Bruna",""),IF(COUNTIF('Stella'!$B$6:$B$300,$A248)&gt;0,"Stella",""),IF(COUNTIF('Igor'!$B$6:$B$300,$A248)&gt;0,"Igor","")))</f>
        <v/>
      </c>
      <c r="H248" s="13" t="n"/>
      <c r="I248" s="13" t="inlineStr">
        <is>
          <t>Não iniciado</t>
        </is>
      </c>
      <c r="J248" s="17">
        <f>IF(OR($A248="",(COUNTIF('Clarice'!$B$6:$B$300,$A248)+COUNTIF('Luisa'!$B$6:$B$300,$A248)+COUNTIF('Lui'!$B$6:$B$300,$A248)+COUNTIF('Thaís'!$B$6:$B$300,$A248)+COUNTIF('Daniel'!$B$6:$B$300,$A248)+COUNTIF('Fernando'!$B$6:$B$300,$A248)+COUNTIF('Stephanie'!$B$6:$B$300,$A248)+COUNTIF('Fox'!$B$6:$B$300,$A248)+COUNTIF('Bruna'!$B$6:$B$300,$A248)+COUNTIF('Stella'!$B$6:$B$300,$A248)+COUNTIF('Igor'!$B$6:$B$300,$A248))=0),"",(COUNTIFS('Clarice'!$B$6:$B$300,$A248,'Clarice'!$F$6:$F$300,"Concluído")+COUNTIFS('Luisa'!$B$6:$B$300,$A248,'Luisa'!$F$6:$F$300,"Concluído")+COUNTIFS('Lui'!$B$6:$B$300,$A248,'Lui'!$F$6:$F$300,"Concluído")+COUNTIFS('Thaís'!$B$6:$B$300,$A248,'Thaís'!$F$6:$F$300,"Concluído")+COUNTIFS('Daniel'!$B$6:$B$300,$A248,'Daniel'!$F$6:$F$300,"Concluído")+COUNTIFS('Fernando'!$B$6:$B$300,$A248,'Fernando'!$F$6:$F$300,"Concluído")+COUNTIFS('Stephanie'!$B$6:$B$300,$A248,'Stephanie'!$F$6:$F$300,"Concluído")+COUNTIFS('Fox'!$B$6:$B$300,$A248,'Fox'!$F$6:$F$300,"Concluído")+COUNTIFS('Bruna'!$B$6:$B$300,$A248,'Bruna'!$F$6:$F$300,"Concluído")+COUNTIFS('Stella'!$B$6:$B$300,$A248,'Stella'!$F$6:$F$300,"Concluído")+COUNTIFS('Igor'!$B$6:$B$300,$A248,'Igor'!$F$6:$F$300,"Concluído"))&amp;" / "&amp;(COUNTIF('Clarice'!$B$6:$B$300,$A248)+COUNTIF('Luisa'!$B$6:$B$300,$A248)+COUNTIF('Lui'!$B$6:$B$300,$A248)+COUNTIF('Thaís'!$B$6:$B$300,$A248)+COUNTIF('Daniel'!$B$6:$B$300,$A248)+COUNTIF('Fernando'!$B$6:$B$300,$A248)+COUNTIF('Stephanie'!$B$6:$B$300,$A248)+COUNTIF('Fox'!$B$6:$B$300,$A248)+COUNTIF('Bruna'!$B$6:$B$300,$A248)+COUNTIF('Stella'!$B$6:$B$300,$A248)+COUNTIF('Igor'!$B$6:$B$300,$A248)))</f>
        <v/>
      </c>
      <c r="K248" s="18" t="n">
        <v>46167</v>
      </c>
      <c r="L248" s="18" t="n">
        <v>46171</v>
      </c>
      <c r="M248" s="18" t="n">
        <v>46167</v>
      </c>
      <c r="N248" s="18" t="n">
        <v>46241</v>
      </c>
      <c r="O248" s="19" t="n"/>
      <c r="P248" s="20">
        <f>IF($A248="","",IF(M248&lt;&gt;"",M248,IF(K248&lt;&gt;"",K248,"")))</f>
        <v/>
      </c>
      <c r="Q248" s="20">
        <f>IF($A248="","",IF(N248&lt;&gt;"",N248,IF(L248&lt;&gt;"",L248,"")))</f>
        <v/>
      </c>
      <c r="R248" s="15" t="n"/>
      <c r="S248" s="16">
        <f t="array" ref="S248">IF($A248="","",_xlfn.TEXTJOIN(CHAR(10),TRUE,IF('Clarice'!$B$6:$B$300=$A248,"Clarice"&amp;IF('Clarice'!$E$6:$E$300="",""," : "&amp;'Clarice'!$E$6:$E$300)&amp;" ["&amp;'Clarice'!$F$6:$F$300&amp;"]",""),IF('Luisa'!$B$6:$B$300=$A248,"Luisa"&amp;IF('Luisa'!$E$6:$E$300="",""," : "&amp;'Luisa'!$E$6:$E$300)&amp;" ["&amp;'Luisa'!$F$6:$F$300&amp;"]",""),IF('Lui'!$B$6:$B$300=$A248,"Lui"&amp;IF('Lui'!$E$6:$E$300="",""," : "&amp;'Lui'!$E$6:$E$300)&amp;" ["&amp;'Lui'!$F$6:$F$300&amp;"]",""),IF('Thaís'!$B$6:$B$300=$A248,"Thaís"&amp;IF('Thaís'!$E$6:$E$300="",""," : "&amp;'Thaís'!$E$6:$E$300)&amp;" ["&amp;'Thaís'!$F$6:$F$300&amp;"]",""),IF('Daniel'!$B$6:$B$300=$A248,"Daniel"&amp;IF('Daniel'!$E$6:$E$300="",""," : "&amp;'Daniel'!$E$6:$E$300)&amp;" ["&amp;'Daniel'!$F$6:$F$300&amp;"]",""),IF('Fernando'!$B$6:$B$300=$A248,"Fernando"&amp;IF('Fernando'!$E$6:$E$300="",""," : "&amp;'Fernando'!$E$6:$E$300)&amp;" ["&amp;'Fernando'!$F$6:$F$300&amp;"]",""),IF('Stephanie'!$B$6:$B$300=$A248,"Stephanie"&amp;IF('Stephanie'!$E$6:$E$300="",""," : "&amp;'Stephanie'!$E$6:$E$300)&amp;" ["&amp;'Stephanie'!$F$6:$F$300&amp;"]",""),IF('Fox'!$B$6:$B$300=$A248,"Fox"&amp;IF('Fox'!$E$6:$E$300="",""," : "&amp;'Fox'!$E$6:$E$300)&amp;" ["&amp;'Fox'!$F$6:$F$300&amp;"]",""),IF('Bruna'!$B$6:$B$300=$A248,"Bruna"&amp;IF('Bruna'!$E$6:$E$300="",""," : "&amp;'Bruna'!$E$6:$E$300)&amp;" ["&amp;'Bruna'!$F$6:$F$300&amp;"]",""),IF('Stella'!$B$6:$B$300=$A248,"Stella"&amp;IF('Stella'!$E$6:$E$300="",""," : "&amp;'Stella'!$E$6:$E$300)&amp;" ["&amp;'Stella'!$F$6:$F$300&amp;"]",""),IF('Igor'!$B$6:$B$300=$A248,"Igor"&amp;IF('Igor'!$E$6:$E$300="",""," : "&amp;'Igor'!$E$6:$E$300)&amp;" ["&amp;'Igor'!$F$6:$F$300&amp;"]","")))</f>
        <v/>
      </c>
    </row>
    <row r="249" ht="15.5" customHeight="1">
      <c r="A249" s="13" t="inlineStr">
        <is>
          <t>P3-020</t>
        </is>
      </c>
      <c r="B249" s="14" t="inlineStr">
        <is>
          <t>Etapa 2: Construção das métricas | Atividade 7: Operacionalização das métricas</t>
        </is>
      </c>
      <c r="C249" s="14" t="inlineStr">
        <is>
          <t>Relatório operacionalização das métricas (produto 3)</t>
        </is>
      </c>
      <c r="D249" s="14" t="inlineStr">
        <is>
          <t>Finalização do produto 3</t>
        </is>
      </c>
      <c r="E249" s="15" t="inlineStr">
        <is>
          <t>Aguardar o retorno da Petrobras</t>
        </is>
      </c>
      <c r="F249" s="13" t="inlineStr">
        <is>
          <t>Stephanie</t>
        </is>
      </c>
      <c r="G249" s="16">
        <f>IF($A249="","",_xlfn.TEXTJOIN("; ",TRUE,IF(COUNTIF('Clarice'!$B$6:$B$300,$A249)&gt;0,"Clarice",""),IF(COUNTIF('Luisa'!$B$6:$B$300,$A249)&gt;0,"Luisa",""),IF(COUNTIF('Lui'!$B$6:$B$300,$A249)&gt;0,"Lui",""),IF(COUNTIF('Thaís'!$B$6:$B$300,$A249)&gt;0,"Thaís",""),IF(COUNTIF('Daniel'!$B$6:$B$300,$A249)&gt;0,"Daniel",""),IF(COUNTIF('Fernando'!$B$6:$B$300,$A249)&gt;0,"Fernando",""),IF(COUNTIF('Stephanie'!$B$6:$B$300,$A249)&gt;0,"Stephanie",""),IF(COUNTIF('Fox'!$B$6:$B$300,$A249)&gt;0,"Fox",""),IF(COUNTIF('Bruna'!$B$6:$B$300,$A249)&gt;0,"Bruna",""),IF(COUNTIF('Stella'!$B$6:$B$300,$A249)&gt;0,"Stella",""),IF(COUNTIF('Igor'!$B$6:$B$300,$A249)&gt;0,"Igor","")))</f>
        <v/>
      </c>
      <c r="H249" s="13" t="inlineStr">
        <is>
          <t>Petrobras</t>
        </is>
      </c>
      <c r="I249" s="13" t="inlineStr">
        <is>
          <t>Não iniciado</t>
        </is>
      </c>
      <c r="J249" s="17">
        <f>IF(OR($A249="",(COUNTIF('Clarice'!$B$6:$B$300,$A249)+COUNTIF('Luisa'!$B$6:$B$300,$A249)+COUNTIF('Lui'!$B$6:$B$300,$A249)+COUNTIF('Thaís'!$B$6:$B$300,$A249)+COUNTIF('Daniel'!$B$6:$B$300,$A249)+COUNTIF('Fernando'!$B$6:$B$300,$A249)+COUNTIF('Stephanie'!$B$6:$B$300,$A249)+COUNTIF('Fox'!$B$6:$B$300,$A249)+COUNTIF('Bruna'!$B$6:$B$300,$A249)+COUNTIF('Stella'!$B$6:$B$300,$A249)+COUNTIF('Igor'!$B$6:$B$300,$A249))=0),"",(COUNTIFS('Clarice'!$B$6:$B$300,$A249,'Clarice'!$F$6:$F$300,"Concluído")+COUNTIFS('Luisa'!$B$6:$B$300,$A249,'Luisa'!$F$6:$F$300,"Concluído")+COUNTIFS('Lui'!$B$6:$B$300,$A249,'Lui'!$F$6:$F$300,"Concluído")+COUNTIFS('Thaís'!$B$6:$B$300,$A249,'Thaís'!$F$6:$F$300,"Concluído")+COUNTIFS('Daniel'!$B$6:$B$300,$A249,'Daniel'!$F$6:$F$300,"Concluído")+COUNTIFS('Fernando'!$B$6:$B$300,$A249,'Fernando'!$F$6:$F$300,"Concluído")+COUNTIFS('Stephanie'!$B$6:$B$300,$A249,'Stephanie'!$F$6:$F$300,"Concluído")+COUNTIFS('Fox'!$B$6:$B$300,$A249,'Fox'!$F$6:$F$300,"Concluído")+COUNTIFS('Bruna'!$B$6:$B$300,$A249,'Bruna'!$F$6:$F$300,"Concluído")+COUNTIFS('Stella'!$B$6:$B$300,$A249,'Stella'!$F$6:$F$300,"Concluído")+COUNTIFS('Igor'!$B$6:$B$300,$A249,'Igor'!$F$6:$F$300,"Concluído"))&amp;" / "&amp;(COUNTIF('Clarice'!$B$6:$B$300,$A249)+COUNTIF('Luisa'!$B$6:$B$300,$A249)+COUNTIF('Lui'!$B$6:$B$300,$A249)+COUNTIF('Thaís'!$B$6:$B$300,$A249)+COUNTIF('Daniel'!$B$6:$B$300,$A249)+COUNTIF('Fernando'!$B$6:$B$300,$A249)+COUNTIF('Stephanie'!$B$6:$B$300,$A249)+COUNTIF('Fox'!$B$6:$B$300,$A249)+COUNTIF('Bruna'!$B$6:$B$300,$A249)+COUNTIF('Stella'!$B$6:$B$300,$A249)+COUNTIF('Igor'!$B$6:$B$300,$A249)))</f>
        <v/>
      </c>
      <c r="K249" s="19" t="n"/>
      <c r="L249" s="19" t="n"/>
      <c r="M249" s="18" t="n">
        <v>46202</v>
      </c>
      <c r="N249" s="18" t="n">
        <v>46255</v>
      </c>
      <c r="O249" s="19" t="n"/>
      <c r="P249" s="20">
        <f>IF($A249="","",IF(M249&lt;&gt;"",M249,IF(K249&lt;&gt;"",K249,"")))</f>
        <v/>
      </c>
      <c r="Q249" s="20">
        <f>IF($A249="","",IF(N249&lt;&gt;"",N249,IF(L249&lt;&gt;"",L249,"")))</f>
        <v/>
      </c>
      <c r="R249" s="15" t="n"/>
      <c r="S249" s="16">
        <f t="array" ref="S249">IF($A249="","",_xlfn.TEXTJOIN(CHAR(10),TRUE,IF('Clarice'!$B$6:$B$300=$A249,"Clarice"&amp;IF('Clarice'!$E$6:$E$300="",""," : "&amp;'Clarice'!$E$6:$E$300)&amp;" ["&amp;'Clarice'!$F$6:$F$300&amp;"]",""),IF('Luisa'!$B$6:$B$300=$A249,"Luisa"&amp;IF('Luisa'!$E$6:$E$300="",""," : "&amp;'Luisa'!$E$6:$E$300)&amp;" ["&amp;'Luisa'!$F$6:$F$300&amp;"]",""),IF('Lui'!$B$6:$B$300=$A249,"Lui"&amp;IF('Lui'!$E$6:$E$300="",""," : "&amp;'Lui'!$E$6:$E$300)&amp;" ["&amp;'Lui'!$F$6:$F$300&amp;"]",""),IF('Thaís'!$B$6:$B$300=$A249,"Thaís"&amp;IF('Thaís'!$E$6:$E$300="",""," : "&amp;'Thaís'!$E$6:$E$300)&amp;" ["&amp;'Thaís'!$F$6:$F$300&amp;"]",""),IF('Daniel'!$B$6:$B$300=$A249,"Daniel"&amp;IF('Daniel'!$E$6:$E$300="",""," : "&amp;'Daniel'!$E$6:$E$300)&amp;" ["&amp;'Daniel'!$F$6:$F$300&amp;"]",""),IF('Fernando'!$B$6:$B$300=$A249,"Fernando"&amp;IF('Fernando'!$E$6:$E$300="",""," : "&amp;'Fernando'!$E$6:$E$300)&amp;" ["&amp;'Fernando'!$F$6:$F$300&amp;"]",""),IF('Stephanie'!$B$6:$B$300=$A249,"Stephanie"&amp;IF('Stephanie'!$E$6:$E$300="",""," : "&amp;'Stephanie'!$E$6:$E$300)&amp;" ["&amp;'Stephanie'!$F$6:$F$300&amp;"]",""),IF('Fox'!$B$6:$B$300=$A249,"Fox"&amp;IF('Fox'!$E$6:$E$300="",""," : "&amp;'Fox'!$E$6:$E$300)&amp;" ["&amp;'Fox'!$F$6:$F$300&amp;"]",""),IF('Bruna'!$B$6:$B$300=$A249,"Bruna"&amp;IF('Bruna'!$E$6:$E$300="",""," : "&amp;'Bruna'!$E$6:$E$300)&amp;" ["&amp;'Bruna'!$F$6:$F$300&amp;"]",""),IF('Stella'!$B$6:$B$300=$A249,"Stella"&amp;IF('Stella'!$E$6:$E$300="",""," : "&amp;'Stella'!$E$6:$E$300)&amp;" ["&amp;'Stella'!$F$6:$F$300&amp;"]",""),IF('Igor'!$B$6:$B$300=$A249,"Igor"&amp;IF('Igor'!$E$6:$E$300="",""," : "&amp;'Igor'!$E$6:$E$300)&amp;" ["&amp;'Igor'!$F$6:$F$300&amp;"]","")))</f>
        <v/>
      </c>
    </row>
    <row r="250" ht="28" customHeight="1">
      <c r="A250" s="13" t="inlineStr">
        <is>
          <t>P3-021</t>
        </is>
      </c>
      <c r="B250" s="14" t="inlineStr">
        <is>
          <t>Etapa 2: Construção das métricas | Atividade 7: Operacionalização das métricas</t>
        </is>
      </c>
      <c r="C250" s="14" t="inlineStr">
        <is>
          <t>Relatório operacionalização das métricas (produto 3)</t>
        </is>
      </c>
      <c r="D250" s="14" t="inlineStr">
        <is>
          <t>Finalização do produto 3</t>
        </is>
      </c>
      <c r="E250" s="15" t="inlineStr">
        <is>
          <t>Fazer os ajustes necessários</t>
        </is>
      </c>
      <c r="F250" s="13" t="inlineStr">
        <is>
          <t>Stephanie</t>
        </is>
      </c>
      <c r="G250" s="16">
        <f>IF($A250="","",_xlfn.TEXTJOIN("; ",TRUE,IF(COUNTIF('Clarice'!$B$6:$B$300,$A250)&gt;0,"Clarice",""),IF(COUNTIF('Luisa'!$B$6:$B$300,$A250)&gt;0,"Luisa",""),IF(COUNTIF('Lui'!$B$6:$B$300,$A250)&gt;0,"Lui",""),IF(COUNTIF('Thaís'!$B$6:$B$300,$A250)&gt;0,"Thaís",""),IF(COUNTIF('Daniel'!$B$6:$B$300,$A250)&gt;0,"Daniel",""),IF(COUNTIF('Fernando'!$B$6:$B$300,$A250)&gt;0,"Fernando",""),IF(COUNTIF('Stephanie'!$B$6:$B$300,$A250)&gt;0,"Stephanie",""),IF(COUNTIF('Fox'!$B$6:$B$300,$A250)&gt;0,"Fox",""),IF(COUNTIF('Bruna'!$B$6:$B$300,$A250)&gt;0,"Bruna",""),IF(COUNTIF('Stella'!$B$6:$B$300,$A250)&gt;0,"Stella",""),IF(COUNTIF('Igor'!$B$6:$B$300,$A250)&gt;0,"Igor","")))</f>
        <v/>
      </c>
      <c r="H250" s="13" t="n"/>
      <c r="I250" s="13" t="inlineStr">
        <is>
          <t>Não iniciado</t>
        </is>
      </c>
      <c r="J250" s="17">
        <f>IF(OR($A250="",(COUNTIF('Clarice'!$B$6:$B$300,$A250)+COUNTIF('Luisa'!$B$6:$B$300,$A250)+COUNTIF('Lui'!$B$6:$B$300,$A250)+COUNTIF('Thaís'!$B$6:$B$300,$A250)+COUNTIF('Daniel'!$B$6:$B$300,$A250)+COUNTIF('Fernando'!$B$6:$B$300,$A250)+COUNTIF('Stephanie'!$B$6:$B$300,$A250)+COUNTIF('Fox'!$B$6:$B$300,$A250)+COUNTIF('Bruna'!$B$6:$B$300,$A250)+COUNTIF('Stella'!$B$6:$B$300,$A250)+COUNTIF('Igor'!$B$6:$B$300,$A250))=0),"",(COUNTIFS('Clarice'!$B$6:$B$300,$A250,'Clarice'!$F$6:$F$300,"Concluído")+COUNTIFS('Luisa'!$B$6:$B$300,$A250,'Luisa'!$F$6:$F$300,"Concluído")+COUNTIFS('Lui'!$B$6:$B$300,$A250,'Lui'!$F$6:$F$300,"Concluído")+COUNTIFS('Thaís'!$B$6:$B$300,$A250,'Thaís'!$F$6:$F$300,"Concluído")+COUNTIFS('Daniel'!$B$6:$B$300,$A250,'Daniel'!$F$6:$F$300,"Concluído")+COUNTIFS('Fernando'!$B$6:$B$300,$A250,'Fernando'!$F$6:$F$300,"Concluído")+COUNTIFS('Stephanie'!$B$6:$B$300,$A250,'Stephanie'!$F$6:$F$300,"Concluído")+COUNTIFS('Fox'!$B$6:$B$300,$A250,'Fox'!$F$6:$F$300,"Concluído")+COUNTIFS('Bruna'!$B$6:$B$300,$A250,'Bruna'!$F$6:$F$300,"Concluído")+COUNTIFS('Stella'!$B$6:$B$300,$A250,'Stella'!$F$6:$F$300,"Concluído")+COUNTIFS('Igor'!$B$6:$B$300,$A250,'Igor'!$F$6:$F$300,"Concluído"))&amp;" / "&amp;(COUNTIF('Clarice'!$B$6:$B$300,$A250)+COUNTIF('Luisa'!$B$6:$B$300,$A250)+COUNTIF('Lui'!$B$6:$B$300,$A250)+COUNTIF('Thaís'!$B$6:$B$300,$A250)+COUNTIF('Daniel'!$B$6:$B$300,$A250)+COUNTIF('Fernando'!$B$6:$B$300,$A250)+COUNTIF('Stephanie'!$B$6:$B$300,$A250)+COUNTIF('Fox'!$B$6:$B$300,$A250)+COUNTIF('Bruna'!$B$6:$B$300,$A250)+COUNTIF('Stella'!$B$6:$B$300,$A250)+COUNTIF('Igor'!$B$6:$B$300,$A250)))</f>
        <v/>
      </c>
      <c r="K250" s="18" t="n">
        <v>46195</v>
      </c>
      <c r="L250" s="18" t="n">
        <v>46241</v>
      </c>
      <c r="M250" s="18" t="n">
        <v>46195</v>
      </c>
      <c r="N250" s="18" t="n">
        <v>46290</v>
      </c>
      <c r="O250" s="19" t="n"/>
      <c r="P250" s="20">
        <f>IF($A250="","",IF(M250&lt;&gt;"",M250,IF(K250&lt;&gt;"",K250,"")))</f>
        <v/>
      </c>
      <c r="Q250" s="20">
        <f>IF($A250="","",IF(N250&lt;&gt;"",N250,IF(L250&lt;&gt;"",L250,"")))</f>
        <v/>
      </c>
      <c r="R250" s="15" t="n"/>
      <c r="S250" s="16">
        <f t="array" ref="S250">IF($A250="","",_xlfn.TEXTJOIN(CHAR(10),TRUE,IF('Clarice'!$B$6:$B$300=$A250,"Clarice"&amp;IF('Clarice'!$E$6:$E$300="",""," : "&amp;'Clarice'!$E$6:$E$300)&amp;" ["&amp;'Clarice'!$F$6:$F$300&amp;"]",""),IF('Luisa'!$B$6:$B$300=$A250,"Luisa"&amp;IF('Luisa'!$E$6:$E$300="",""," : "&amp;'Luisa'!$E$6:$E$300)&amp;" ["&amp;'Luisa'!$F$6:$F$300&amp;"]",""),IF('Lui'!$B$6:$B$300=$A250,"Lui"&amp;IF('Lui'!$E$6:$E$300="",""," : "&amp;'Lui'!$E$6:$E$300)&amp;" ["&amp;'Lui'!$F$6:$F$300&amp;"]",""),IF('Thaís'!$B$6:$B$300=$A250,"Thaís"&amp;IF('Thaís'!$E$6:$E$300="",""," : "&amp;'Thaís'!$E$6:$E$300)&amp;" ["&amp;'Thaís'!$F$6:$F$300&amp;"]",""),IF('Daniel'!$B$6:$B$300=$A250,"Daniel"&amp;IF('Daniel'!$E$6:$E$300="",""," : "&amp;'Daniel'!$E$6:$E$300)&amp;" ["&amp;'Daniel'!$F$6:$F$300&amp;"]",""),IF('Fernando'!$B$6:$B$300=$A250,"Fernando"&amp;IF('Fernando'!$E$6:$E$300="",""," : "&amp;'Fernando'!$E$6:$E$300)&amp;" ["&amp;'Fernando'!$F$6:$F$300&amp;"]",""),IF('Stephanie'!$B$6:$B$300=$A250,"Stephanie"&amp;IF('Stephanie'!$E$6:$E$300="",""," : "&amp;'Stephanie'!$E$6:$E$300)&amp;" ["&amp;'Stephanie'!$F$6:$F$300&amp;"]",""),IF('Fox'!$B$6:$B$300=$A250,"Fox"&amp;IF('Fox'!$E$6:$E$300="",""," : "&amp;'Fox'!$E$6:$E$300)&amp;" ["&amp;'Fox'!$F$6:$F$300&amp;"]",""),IF('Bruna'!$B$6:$B$300=$A250,"Bruna"&amp;IF('Bruna'!$E$6:$E$300="",""," : "&amp;'Bruna'!$E$6:$E$300)&amp;" ["&amp;'Bruna'!$F$6:$F$300&amp;"]",""),IF('Stella'!$B$6:$B$300=$A250,"Stella"&amp;IF('Stella'!$E$6:$E$300="",""," : "&amp;'Stella'!$E$6:$E$300)&amp;" ["&amp;'Stella'!$F$6:$F$300&amp;"]",""),IF('Igor'!$B$6:$B$300=$A250,"Igor"&amp;IF('Igor'!$E$6:$E$300="",""," : "&amp;'Igor'!$E$6:$E$300)&amp;" ["&amp;'Igor'!$F$6:$F$300&amp;"]","")))</f>
        <v/>
      </c>
    </row>
    <row r="251" ht="15.5" customHeight="1">
      <c r="A251" s="13" t="inlineStr">
        <is>
          <t>P3-022</t>
        </is>
      </c>
      <c r="B251" s="14" t="inlineStr">
        <is>
          <t>Etapa 2: Construção das métricas | Atividade 7: Operacionalização das métricas</t>
        </is>
      </c>
      <c r="C251" s="14" t="inlineStr">
        <is>
          <t>Relatório operacionalização das métricas (produto 3)</t>
        </is>
      </c>
      <c r="D251" s="14" t="inlineStr">
        <is>
          <t>Finalização do produto 3</t>
        </is>
      </c>
      <c r="E251" s="15" t="inlineStr">
        <is>
          <t>Entregar o relatório final para a Petrobras</t>
        </is>
      </c>
      <c r="F251" s="13" t="inlineStr">
        <is>
          <t>Stephanie</t>
        </is>
      </c>
      <c r="G251" s="16">
        <f>IF($A251="","",_xlfn.TEXTJOIN("; ",TRUE,IF(COUNTIF('Clarice'!$B$6:$B$300,$A251)&gt;0,"Clarice",""),IF(COUNTIF('Luisa'!$B$6:$B$300,$A251)&gt;0,"Luisa",""),IF(COUNTIF('Lui'!$B$6:$B$300,$A251)&gt;0,"Lui",""),IF(COUNTIF('Thaís'!$B$6:$B$300,$A251)&gt;0,"Thaís",""),IF(COUNTIF('Daniel'!$B$6:$B$300,$A251)&gt;0,"Daniel",""),IF(COUNTIF('Fernando'!$B$6:$B$300,$A251)&gt;0,"Fernando",""),IF(COUNTIF('Stephanie'!$B$6:$B$300,$A251)&gt;0,"Stephanie",""),IF(COUNTIF('Fox'!$B$6:$B$300,$A251)&gt;0,"Fox",""),IF(COUNTIF('Bruna'!$B$6:$B$300,$A251)&gt;0,"Bruna",""),IF(COUNTIF('Stella'!$B$6:$B$300,$A251)&gt;0,"Stella",""),IF(COUNTIF('Igor'!$B$6:$B$300,$A251)&gt;0,"Igor","")))</f>
        <v/>
      </c>
      <c r="H251" s="13" t="n"/>
      <c r="I251" s="13" t="inlineStr">
        <is>
          <t>Não iniciado</t>
        </is>
      </c>
      <c r="J251" s="17">
        <f>IF(OR($A251="",(COUNTIF('Clarice'!$B$6:$B$300,$A251)+COUNTIF('Luisa'!$B$6:$B$300,$A251)+COUNTIF('Lui'!$B$6:$B$300,$A251)+COUNTIF('Thaís'!$B$6:$B$300,$A251)+COUNTIF('Daniel'!$B$6:$B$300,$A251)+COUNTIF('Fernando'!$B$6:$B$300,$A251)+COUNTIF('Stephanie'!$B$6:$B$300,$A251)+COUNTIF('Fox'!$B$6:$B$300,$A251)+COUNTIF('Bruna'!$B$6:$B$300,$A251)+COUNTIF('Stella'!$B$6:$B$300,$A251)+COUNTIF('Igor'!$B$6:$B$300,$A251))=0),"",(COUNTIFS('Clarice'!$B$6:$B$300,$A251,'Clarice'!$F$6:$F$300,"Concluído")+COUNTIFS('Luisa'!$B$6:$B$300,$A251,'Luisa'!$F$6:$F$300,"Concluído")+COUNTIFS('Lui'!$B$6:$B$300,$A251,'Lui'!$F$6:$F$300,"Concluído")+COUNTIFS('Thaís'!$B$6:$B$300,$A251,'Thaís'!$F$6:$F$300,"Concluído")+COUNTIFS('Daniel'!$B$6:$B$300,$A251,'Daniel'!$F$6:$F$300,"Concluído")+COUNTIFS('Fernando'!$B$6:$B$300,$A251,'Fernando'!$F$6:$F$300,"Concluído")+COUNTIFS('Stephanie'!$B$6:$B$300,$A251,'Stephanie'!$F$6:$F$300,"Concluído")+COUNTIFS('Fox'!$B$6:$B$300,$A251,'Fox'!$F$6:$F$300,"Concluído")+COUNTIFS('Bruna'!$B$6:$B$300,$A251,'Bruna'!$F$6:$F$300,"Concluído")+COUNTIFS('Stella'!$B$6:$B$300,$A251,'Stella'!$F$6:$F$300,"Concluído")+COUNTIFS('Igor'!$B$6:$B$300,$A251,'Igor'!$F$6:$F$300,"Concluído"))&amp;" / "&amp;(COUNTIF('Clarice'!$B$6:$B$300,$A251)+COUNTIF('Luisa'!$B$6:$B$300,$A251)+COUNTIF('Lui'!$B$6:$B$300,$A251)+COUNTIF('Thaís'!$B$6:$B$300,$A251)+COUNTIF('Daniel'!$B$6:$B$300,$A251)+COUNTIF('Fernando'!$B$6:$B$300,$A251)+COUNTIF('Stephanie'!$B$6:$B$300,$A251)+COUNTIF('Fox'!$B$6:$B$300,$A251)+COUNTIF('Bruna'!$B$6:$B$300,$A251)+COUNTIF('Stella'!$B$6:$B$300,$A251)+COUNTIF('Igor'!$B$6:$B$300,$A251)))</f>
        <v/>
      </c>
      <c r="K251" s="18" t="n">
        <v>46202</v>
      </c>
      <c r="L251" s="18" t="n">
        <v>46241</v>
      </c>
      <c r="M251" s="18" t="n">
        <v>46202</v>
      </c>
      <c r="N251" s="18" t="n">
        <v>46262</v>
      </c>
      <c r="O251" s="19" t="n"/>
      <c r="P251" s="20">
        <f>IF($A251="","",IF(M251&lt;&gt;"",M251,IF(K251&lt;&gt;"",K251,"")))</f>
        <v/>
      </c>
      <c r="Q251" s="20">
        <f>IF($A251="","",IF(N251&lt;&gt;"",N251,IF(L251&lt;&gt;"",L251,"")))</f>
        <v/>
      </c>
      <c r="R251" s="15" t="n"/>
      <c r="S251" s="16">
        <f t="array" ref="S251">IF($A251="","",_xlfn.TEXTJOIN(CHAR(10),TRUE,IF('Clarice'!$B$6:$B$300=$A251,"Clarice"&amp;IF('Clarice'!$E$6:$E$300="",""," : "&amp;'Clarice'!$E$6:$E$300)&amp;" ["&amp;'Clarice'!$F$6:$F$300&amp;"]",""),IF('Luisa'!$B$6:$B$300=$A251,"Luisa"&amp;IF('Luisa'!$E$6:$E$300="",""," : "&amp;'Luisa'!$E$6:$E$300)&amp;" ["&amp;'Luisa'!$F$6:$F$300&amp;"]",""),IF('Lui'!$B$6:$B$300=$A251,"Lui"&amp;IF('Lui'!$E$6:$E$300="",""," : "&amp;'Lui'!$E$6:$E$300)&amp;" ["&amp;'Lui'!$F$6:$F$300&amp;"]",""),IF('Thaís'!$B$6:$B$300=$A251,"Thaís"&amp;IF('Thaís'!$E$6:$E$300="",""," : "&amp;'Thaís'!$E$6:$E$300)&amp;" ["&amp;'Thaís'!$F$6:$F$300&amp;"]",""),IF('Daniel'!$B$6:$B$300=$A251,"Daniel"&amp;IF('Daniel'!$E$6:$E$300="",""," : "&amp;'Daniel'!$E$6:$E$300)&amp;" ["&amp;'Daniel'!$F$6:$F$300&amp;"]",""),IF('Fernando'!$B$6:$B$300=$A251,"Fernando"&amp;IF('Fernando'!$E$6:$E$300="",""," : "&amp;'Fernando'!$E$6:$E$300)&amp;" ["&amp;'Fernando'!$F$6:$F$300&amp;"]",""),IF('Stephanie'!$B$6:$B$300=$A251,"Stephanie"&amp;IF('Stephanie'!$E$6:$E$300="",""," : "&amp;'Stephanie'!$E$6:$E$300)&amp;" ["&amp;'Stephanie'!$F$6:$F$300&amp;"]",""),IF('Fox'!$B$6:$B$300=$A251,"Fox"&amp;IF('Fox'!$E$6:$E$300="",""," : "&amp;'Fox'!$E$6:$E$300)&amp;" ["&amp;'Fox'!$F$6:$F$300&amp;"]",""),IF('Bruna'!$B$6:$B$300=$A251,"Bruna"&amp;IF('Bruna'!$E$6:$E$300="",""," : "&amp;'Bruna'!$E$6:$E$300)&amp;" ["&amp;'Bruna'!$F$6:$F$300&amp;"]",""),IF('Stella'!$B$6:$B$300=$A251,"Stella"&amp;IF('Stella'!$E$6:$E$300="",""," : "&amp;'Stella'!$E$6:$E$300)&amp;" ["&amp;'Stella'!$F$6:$F$300&amp;"]",""),IF('Igor'!$B$6:$B$300=$A251,"Igor"&amp;IF('Igor'!$E$6:$E$300="",""," : "&amp;'Igor'!$E$6:$E$300)&amp;" ["&amp;'Igor'!$F$6:$F$300&amp;"]","")))</f>
        <v/>
      </c>
    </row>
    <row r="252" ht="20" customHeight="1">
      <c r="A252" s="11" t="n"/>
      <c r="B252" s="11" t="inlineStr"/>
      <c r="C252" s="11" t="inlineStr">
        <is>
          <t>Relatório aplicação das métricas (produto 4)</t>
        </is>
      </c>
      <c r="D252" s="11" t="n"/>
      <c r="E252" s="11" t="inlineStr">
        <is>
          <t>Relatório aplicação das métricas (produto 4)</t>
        </is>
      </c>
      <c r="F252" s="11" t="n"/>
      <c r="G252" s="11">
        <f>IF($A252="","",_xlfn.TEXTJOIN("; ",TRUE,IF(COUNTIF('Clarice'!$B$6:$B$300,$A252)&gt;0,"Clarice",""),IF(COUNTIF('Luisa'!$B$6:$B$300,$A252)&gt;0,"Luisa",""),IF(COUNTIF('Lui'!$B$6:$B$300,$A252)&gt;0,"Lui",""),IF(COUNTIF('Thaís'!$B$6:$B$300,$A252)&gt;0,"Thaís",""),IF(COUNTIF('Daniel'!$B$6:$B$300,$A252)&gt;0,"Daniel",""),IF(COUNTIF('Fernando'!$B$6:$B$300,$A252)&gt;0,"Fernando",""),IF(COUNTIF('Stephanie'!$B$6:$B$300,$A252)&gt;0,"Stephanie",""),IF(COUNTIF('Fox'!$B$6:$B$300,$A252)&gt;0,"Fox",""),IF(COUNTIF('Bruna'!$B$6:$B$300,$A252)&gt;0,"Bruna",""),IF(COUNTIF('Stella'!$B$6:$B$300,$A252)&gt;0,"Stella",""),IF(COUNTIF('Igor'!$B$6:$B$300,$A252)&gt;0,"Igor","")))</f>
        <v/>
      </c>
      <c r="H252" s="11" t="n"/>
      <c r="I252" s="11" t="n"/>
      <c r="J252" s="11">
        <f>IF(OR($A252="",(COUNTIF('Clarice'!$B$6:$B$300,$A252)+COUNTIF('Luisa'!$B$6:$B$300,$A252)+COUNTIF('Lui'!$B$6:$B$300,$A252)+COUNTIF('Thaís'!$B$6:$B$300,$A252)+COUNTIF('Daniel'!$B$6:$B$300,$A252)+COUNTIF('Fernando'!$B$6:$B$300,$A252)+COUNTIF('Stephanie'!$B$6:$B$300,$A252)+COUNTIF('Fox'!$B$6:$B$300,$A252)+COUNTIF('Bruna'!$B$6:$B$300,$A252)+COUNTIF('Stella'!$B$6:$B$300,$A252)+COUNTIF('Igor'!$B$6:$B$300,$A252))=0),"",(COUNTIFS('Clarice'!$B$6:$B$300,$A252,'Clarice'!$F$6:$F$300,"Concluído")+COUNTIFS('Luisa'!$B$6:$B$300,$A252,'Luisa'!$F$6:$F$300,"Concluído")+COUNTIFS('Lui'!$B$6:$B$300,$A252,'Lui'!$F$6:$F$300,"Concluído")+COUNTIFS('Thaís'!$B$6:$B$300,$A252,'Thaís'!$F$6:$F$300,"Concluído")+COUNTIFS('Daniel'!$B$6:$B$300,$A252,'Daniel'!$F$6:$F$300,"Concluído")+COUNTIFS('Fernando'!$B$6:$B$300,$A252,'Fernando'!$F$6:$F$300,"Concluído")+COUNTIFS('Stephanie'!$B$6:$B$300,$A252,'Stephanie'!$F$6:$F$300,"Concluído")+COUNTIFS('Fox'!$B$6:$B$300,$A252,'Fox'!$F$6:$F$300,"Concluído")+COUNTIFS('Bruna'!$B$6:$B$300,$A252,'Bruna'!$F$6:$F$300,"Concluído")+COUNTIFS('Stella'!$B$6:$B$300,$A252,'Stella'!$F$6:$F$300,"Concluído")+COUNTIFS('Igor'!$B$6:$B$300,$A252,'Igor'!$F$6:$F$300,"Concluído"))&amp;" / "&amp;(COUNTIF('Clarice'!$B$6:$B$300,$A252)+COUNTIF('Luisa'!$B$6:$B$300,$A252)+COUNTIF('Lui'!$B$6:$B$300,$A252)+COUNTIF('Thaís'!$B$6:$B$300,$A252)+COUNTIF('Daniel'!$B$6:$B$300,$A252)+COUNTIF('Fernando'!$B$6:$B$300,$A252)+COUNTIF('Stephanie'!$B$6:$B$300,$A252)+COUNTIF('Fox'!$B$6:$B$300,$A252)+COUNTIF('Bruna'!$B$6:$B$300,$A252)+COUNTIF('Stella'!$B$6:$B$300,$A252)+COUNTIF('Igor'!$B$6:$B$300,$A252)))</f>
        <v/>
      </c>
      <c r="K252" s="11" t="n"/>
      <c r="L252" s="11" t="n"/>
      <c r="M252" s="11" t="n"/>
      <c r="N252" s="11" t="n"/>
      <c r="O252" s="11" t="n"/>
      <c r="P252" s="12">
        <f>IF($A252="","",IF(M252&lt;&gt;"",M252,IF(K252&lt;&gt;"",K252,"")))</f>
        <v/>
      </c>
      <c r="Q252" s="12">
        <f>IF($A252="","",IF(N252&lt;&gt;"",N252,IF(L252&lt;&gt;"",L252,"")))</f>
        <v/>
      </c>
      <c r="R252" s="11" t="n"/>
      <c r="S252" s="11">
        <f t="array" ref="S252">IF($A252="","",_xlfn.TEXTJOIN(CHAR(10),TRUE,IF('Clarice'!$B$6:$B$300=$A252,"Clarice"&amp;IF('Clarice'!$E$6:$E$300="",""," : "&amp;'Clarice'!$E$6:$E$300)&amp;" ["&amp;'Clarice'!$F$6:$F$300&amp;"]",""),IF('Luisa'!$B$6:$B$300=$A252,"Luisa"&amp;IF('Luisa'!$E$6:$E$300="",""," : "&amp;'Luisa'!$E$6:$E$300)&amp;" ["&amp;'Luisa'!$F$6:$F$300&amp;"]",""),IF('Lui'!$B$6:$B$300=$A252,"Lui"&amp;IF('Lui'!$E$6:$E$300="",""," : "&amp;'Lui'!$E$6:$E$300)&amp;" ["&amp;'Lui'!$F$6:$F$300&amp;"]",""),IF('Thaís'!$B$6:$B$300=$A252,"Thaís"&amp;IF('Thaís'!$E$6:$E$300="",""," : "&amp;'Thaís'!$E$6:$E$300)&amp;" ["&amp;'Thaís'!$F$6:$F$300&amp;"]",""),IF('Daniel'!$B$6:$B$300=$A252,"Daniel"&amp;IF('Daniel'!$E$6:$E$300="",""," : "&amp;'Daniel'!$E$6:$E$300)&amp;" ["&amp;'Daniel'!$F$6:$F$300&amp;"]",""),IF('Fernando'!$B$6:$B$300=$A252,"Fernando"&amp;IF('Fernando'!$E$6:$E$300="",""," : "&amp;'Fernando'!$E$6:$E$300)&amp;" ["&amp;'Fernando'!$F$6:$F$300&amp;"]",""),IF('Stephanie'!$B$6:$B$300=$A252,"Stephanie"&amp;IF('Stephanie'!$E$6:$E$300="",""," : "&amp;'Stephanie'!$E$6:$E$300)&amp;" ["&amp;'Stephanie'!$F$6:$F$300&amp;"]",""),IF('Fox'!$B$6:$B$300=$A252,"Fox"&amp;IF('Fox'!$E$6:$E$300="",""," : "&amp;'Fox'!$E$6:$E$300)&amp;" ["&amp;'Fox'!$F$6:$F$300&amp;"]",""),IF('Bruna'!$B$6:$B$300=$A252,"Bruna"&amp;IF('Bruna'!$E$6:$E$300="",""," : "&amp;'Bruna'!$E$6:$E$300)&amp;" ["&amp;'Bruna'!$F$6:$F$300&amp;"]",""),IF('Stella'!$B$6:$B$300=$A252,"Stella"&amp;IF('Stella'!$E$6:$E$300="",""," : "&amp;'Stella'!$E$6:$E$300)&amp;" ["&amp;'Stella'!$F$6:$F$300&amp;"]",""),IF('Igor'!$B$6:$B$300=$A252,"Igor"&amp;IF('Igor'!$E$6:$E$300="",""," : "&amp;'Igor'!$E$6:$E$300)&amp;" ["&amp;'Igor'!$F$6:$F$300&amp;"]","")))</f>
        <v/>
      </c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</row>
    <row r="253">
      <c r="A253" s="21" t="n"/>
      <c r="B253" s="21" t="inlineStr"/>
      <c r="C253" s="21" t="inlineStr">
        <is>
          <t>Relatório aplicação das métricas (produto 4)</t>
        </is>
      </c>
      <c r="D253" s="21" t="inlineStr">
        <is>
          <t>UTGCA</t>
        </is>
      </c>
      <c r="E253" s="21" t="inlineStr">
        <is>
          <t>UTGCA</t>
        </is>
      </c>
      <c r="F253" s="21" t="n"/>
      <c r="G253" s="21">
        <f>IF($A253="","",_xlfn.TEXTJOIN("; ",TRUE,IF(COUNTIF('Clarice'!$B$6:$B$300,$A253)&gt;0,"Clarice",""),IF(COUNTIF('Luisa'!$B$6:$B$300,$A253)&gt;0,"Luisa",""),IF(COUNTIF('Lui'!$B$6:$B$300,$A253)&gt;0,"Lui",""),IF(COUNTIF('Thaís'!$B$6:$B$300,$A253)&gt;0,"Thaís",""),IF(COUNTIF('Daniel'!$B$6:$B$300,$A253)&gt;0,"Daniel",""),IF(COUNTIF('Fernando'!$B$6:$B$300,$A253)&gt;0,"Fernando",""),IF(COUNTIF('Stephanie'!$B$6:$B$300,$A253)&gt;0,"Stephanie",""),IF(COUNTIF('Fox'!$B$6:$B$300,$A253)&gt;0,"Fox",""),IF(COUNTIF('Bruna'!$B$6:$B$300,$A253)&gt;0,"Bruna",""),IF(COUNTIF('Stella'!$B$6:$B$300,$A253)&gt;0,"Stella",""),IF(COUNTIF('Igor'!$B$6:$B$300,$A253)&gt;0,"Igor","")))</f>
        <v/>
      </c>
      <c r="H253" s="21" t="n"/>
      <c r="I253" s="21" t="n"/>
      <c r="J253" s="21">
        <f>IF(OR($A253="",(COUNTIF('Clarice'!$B$6:$B$300,$A253)+COUNTIF('Luisa'!$B$6:$B$300,$A253)+COUNTIF('Lui'!$B$6:$B$300,$A253)+COUNTIF('Thaís'!$B$6:$B$300,$A253)+COUNTIF('Daniel'!$B$6:$B$300,$A253)+COUNTIF('Fernando'!$B$6:$B$300,$A253)+COUNTIF('Stephanie'!$B$6:$B$300,$A253)+COUNTIF('Fox'!$B$6:$B$300,$A253)+COUNTIF('Bruna'!$B$6:$B$300,$A253)+COUNTIF('Stella'!$B$6:$B$300,$A253)+COUNTIF('Igor'!$B$6:$B$300,$A253))=0),"",(COUNTIFS('Clarice'!$B$6:$B$300,$A253,'Clarice'!$F$6:$F$300,"Concluído")+COUNTIFS('Luisa'!$B$6:$B$300,$A253,'Luisa'!$F$6:$F$300,"Concluído")+COUNTIFS('Lui'!$B$6:$B$300,$A253,'Lui'!$F$6:$F$300,"Concluído")+COUNTIFS('Thaís'!$B$6:$B$300,$A253,'Thaís'!$F$6:$F$300,"Concluído")+COUNTIFS('Daniel'!$B$6:$B$300,$A253,'Daniel'!$F$6:$F$300,"Concluído")+COUNTIFS('Fernando'!$B$6:$B$300,$A253,'Fernando'!$F$6:$F$300,"Concluído")+COUNTIFS('Stephanie'!$B$6:$B$300,$A253,'Stephanie'!$F$6:$F$300,"Concluído")+COUNTIFS('Fox'!$B$6:$B$300,$A253,'Fox'!$F$6:$F$300,"Concluído")+COUNTIFS('Bruna'!$B$6:$B$300,$A253,'Bruna'!$F$6:$F$300,"Concluído")+COUNTIFS('Stella'!$B$6:$B$300,$A253,'Stella'!$F$6:$F$300,"Concluído")+COUNTIFS('Igor'!$B$6:$B$300,$A253,'Igor'!$F$6:$F$300,"Concluído"))&amp;" / "&amp;(COUNTIF('Clarice'!$B$6:$B$300,$A253)+COUNTIF('Luisa'!$B$6:$B$300,$A253)+COUNTIF('Lui'!$B$6:$B$300,$A253)+COUNTIF('Thaís'!$B$6:$B$300,$A253)+COUNTIF('Daniel'!$B$6:$B$300,$A253)+COUNTIF('Fernando'!$B$6:$B$300,$A253)+COUNTIF('Stephanie'!$B$6:$B$300,$A253)+COUNTIF('Fox'!$B$6:$B$300,$A253)+COUNTIF('Bruna'!$B$6:$B$300,$A253)+COUNTIF('Stella'!$B$6:$B$300,$A253)+COUNTIF('Igor'!$B$6:$B$300,$A253)))</f>
        <v/>
      </c>
      <c r="K253" s="21" t="n"/>
      <c r="L253" s="21" t="n"/>
      <c r="M253" s="21" t="n"/>
      <c r="N253" s="21" t="n"/>
      <c r="O253" s="21" t="n"/>
      <c r="P253" s="22">
        <f>IF($A253="","",IF(M253&lt;&gt;"",M253,IF(K253&lt;&gt;"",K253,"")))</f>
        <v/>
      </c>
      <c r="Q253" s="22">
        <f>IF($A253="","",IF(N253&lt;&gt;"",N253,IF(L253&lt;&gt;"",L253,"")))</f>
        <v/>
      </c>
      <c r="R253" s="21" t="n"/>
      <c r="S253" s="21">
        <f t="array" ref="S253">IF($A253="","",_xlfn.TEXTJOIN(CHAR(10),TRUE,IF('Clarice'!$B$6:$B$300=$A253,"Clarice"&amp;IF('Clarice'!$E$6:$E$300="",""," : "&amp;'Clarice'!$E$6:$E$300)&amp;" ["&amp;'Clarice'!$F$6:$F$300&amp;"]",""),IF('Luisa'!$B$6:$B$300=$A253,"Luisa"&amp;IF('Luisa'!$E$6:$E$300="",""," : "&amp;'Luisa'!$E$6:$E$300)&amp;" ["&amp;'Luisa'!$F$6:$F$300&amp;"]",""),IF('Lui'!$B$6:$B$300=$A253,"Lui"&amp;IF('Lui'!$E$6:$E$300="",""," : "&amp;'Lui'!$E$6:$E$300)&amp;" ["&amp;'Lui'!$F$6:$F$300&amp;"]",""),IF('Thaís'!$B$6:$B$300=$A253,"Thaís"&amp;IF('Thaís'!$E$6:$E$300="",""," : "&amp;'Thaís'!$E$6:$E$300)&amp;" ["&amp;'Thaís'!$F$6:$F$300&amp;"]",""),IF('Daniel'!$B$6:$B$300=$A253,"Daniel"&amp;IF('Daniel'!$E$6:$E$300="",""," : "&amp;'Daniel'!$E$6:$E$300)&amp;" ["&amp;'Daniel'!$F$6:$F$300&amp;"]",""),IF('Fernando'!$B$6:$B$300=$A253,"Fernando"&amp;IF('Fernando'!$E$6:$E$300="",""," : "&amp;'Fernando'!$E$6:$E$300)&amp;" ["&amp;'Fernando'!$F$6:$F$300&amp;"]",""),IF('Stephanie'!$B$6:$B$300=$A253,"Stephanie"&amp;IF('Stephanie'!$E$6:$E$300="",""," : "&amp;'Stephanie'!$E$6:$E$300)&amp;" ["&amp;'Stephanie'!$F$6:$F$300&amp;"]",""),IF('Fox'!$B$6:$B$300=$A253,"Fox"&amp;IF('Fox'!$E$6:$E$300="",""," : "&amp;'Fox'!$E$6:$E$300)&amp;" ["&amp;'Fox'!$F$6:$F$300&amp;"]",""),IF('Bruna'!$B$6:$B$300=$A253,"Bruna"&amp;IF('Bruna'!$E$6:$E$300="",""," : "&amp;'Bruna'!$E$6:$E$300)&amp;" ["&amp;'Bruna'!$F$6:$F$300&amp;"]",""),IF('Stella'!$B$6:$B$300=$A253,"Stella"&amp;IF('Stella'!$E$6:$E$300="",""," : "&amp;'Stella'!$E$6:$E$300)&amp;" ["&amp;'Stella'!$F$6:$F$300&amp;"]",""),IF('Igor'!$B$6:$B$300=$A253,"Igor"&amp;IF('Igor'!$E$6:$E$300="",""," : "&amp;'Igor'!$E$6:$E$300)&amp;" ["&amp;'Igor'!$F$6:$F$300&amp;"]","")))</f>
        <v/>
      </c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</row>
    <row r="254" ht="15.5" customHeight="1">
      <c r="A254" s="13" t="inlineStr">
        <is>
          <t>P4-001</t>
        </is>
      </c>
      <c r="B254" s="14" t="inlineStr"/>
      <c r="C254" s="14" t="inlineStr">
        <is>
          <t>Relatório aplicação das métricas (produto 4)</t>
        </is>
      </c>
      <c r="D254" s="14" t="inlineStr">
        <is>
          <t>UTGCA</t>
        </is>
      </c>
      <c r="E254" s="15" t="inlineStr">
        <is>
          <t>Redigir o texto (EC)</t>
        </is>
      </c>
      <c r="F254" s="13" t="n"/>
      <c r="G254" s="16">
        <f>IF($A254="","",_xlfn.TEXTJOIN("; ",TRUE,IF(COUNTIF('Clarice'!$B$6:$B$300,$A254)&gt;0,"Clarice",""),IF(COUNTIF('Luisa'!$B$6:$B$300,$A254)&gt;0,"Luisa",""),IF(COUNTIF('Lui'!$B$6:$B$300,$A254)&gt;0,"Lui",""),IF(COUNTIF('Thaís'!$B$6:$B$300,$A254)&gt;0,"Thaís",""),IF(COUNTIF('Daniel'!$B$6:$B$300,$A254)&gt;0,"Daniel",""),IF(COUNTIF('Fernando'!$B$6:$B$300,$A254)&gt;0,"Fernando",""),IF(COUNTIF('Stephanie'!$B$6:$B$300,$A254)&gt;0,"Stephanie",""),IF(COUNTIF('Fox'!$B$6:$B$300,$A254)&gt;0,"Fox",""),IF(COUNTIF('Bruna'!$B$6:$B$300,$A254)&gt;0,"Bruna",""),IF(COUNTIF('Stella'!$B$6:$B$300,$A254)&gt;0,"Stella",""),IF(COUNTIF('Igor'!$B$6:$B$300,$A254)&gt;0,"Igor","")))</f>
        <v/>
      </c>
      <c r="H254" s="13" t="n"/>
      <c r="I254" s="13" t="inlineStr">
        <is>
          <t>Não iniciado</t>
        </is>
      </c>
      <c r="J254" s="17">
        <f>IF(OR($A254="",(COUNTIF('Clarice'!$B$6:$B$300,$A254)+COUNTIF('Luisa'!$B$6:$B$300,$A254)+COUNTIF('Lui'!$B$6:$B$300,$A254)+COUNTIF('Thaís'!$B$6:$B$300,$A254)+COUNTIF('Daniel'!$B$6:$B$300,$A254)+COUNTIF('Fernando'!$B$6:$B$300,$A254)+COUNTIF('Stephanie'!$B$6:$B$300,$A254)+COUNTIF('Fox'!$B$6:$B$300,$A254)+COUNTIF('Bruna'!$B$6:$B$300,$A254)+COUNTIF('Stella'!$B$6:$B$300,$A254)+COUNTIF('Igor'!$B$6:$B$300,$A254))=0),"",(COUNTIFS('Clarice'!$B$6:$B$300,$A254,'Clarice'!$F$6:$F$300,"Concluído")+COUNTIFS('Luisa'!$B$6:$B$300,$A254,'Luisa'!$F$6:$F$300,"Concluído")+COUNTIFS('Lui'!$B$6:$B$300,$A254,'Lui'!$F$6:$F$300,"Concluído")+COUNTIFS('Thaís'!$B$6:$B$300,$A254,'Thaís'!$F$6:$F$300,"Concluído")+COUNTIFS('Daniel'!$B$6:$B$300,$A254,'Daniel'!$F$6:$F$300,"Concluído")+COUNTIFS('Fernando'!$B$6:$B$300,$A254,'Fernando'!$F$6:$F$300,"Concluído")+COUNTIFS('Stephanie'!$B$6:$B$300,$A254,'Stephanie'!$F$6:$F$300,"Concluído")+COUNTIFS('Fox'!$B$6:$B$300,$A254,'Fox'!$F$6:$F$300,"Concluído")+COUNTIFS('Bruna'!$B$6:$B$300,$A254,'Bruna'!$F$6:$F$300,"Concluído")+COUNTIFS('Stella'!$B$6:$B$300,$A254,'Stella'!$F$6:$F$300,"Concluído")+COUNTIFS('Igor'!$B$6:$B$300,$A254,'Igor'!$F$6:$F$300,"Concluído"))&amp;" / "&amp;(COUNTIF('Clarice'!$B$6:$B$300,$A254)+COUNTIF('Luisa'!$B$6:$B$300,$A254)+COUNTIF('Lui'!$B$6:$B$300,$A254)+COUNTIF('Thaís'!$B$6:$B$300,$A254)+COUNTIF('Daniel'!$B$6:$B$300,$A254)+COUNTIF('Fernando'!$B$6:$B$300,$A254)+COUNTIF('Stephanie'!$B$6:$B$300,$A254)+COUNTIF('Fox'!$B$6:$B$300,$A254)+COUNTIF('Bruna'!$B$6:$B$300,$A254)+COUNTIF('Stella'!$B$6:$B$300,$A254)+COUNTIF('Igor'!$B$6:$B$300,$A254)))</f>
        <v/>
      </c>
      <c r="K254" s="19" t="n"/>
      <c r="L254" s="19" t="n"/>
      <c r="M254" s="19" t="n"/>
      <c r="N254" s="19" t="n"/>
      <c r="O254" s="19" t="n"/>
      <c r="P254" s="20">
        <f>IF($A254="","",IF(M254&lt;&gt;"",M254,IF(K254&lt;&gt;"",K254,"")))</f>
        <v/>
      </c>
      <c r="Q254" s="20">
        <f>IF($A254="","",IF(N254&lt;&gt;"",N254,IF(L254&lt;&gt;"",L254,"")))</f>
        <v/>
      </c>
      <c r="R254" s="15" t="n"/>
      <c r="S254" s="16">
        <f t="array" ref="S254">IF($A254="","",_xlfn.TEXTJOIN(CHAR(10),TRUE,IF('Clarice'!$B$6:$B$300=$A254,"Clarice"&amp;IF('Clarice'!$E$6:$E$300="",""," : "&amp;'Clarice'!$E$6:$E$300)&amp;" ["&amp;'Clarice'!$F$6:$F$300&amp;"]",""),IF('Luisa'!$B$6:$B$300=$A254,"Luisa"&amp;IF('Luisa'!$E$6:$E$300="",""," : "&amp;'Luisa'!$E$6:$E$300)&amp;" ["&amp;'Luisa'!$F$6:$F$300&amp;"]",""),IF('Lui'!$B$6:$B$300=$A254,"Lui"&amp;IF('Lui'!$E$6:$E$300="",""," : "&amp;'Lui'!$E$6:$E$300)&amp;" ["&amp;'Lui'!$F$6:$F$300&amp;"]",""),IF('Thaís'!$B$6:$B$300=$A254,"Thaís"&amp;IF('Thaís'!$E$6:$E$300="",""," : "&amp;'Thaís'!$E$6:$E$300)&amp;" ["&amp;'Thaís'!$F$6:$F$300&amp;"]",""),IF('Daniel'!$B$6:$B$300=$A254,"Daniel"&amp;IF('Daniel'!$E$6:$E$300="",""," : "&amp;'Daniel'!$E$6:$E$300)&amp;" ["&amp;'Daniel'!$F$6:$F$300&amp;"]",""),IF('Fernando'!$B$6:$B$300=$A254,"Fernando"&amp;IF('Fernando'!$E$6:$E$300="",""," : "&amp;'Fernando'!$E$6:$E$300)&amp;" ["&amp;'Fernando'!$F$6:$F$300&amp;"]",""),IF('Stephanie'!$B$6:$B$300=$A254,"Stephanie"&amp;IF('Stephanie'!$E$6:$E$300="",""," : "&amp;'Stephanie'!$E$6:$E$300)&amp;" ["&amp;'Stephanie'!$F$6:$F$300&amp;"]",""),IF('Fox'!$B$6:$B$300=$A254,"Fox"&amp;IF('Fox'!$E$6:$E$300="",""," : "&amp;'Fox'!$E$6:$E$300)&amp;" ["&amp;'Fox'!$F$6:$F$300&amp;"]",""),IF('Bruna'!$B$6:$B$300=$A254,"Bruna"&amp;IF('Bruna'!$E$6:$E$300="",""," : "&amp;'Bruna'!$E$6:$E$300)&amp;" ["&amp;'Bruna'!$F$6:$F$300&amp;"]",""),IF('Stella'!$B$6:$B$300=$A254,"Stella"&amp;IF('Stella'!$E$6:$E$300="",""," : "&amp;'Stella'!$E$6:$E$300)&amp;" ["&amp;'Stella'!$F$6:$F$300&amp;"]",""),IF('Igor'!$B$6:$B$300=$A254,"Igor"&amp;IF('Igor'!$E$6:$E$300="",""," : "&amp;'Igor'!$E$6:$E$300)&amp;" ["&amp;'Igor'!$F$6:$F$300&amp;"]","")))</f>
        <v/>
      </c>
    </row>
    <row r="255" ht="15.5" customHeight="1">
      <c r="A255" s="13" t="inlineStr">
        <is>
          <t>P4-002</t>
        </is>
      </c>
      <c r="B255" s="14" t="inlineStr"/>
      <c r="C255" s="14" t="inlineStr">
        <is>
          <t>Relatório aplicação das métricas (produto 4)</t>
        </is>
      </c>
      <c r="D255" s="14" t="inlineStr">
        <is>
          <t>UTGCA</t>
        </is>
      </c>
      <c r="E255" s="15" t="inlineStr">
        <is>
          <t>Preparar resultados texto principal (EC)</t>
        </is>
      </c>
      <c r="F255" s="13" t="n"/>
      <c r="G255" s="16">
        <f>IF($A255="","",_xlfn.TEXTJOIN("; ",TRUE,IF(COUNTIF('Clarice'!$B$6:$B$300,$A255)&gt;0,"Clarice",""),IF(COUNTIF('Luisa'!$B$6:$B$300,$A255)&gt;0,"Luisa",""),IF(COUNTIF('Lui'!$B$6:$B$300,$A255)&gt;0,"Lui",""),IF(COUNTIF('Thaís'!$B$6:$B$300,$A255)&gt;0,"Thaís",""),IF(COUNTIF('Daniel'!$B$6:$B$300,$A255)&gt;0,"Daniel",""),IF(COUNTIF('Fernando'!$B$6:$B$300,$A255)&gt;0,"Fernando",""),IF(COUNTIF('Stephanie'!$B$6:$B$300,$A255)&gt;0,"Stephanie",""),IF(COUNTIF('Fox'!$B$6:$B$300,$A255)&gt;0,"Fox",""),IF(COUNTIF('Bruna'!$B$6:$B$300,$A255)&gt;0,"Bruna",""),IF(COUNTIF('Stella'!$B$6:$B$300,$A255)&gt;0,"Stella",""),IF(COUNTIF('Igor'!$B$6:$B$300,$A255)&gt;0,"Igor","")))</f>
        <v/>
      </c>
      <c r="H255" s="13" t="n"/>
      <c r="I255" s="13" t="inlineStr">
        <is>
          <t>Não iniciado</t>
        </is>
      </c>
      <c r="J255" s="17">
        <f>IF(OR($A255="",(COUNTIF('Clarice'!$B$6:$B$300,$A255)+COUNTIF('Luisa'!$B$6:$B$300,$A255)+COUNTIF('Lui'!$B$6:$B$300,$A255)+COUNTIF('Thaís'!$B$6:$B$300,$A255)+COUNTIF('Daniel'!$B$6:$B$300,$A255)+COUNTIF('Fernando'!$B$6:$B$300,$A255)+COUNTIF('Stephanie'!$B$6:$B$300,$A255)+COUNTIF('Fox'!$B$6:$B$300,$A255)+COUNTIF('Bruna'!$B$6:$B$300,$A255)+COUNTIF('Stella'!$B$6:$B$300,$A255)+COUNTIF('Igor'!$B$6:$B$300,$A255))=0),"",(COUNTIFS('Clarice'!$B$6:$B$300,$A255,'Clarice'!$F$6:$F$300,"Concluído")+COUNTIFS('Luisa'!$B$6:$B$300,$A255,'Luisa'!$F$6:$F$300,"Concluído")+COUNTIFS('Lui'!$B$6:$B$300,$A255,'Lui'!$F$6:$F$300,"Concluído")+COUNTIFS('Thaís'!$B$6:$B$300,$A255,'Thaís'!$F$6:$F$300,"Concluído")+COUNTIFS('Daniel'!$B$6:$B$300,$A255,'Daniel'!$F$6:$F$300,"Concluído")+COUNTIFS('Fernando'!$B$6:$B$300,$A255,'Fernando'!$F$6:$F$300,"Concluído")+COUNTIFS('Stephanie'!$B$6:$B$300,$A255,'Stephanie'!$F$6:$F$300,"Concluído")+COUNTIFS('Fox'!$B$6:$B$300,$A255,'Fox'!$F$6:$F$300,"Concluído")+COUNTIFS('Bruna'!$B$6:$B$300,$A255,'Bruna'!$F$6:$F$300,"Concluído")+COUNTIFS('Stella'!$B$6:$B$300,$A255,'Stella'!$F$6:$F$300,"Concluído")+COUNTIFS('Igor'!$B$6:$B$300,$A255,'Igor'!$F$6:$F$300,"Concluído"))&amp;" / "&amp;(COUNTIF('Clarice'!$B$6:$B$300,$A255)+COUNTIF('Luisa'!$B$6:$B$300,$A255)+COUNTIF('Lui'!$B$6:$B$300,$A255)+COUNTIF('Thaís'!$B$6:$B$300,$A255)+COUNTIF('Daniel'!$B$6:$B$300,$A255)+COUNTIF('Fernando'!$B$6:$B$300,$A255)+COUNTIF('Stephanie'!$B$6:$B$300,$A255)+COUNTIF('Fox'!$B$6:$B$300,$A255)+COUNTIF('Bruna'!$B$6:$B$300,$A255)+COUNTIF('Stella'!$B$6:$B$300,$A255)+COUNTIF('Igor'!$B$6:$B$300,$A255)))</f>
        <v/>
      </c>
      <c r="K255" s="19" t="n"/>
      <c r="L255" s="19" t="n"/>
      <c r="M255" s="19" t="n"/>
      <c r="N255" s="19" t="n"/>
      <c r="O255" s="19" t="n"/>
      <c r="P255" s="20">
        <f>IF($A255="","",IF(M255&lt;&gt;"",M255,IF(K255&lt;&gt;"",K255,"")))</f>
        <v/>
      </c>
      <c r="Q255" s="20">
        <f>IF($A255="","",IF(N255&lt;&gt;"",N255,IF(L255&lt;&gt;"",L255,"")))</f>
        <v/>
      </c>
      <c r="R255" s="15" t="n"/>
      <c r="S255" s="16">
        <f t="array" ref="S255">IF($A255="","",_xlfn.TEXTJOIN(CHAR(10),TRUE,IF('Clarice'!$B$6:$B$300=$A255,"Clarice"&amp;IF('Clarice'!$E$6:$E$300="",""," : "&amp;'Clarice'!$E$6:$E$300)&amp;" ["&amp;'Clarice'!$F$6:$F$300&amp;"]",""),IF('Luisa'!$B$6:$B$300=$A255,"Luisa"&amp;IF('Luisa'!$E$6:$E$300="",""," : "&amp;'Luisa'!$E$6:$E$300)&amp;" ["&amp;'Luisa'!$F$6:$F$300&amp;"]",""),IF('Lui'!$B$6:$B$300=$A255,"Lui"&amp;IF('Lui'!$E$6:$E$300="",""," : "&amp;'Lui'!$E$6:$E$300)&amp;" ["&amp;'Lui'!$F$6:$F$300&amp;"]",""),IF('Thaís'!$B$6:$B$300=$A255,"Thaís"&amp;IF('Thaís'!$E$6:$E$300="",""," : "&amp;'Thaís'!$E$6:$E$300)&amp;" ["&amp;'Thaís'!$F$6:$F$300&amp;"]",""),IF('Daniel'!$B$6:$B$300=$A255,"Daniel"&amp;IF('Daniel'!$E$6:$E$300="",""," : "&amp;'Daniel'!$E$6:$E$300)&amp;" ["&amp;'Daniel'!$F$6:$F$300&amp;"]",""),IF('Fernando'!$B$6:$B$300=$A255,"Fernando"&amp;IF('Fernando'!$E$6:$E$300="",""," : "&amp;'Fernando'!$E$6:$E$300)&amp;" ["&amp;'Fernando'!$F$6:$F$300&amp;"]",""),IF('Stephanie'!$B$6:$B$300=$A255,"Stephanie"&amp;IF('Stephanie'!$E$6:$E$300="",""," : "&amp;'Stephanie'!$E$6:$E$300)&amp;" ["&amp;'Stephanie'!$F$6:$F$300&amp;"]",""),IF('Fox'!$B$6:$B$300=$A255,"Fox"&amp;IF('Fox'!$E$6:$E$300="",""," : "&amp;'Fox'!$E$6:$E$300)&amp;" ["&amp;'Fox'!$F$6:$F$300&amp;"]",""),IF('Bruna'!$B$6:$B$300=$A255,"Bruna"&amp;IF('Bruna'!$E$6:$E$300="",""," : "&amp;'Bruna'!$E$6:$E$300)&amp;" ["&amp;'Bruna'!$F$6:$F$300&amp;"]",""),IF('Stella'!$B$6:$B$300=$A255,"Stella"&amp;IF('Stella'!$E$6:$E$300="",""," : "&amp;'Stella'!$E$6:$E$300)&amp;" ["&amp;'Stella'!$F$6:$F$300&amp;"]",""),IF('Igor'!$B$6:$B$300=$A255,"Igor"&amp;IF('Igor'!$E$6:$E$300="",""," : "&amp;'Igor'!$E$6:$E$300)&amp;" ["&amp;'Igor'!$F$6:$F$300&amp;"]","")))</f>
        <v/>
      </c>
    </row>
    <row r="256" ht="15.5" customHeight="1">
      <c r="A256" s="13" t="inlineStr">
        <is>
          <t>P4-003</t>
        </is>
      </c>
      <c r="B256" s="14" t="inlineStr"/>
      <c r="C256" s="14" t="inlineStr">
        <is>
          <t>Relatório aplicação das métricas (produto 4)</t>
        </is>
      </c>
      <c r="D256" s="14" t="inlineStr">
        <is>
          <t>UTGCA</t>
        </is>
      </c>
      <c r="E256" s="15" t="inlineStr">
        <is>
          <t>Preparar arquivos anexo (EC)</t>
        </is>
      </c>
      <c r="F256" s="13" t="n"/>
      <c r="G256" s="16">
        <f>IF($A256="","",_xlfn.TEXTJOIN("; ",TRUE,IF(COUNTIF('Clarice'!$B$6:$B$300,$A256)&gt;0,"Clarice",""),IF(COUNTIF('Luisa'!$B$6:$B$300,$A256)&gt;0,"Luisa",""),IF(COUNTIF('Lui'!$B$6:$B$300,$A256)&gt;0,"Lui",""),IF(COUNTIF('Thaís'!$B$6:$B$300,$A256)&gt;0,"Thaís",""),IF(COUNTIF('Daniel'!$B$6:$B$300,$A256)&gt;0,"Daniel",""),IF(COUNTIF('Fernando'!$B$6:$B$300,$A256)&gt;0,"Fernando",""),IF(COUNTIF('Stephanie'!$B$6:$B$300,$A256)&gt;0,"Stephanie",""),IF(COUNTIF('Fox'!$B$6:$B$300,$A256)&gt;0,"Fox",""),IF(COUNTIF('Bruna'!$B$6:$B$300,$A256)&gt;0,"Bruna",""),IF(COUNTIF('Stella'!$B$6:$B$300,$A256)&gt;0,"Stella",""),IF(COUNTIF('Igor'!$B$6:$B$300,$A256)&gt;0,"Igor","")))</f>
        <v/>
      </c>
      <c r="H256" s="13" t="n"/>
      <c r="I256" s="13" t="inlineStr">
        <is>
          <t>Não iniciado</t>
        </is>
      </c>
      <c r="J256" s="17">
        <f>IF(OR($A256="",(COUNTIF('Clarice'!$B$6:$B$300,$A256)+COUNTIF('Luisa'!$B$6:$B$300,$A256)+COUNTIF('Lui'!$B$6:$B$300,$A256)+COUNTIF('Thaís'!$B$6:$B$300,$A256)+COUNTIF('Daniel'!$B$6:$B$300,$A256)+COUNTIF('Fernando'!$B$6:$B$300,$A256)+COUNTIF('Stephanie'!$B$6:$B$300,$A256)+COUNTIF('Fox'!$B$6:$B$300,$A256)+COUNTIF('Bruna'!$B$6:$B$300,$A256)+COUNTIF('Stella'!$B$6:$B$300,$A256)+COUNTIF('Igor'!$B$6:$B$300,$A256))=0),"",(COUNTIFS('Clarice'!$B$6:$B$300,$A256,'Clarice'!$F$6:$F$300,"Concluído")+COUNTIFS('Luisa'!$B$6:$B$300,$A256,'Luisa'!$F$6:$F$300,"Concluído")+COUNTIFS('Lui'!$B$6:$B$300,$A256,'Lui'!$F$6:$F$300,"Concluído")+COUNTIFS('Thaís'!$B$6:$B$300,$A256,'Thaís'!$F$6:$F$300,"Concluído")+COUNTIFS('Daniel'!$B$6:$B$300,$A256,'Daniel'!$F$6:$F$300,"Concluído")+COUNTIFS('Fernando'!$B$6:$B$300,$A256,'Fernando'!$F$6:$F$300,"Concluído")+COUNTIFS('Stephanie'!$B$6:$B$300,$A256,'Stephanie'!$F$6:$F$300,"Concluído")+COUNTIFS('Fox'!$B$6:$B$300,$A256,'Fox'!$F$6:$F$300,"Concluído")+COUNTIFS('Bruna'!$B$6:$B$300,$A256,'Bruna'!$F$6:$F$300,"Concluído")+COUNTIFS('Stella'!$B$6:$B$300,$A256,'Stella'!$F$6:$F$300,"Concluído")+COUNTIFS('Igor'!$B$6:$B$300,$A256,'Igor'!$F$6:$F$300,"Concluído"))&amp;" / "&amp;(COUNTIF('Clarice'!$B$6:$B$300,$A256)+COUNTIF('Luisa'!$B$6:$B$300,$A256)+COUNTIF('Lui'!$B$6:$B$300,$A256)+COUNTIF('Thaís'!$B$6:$B$300,$A256)+COUNTIF('Daniel'!$B$6:$B$300,$A256)+COUNTIF('Fernando'!$B$6:$B$300,$A256)+COUNTIF('Stephanie'!$B$6:$B$300,$A256)+COUNTIF('Fox'!$B$6:$B$300,$A256)+COUNTIF('Bruna'!$B$6:$B$300,$A256)+COUNTIF('Stella'!$B$6:$B$300,$A256)+COUNTIF('Igor'!$B$6:$B$300,$A256)))</f>
        <v/>
      </c>
      <c r="K256" s="19" t="n"/>
      <c r="L256" s="19" t="n"/>
      <c r="M256" s="19" t="n"/>
      <c r="N256" s="19" t="n"/>
      <c r="O256" s="19" t="n"/>
      <c r="P256" s="20">
        <f>IF($A256="","",IF(M256&lt;&gt;"",M256,IF(K256&lt;&gt;"",K256,"")))</f>
        <v/>
      </c>
      <c r="Q256" s="20">
        <f>IF($A256="","",IF(N256&lt;&gt;"",N256,IF(L256&lt;&gt;"",L256,"")))</f>
        <v/>
      </c>
      <c r="R256" s="15" t="n"/>
      <c r="S256" s="16">
        <f t="array" ref="S256">IF($A256="","",_xlfn.TEXTJOIN(CHAR(10),TRUE,IF('Clarice'!$B$6:$B$300=$A256,"Clarice"&amp;IF('Clarice'!$E$6:$E$300="",""," : "&amp;'Clarice'!$E$6:$E$300)&amp;" ["&amp;'Clarice'!$F$6:$F$300&amp;"]",""),IF('Luisa'!$B$6:$B$300=$A256,"Luisa"&amp;IF('Luisa'!$E$6:$E$300="",""," : "&amp;'Luisa'!$E$6:$E$300)&amp;" ["&amp;'Luisa'!$F$6:$F$300&amp;"]",""),IF('Lui'!$B$6:$B$300=$A256,"Lui"&amp;IF('Lui'!$E$6:$E$300="",""," : "&amp;'Lui'!$E$6:$E$300)&amp;" ["&amp;'Lui'!$F$6:$F$300&amp;"]",""),IF('Thaís'!$B$6:$B$300=$A256,"Thaís"&amp;IF('Thaís'!$E$6:$E$300="",""," : "&amp;'Thaís'!$E$6:$E$300)&amp;" ["&amp;'Thaís'!$F$6:$F$300&amp;"]",""),IF('Daniel'!$B$6:$B$300=$A256,"Daniel"&amp;IF('Daniel'!$E$6:$E$300="",""," : "&amp;'Daniel'!$E$6:$E$300)&amp;" ["&amp;'Daniel'!$F$6:$F$300&amp;"]",""),IF('Fernando'!$B$6:$B$300=$A256,"Fernando"&amp;IF('Fernando'!$E$6:$E$300="",""," : "&amp;'Fernando'!$E$6:$E$300)&amp;" ["&amp;'Fernando'!$F$6:$F$300&amp;"]",""),IF('Stephanie'!$B$6:$B$300=$A256,"Stephanie"&amp;IF('Stephanie'!$E$6:$E$300="",""," : "&amp;'Stephanie'!$E$6:$E$300)&amp;" ["&amp;'Stephanie'!$F$6:$F$300&amp;"]",""),IF('Fox'!$B$6:$B$300=$A256,"Fox"&amp;IF('Fox'!$E$6:$E$300="",""," : "&amp;'Fox'!$E$6:$E$300)&amp;" ["&amp;'Fox'!$F$6:$F$300&amp;"]",""),IF('Bruna'!$B$6:$B$300=$A256,"Bruna"&amp;IF('Bruna'!$E$6:$E$300="",""," : "&amp;'Bruna'!$E$6:$E$300)&amp;" ["&amp;'Bruna'!$F$6:$F$300&amp;"]",""),IF('Stella'!$B$6:$B$300=$A256,"Stella"&amp;IF('Stella'!$E$6:$E$300="",""," : "&amp;'Stella'!$E$6:$E$300)&amp;" ["&amp;'Stella'!$F$6:$F$300&amp;"]",""),IF('Igor'!$B$6:$B$300=$A256,"Igor"&amp;IF('Igor'!$E$6:$E$300="",""," : "&amp;'Igor'!$E$6:$E$300)&amp;" ["&amp;'Igor'!$F$6:$F$300&amp;"]","")))</f>
        <v/>
      </c>
    </row>
    <row r="257" ht="15.5" customHeight="1">
      <c r="A257" s="13" t="inlineStr">
        <is>
          <t>P4-004</t>
        </is>
      </c>
      <c r="B257" s="14" t="inlineStr"/>
      <c r="C257" s="14" t="inlineStr">
        <is>
          <t>Relatório aplicação das métricas (produto 4)</t>
        </is>
      </c>
      <c r="D257" s="14" t="inlineStr">
        <is>
          <t>UTGCA</t>
        </is>
      </c>
      <c r="E257" s="15" t="inlineStr">
        <is>
          <t>Redigir o texto (DM)</t>
        </is>
      </c>
      <c r="F257" s="13" t="n"/>
      <c r="G257" s="16">
        <f>IF($A257="","",_xlfn.TEXTJOIN("; ",TRUE,IF(COUNTIF('Clarice'!$B$6:$B$300,$A257)&gt;0,"Clarice",""),IF(COUNTIF('Luisa'!$B$6:$B$300,$A257)&gt;0,"Luisa",""),IF(COUNTIF('Lui'!$B$6:$B$300,$A257)&gt;0,"Lui",""),IF(COUNTIF('Thaís'!$B$6:$B$300,$A257)&gt;0,"Thaís",""),IF(COUNTIF('Daniel'!$B$6:$B$300,$A257)&gt;0,"Daniel",""),IF(COUNTIF('Fernando'!$B$6:$B$300,$A257)&gt;0,"Fernando",""),IF(COUNTIF('Stephanie'!$B$6:$B$300,$A257)&gt;0,"Stephanie",""),IF(COUNTIF('Fox'!$B$6:$B$300,$A257)&gt;0,"Fox",""),IF(COUNTIF('Bruna'!$B$6:$B$300,$A257)&gt;0,"Bruna",""),IF(COUNTIF('Stella'!$B$6:$B$300,$A257)&gt;0,"Stella",""),IF(COUNTIF('Igor'!$B$6:$B$300,$A257)&gt;0,"Igor","")))</f>
        <v/>
      </c>
      <c r="H257" s="13" t="n"/>
      <c r="I257" s="13" t="inlineStr">
        <is>
          <t>Não iniciado</t>
        </is>
      </c>
      <c r="J257" s="17">
        <f>IF(OR($A257="",(COUNTIF('Clarice'!$B$6:$B$300,$A257)+COUNTIF('Luisa'!$B$6:$B$300,$A257)+COUNTIF('Lui'!$B$6:$B$300,$A257)+COUNTIF('Thaís'!$B$6:$B$300,$A257)+COUNTIF('Daniel'!$B$6:$B$300,$A257)+COUNTIF('Fernando'!$B$6:$B$300,$A257)+COUNTIF('Stephanie'!$B$6:$B$300,$A257)+COUNTIF('Fox'!$B$6:$B$300,$A257)+COUNTIF('Bruna'!$B$6:$B$300,$A257)+COUNTIF('Stella'!$B$6:$B$300,$A257)+COUNTIF('Igor'!$B$6:$B$300,$A257))=0),"",(COUNTIFS('Clarice'!$B$6:$B$300,$A257,'Clarice'!$F$6:$F$300,"Concluído")+COUNTIFS('Luisa'!$B$6:$B$300,$A257,'Luisa'!$F$6:$F$300,"Concluído")+COUNTIFS('Lui'!$B$6:$B$300,$A257,'Lui'!$F$6:$F$300,"Concluído")+COUNTIFS('Thaís'!$B$6:$B$300,$A257,'Thaís'!$F$6:$F$300,"Concluído")+COUNTIFS('Daniel'!$B$6:$B$300,$A257,'Daniel'!$F$6:$F$300,"Concluído")+COUNTIFS('Fernando'!$B$6:$B$300,$A257,'Fernando'!$F$6:$F$300,"Concluído")+COUNTIFS('Stephanie'!$B$6:$B$300,$A257,'Stephanie'!$F$6:$F$300,"Concluído")+COUNTIFS('Fox'!$B$6:$B$300,$A257,'Fox'!$F$6:$F$300,"Concluído")+COUNTIFS('Bruna'!$B$6:$B$300,$A257,'Bruna'!$F$6:$F$300,"Concluído")+COUNTIFS('Stella'!$B$6:$B$300,$A257,'Stella'!$F$6:$F$300,"Concluído")+COUNTIFS('Igor'!$B$6:$B$300,$A257,'Igor'!$F$6:$F$300,"Concluído"))&amp;" / "&amp;(COUNTIF('Clarice'!$B$6:$B$300,$A257)+COUNTIF('Luisa'!$B$6:$B$300,$A257)+COUNTIF('Lui'!$B$6:$B$300,$A257)+COUNTIF('Thaís'!$B$6:$B$300,$A257)+COUNTIF('Daniel'!$B$6:$B$300,$A257)+COUNTIF('Fernando'!$B$6:$B$300,$A257)+COUNTIF('Stephanie'!$B$6:$B$300,$A257)+COUNTIF('Fox'!$B$6:$B$300,$A257)+COUNTIF('Bruna'!$B$6:$B$300,$A257)+COUNTIF('Stella'!$B$6:$B$300,$A257)+COUNTIF('Igor'!$B$6:$B$300,$A257)))</f>
        <v/>
      </c>
      <c r="K257" s="19" t="n"/>
      <c r="L257" s="19" t="n"/>
      <c r="M257" s="19" t="n"/>
      <c r="N257" s="19" t="n"/>
      <c r="O257" s="19" t="n"/>
      <c r="P257" s="20">
        <f>IF($A257="","",IF(M257&lt;&gt;"",M257,IF(K257&lt;&gt;"",K257,"")))</f>
        <v/>
      </c>
      <c r="Q257" s="20">
        <f>IF($A257="","",IF(N257&lt;&gt;"",N257,IF(L257&lt;&gt;"",L257,"")))</f>
        <v/>
      </c>
      <c r="R257" s="15" t="n"/>
      <c r="S257" s="16">
        <f t="array" ref="S257">IF($A257="","",_xlfn.TEXTJOIN(CHAR(10),TRUE,IF('Clarice'!$B$6:$B$300=$A257,"Clarice"&amp;IF('Clarice'!$E$6:$E$300="",""," : "&amp;'Clarice'!$E$6:$E$300)&amp;" ["&amp;'Clarice'!$F$6:$F$300&amp;"]",""),IF('Luisa'!$B$6:$B$300=$A257,"Luisa"&amp;IF('Luisa'!$E$6:$E$300="",""," : "&amp;'Luisa'!$E$6:$E$300)&amp;" ["&amp;'Luisa'!$F$6:$F$300&amp;"]",""),IF('Lui'!$B$6:$B$300=$A257,"Lui"&amp;IF('Lui'!$E$6:$E$300="",""," : "&amp;'Lui'!$E$6:$E$300)&amp;" ["&amp;'Lui'!$F$6:$F$300&amp;"]",""),IF('Thaís'!$B$6:$B$300=$A257,"Thaís"&amp;IF('Thaís'!$E$6:$E$300="",""," : "&amp;'Thaís'!$E$6:$E$300)&amp;" ["&amp;'Thaís'!$F$6:$F$300&amp;"]",""),IF('Daniel'!$B$6:$B$300=$A257,"Daniel"&amp;IF('Daniel'!$E$6:$E$300="",""," : "&amp;'Daniel'!$E$6:$E$300)&amp;" ["&amp;'Daniel'!$F$6:$F$300&amp;"]",""),IF('Fernando'!$B$6:$B$300=$A257,"Fernando"&amp;IF('Fernando'!$E$6:$E$300="",""," : "&amp;'Fernando'!$E$6:$E$300)&amp;" ["&amp;'Fernando'!$F$6:$F$300&amp;"]",""),IF('Stephanie'!$B$6:$B$300=$A257,"Stephanie"&amp;IF('Stephanie'!$E$6:$E$300="",""," : "&amp;'Stephanie'!$E$6:$E$300)&amp;" ["&amp;'Stephanie'!$F$6:$F$300&amp;"]",""),IF('Fox'!$B$6:$B$300=$A257,"Fox"&amp;IF('Fox'!$E$6:$E$300="",""," : "&amp;'Fox'!$E$6:$E$300)&amp;" ["&amp;'Fox'!$F$6:$F$300&amp;"]",""),IF('Bruna'!$B$6:$B$300=$A257,"Bruna"&amp;IF('Bruna'!$E$6:$E$300="",""," : "&amp;'Bruna'!$E$6:$E$300)&amp;" ["&amp;'Bruna'!$F$6:$F$300&amp;"]",""),IF('Stella'!$B$6:$B$300=$A257,"Stella"&amp;IF('Stella'!$E$6:$E$300="",""," : "&amp;'Stella'!$E$6:$E$300)&amp;" ["&amp;'Stella'!$F$6:$F$300&amp;"]",""),IF('Igor'!$B$6:$B$300=$A257,"Igor"&amp;IF('Igor'!$E$6:$E$300="",""," : "&amp;'Igor'!$E$6:$E$300)&amp;" ["&amp;'Igor'!$F$6:$F$300&amp;"]","")))</f>
        <v/>
      </c>
    </row>
    <row r="258" ht="15.5" customHeight="1">
      <c r="A258" s="13" t="inlineStr">
        <is>
          <t>P4-005</t>
        </is>
      </c>
      <c r="B258" s="14" t="inlineStr"/>
      <c r="C258" s="14" t="inlineStr">
        <is>
          <t>Relatório aplicação das métricas (produto 4)</t>
        </is>
      </c>
      <c r="D258" s="14" t="inlineStr">
        <is>
          <t>UTGCA</t>
        </is>
      </c>
      <c r="E258" s="15" t="inlineStr">
        <is>
          <t>Preparar resultados texto principal (SBM)</t>
        </is>
      </c>
      <c r="F258" s="13" t="n"/>
      <c r="G258" s="16">
        <f>IF($A258="","",_xlfn.TEXTJOIN("; ",TRUE,IF(COUNTIF('Clarice'!$B$6:$B$300,$A258)&gt;0,"Clarice",""),IF(COUNTIF('Luisa'!$B$6:$B$300,$A258)&gt;0,"Luisa",""),IF(COUNTIF('Lui'!$B$6:$B$300,$A258)&gt;0,"Lui",""),IF(COUNTIF('Thaís'!$B$6:$B$300,$A258)&gt;0,"Thaís",""),IF(COUNTIF('Daniel'!$B$6:$B$300,$A258)&gt;0,"Daniel",""),IF(COUNTIF('Fernando'!$B$6:$B$300,$A258)&gt;0,"Fernando",""),IF(COUNTIF('Stephanie'!$B$6:$B$300,$A258)&gt;0,"Stephanie",""),IF(COUNTIF('Fox'!$B$6:$B$300,$A258)&gt;0,"Fox",""),IF(COUNTIF('Bruna'!$B$6:$B$300,$A258)&gt;0,"Bruna",""),IF(COUNTIF('Stella'!$B$6:$B$300,$A258)&gt;0,"Stella",""),IF(COUNTIF('Igor'!$B$6:$B$300,$A258)&gt;0,"Igor","")))</f>
        <v/>
      </c>
      <c r="H258" s="13" t="n"/>
      <c r="I258" s="13" t="inlineStr">
        <is>
          <t>Não iniciado</t>
        </is>
      </c>
      <c r="J258" s="17">
        <f>IF(OR($A258="",(COUNTIF('Clarice'!$B$6:$B$300,$A258)+COUNTIF('Luisa'!$B$6:$B$300,$A258)+COUNTIF('Lui'!$B$6:$B$300,$A258)+COUNTIF('Thaís'!$B$6:$B$300,$A258)+COUNTIF('Daniel'!$B$6:$B$300,$A258)+COUNTIF('Fernando'!$B$6:$B$300,$A258)+COUNTIF('Stephanie'!$B$6:$B$300,$A258)+COUNTIF('Fox'!$B$6:$B$300,$A258)+COUNTIF('Bruna'!$B$6:$B$300,$A258)+COUNTIF('Stella'!$B$6:$B$300,$A258)+COUNTIF('Igor'!$B$6:$B$300,$A258))=0),"",(COUNTIFS('Clarice'!$B$6:$B$300,$A258,'Clarice'!$F$6:$F$300,"Concluído")+COUNTIFS('Luisa'!$B$6:$B$300,$A258,'Luisa'!$F$6:$F$300,"Concluído")+COUNTIFS('Lui'!$B$6:$B$300,$A258,'Lui'!$F$6:$F$300,"Concluído")+COUNTIFS('Thaís'!$B$6:$B$300,$A258,'Thaís'!$F$6:$F$300,"Concluído")+COUNTIFS('Daniel'!$B$6:$B$300,$A258,'Daniel'!$F$6:$F$300,"Concluído")+COUNTIFS('Fernando'!$B$6:$B$300,$A258,'Fernando'!$F$6:$F$300,"Concluído")+COUNTIFS('Stephanie'!$B$6:$B$300,$A258,'Stephanie'!$F$6:$F$300,"Concluído")+COUNTIFS('Fox'!$B$6:$B$300,$A258,'Fox'!$F$6:$F$300,"Concluído")+COUNTIFS('Bruna'!$B$6:$B$300,$A258,'Bruna'!$F$6:$F$300,"Concluído")+COUNTIFS('Stella'!$B$6:$B$300,$A258,'Stella'!$F$6:$F$300,"Concluído")+COUNTIFS('Igor'!$B$6:$B$300,$A258,'Igor'!$F$6:$F$300,"Concluído"))&amp;" / "&amp;(COUNTIF('Clarice'!$B$6:$B$300,$A258)+COUNTIF('Luisa'!$B$6:$B$300,$A258)+COUNTIF('Lui'!$B$6:$B$300,$A258)+COUNTIF('Thaís'!$B$6:$B$300,$A258)+COUNTIF('Daniel'!$B$6:$B$300,$A258)+COUNTIF('Fernando'!$B$6:$B$300,$A258)+COUNTIF('Stephanie'!$B$6:$B$300,$A258)+COUNTIF('Fox'!$B$6:$B$300,$A258)+COUNTIF('Bruna'!$B$6:$B$300,$A258)+COUNTIF('Stella'!$B$6:$B$300,$A258)+COUNTIF('Igor'!$B$6:$B$300,$A258)))</f>
        <v/>
      </c>
      <c r="K258" s="19" t="n"/>
      <c r="L258" s="19" t="n"/>
      <c r="M258" s="19" t="n"/>
      <c r="N258" s="19" t="n"/>
      <c r="O258" s="19" t="n"/>
      <c r="P258" s="20">
        <f>IF($A258="","",IF(M258&lt;&gt;"",M258,IF(K258&lt;&gt;"",K258,"")))</f>
        <v/>
      </c>
      <c r="Q258" s="20">
        <f>IF($A258="","",IF(N258&lt;&gt;"",N258,IF(L258&lt;&gt;"",L258,"")))</f>
        <v/>
      </c>
      <c r="R258" s="15" t="n"/>
      <c r="S258" s="16">
        <f t="array" ref="S258">IF($A258="","",_xlfn.TEXTJOIN(CHAR(10),TRUE,IF('Clarice'!$B$6:$B$300=$A258,"Clarice"&amp;IF('Clarice'!$E$6:$E$300="",""," : "&amp;'Clarice'!$E$6:$E$300)&amp;" ["&amp;'Clarice'!$F$6:$F$300&amp;"]",""),IF('Luisa'!$B$6:$B$300=$A258,"Luisa"&amp;IF('Luisa'!$E$6:$E$300="",""," : "&amp;'Luisa'!$E$6:$E$300)&amp;" ["&amp;'Luisa'!$F$6:$F$300&amp;"]",""),IF('Lui'!$B$6:$B$300=$A258,"Lui"&amp;IF('Lui'!$E$6:$E$300="",""," : "&amp;'Lui'!$E$6:$E$300)&amp;" ["&amp;'Lui'!$F$6:$F$300&amp;"]",""),IF('Thaís'!$B$6:$B$300=$A258,"Thaís"&amp;IF('Thaís'!$E$6:$E$300="",""," : "&amp;'Thaís'!$E$6:$E$300)&amp;" ["&amp;'Thaís'!$F$6:$F$300&amp;"]",""),IF('Daniel'!$B$6:$B$300=$A258,"Daniel"&amp;IF('Daniel'!$E$6:$E$300="",""," : "&amp;'Daniel'!$E$6:$E$300)&amp;" ["&amp;'Daniel'!$F$6:$F$300&amp;"]",""),IF('Fernando'!$B$6:$B$300=$A258,"Fernando"&amp;IF('Fernando'!$E$6:$E$300="",""," : "&amp;'Fernando'!$E$6:$E$300)&amp;" ["&amp;'Fernando'!$F$6:$F$300&amp;"]",""),IF('Stephanie'!$B$6:$B$300=$A258,"Stephanie"&amp;IF('Stephanie'!$E$6:$E$300="",""," : "&amp;'Stephanie'!$E$6:$E$300)&amp;" ["&amp;'Stephanie'!$F$6:$F$300&amp;"]",""),IF('Fox'!$B$6:$B$300=$A258,"Fox"&amp;IF('Fox'!$E$6:$E$300="",""," : "&amp;'Fox'!$E$6:$E$300)&amp;" ["&amp;'Fox'!$F$6:$F$300&amp;"]",""),IF('Bruna'!$B$6:$B$300=$A258,"Bruna"&amp;IF('Bruna'!$E$6:$E$300="",""," : "&amp;'Bruna'!$E$6:$E$300)&amp;" ["&amp;'Bruna'!$F$6:$F$300&amp;"]",""),IF('Stella'!$B$6:$B$300=$A258,"Stella"&amp;IF('Stella'!$E$6:$E$300="",""," : "&amp;'Stella'!$E$6:$E$300)&amp;" ["&amp;'Stella'!$F$6:$F$300&amp;"]",""),IF('Igor'!$B$6:$B$300=$A258,"Igor"&amp;IF('Igor'!$E$6:$E$300="",""," : "&amp;'Igor'!$E$6:$E$300)&amp;" ["&amp;'Igor'!$F$6:$F$300&amp;"]","")))</f>
        <v/>
      </c>
    </row>
    <row r="259" ht="15.5" customHeight="1">
      <c r="A259" s="13" t="inlineStr">
        <is>
          <t>P4-006</t>
        </is>
      </c>
      <c r="B259" s="14" t="inlineStr"/>
      <c r="C259" s="14" t="inlineStr">
        <is>
          <t>Relatório aplicação das métricas (produto 4)</t>
        </is>
      </c>
      <c r="D259" s="14" t="inlineStr">
        <is>
          <t>UTGCA</t>
        </is>
      </c>
      <c r="E259" s="15" t="inlineStr">
        <is>
          <t>Preparar arquivos anexo (SBM)</t>
        </is>
      </c>
      <c r="F259" s="13" t="n"/>
      <c r="G259" s="16">
        <f>IF($A259="","",_xlfn.TEXTJOIN("; ",TRUE,IF(COUNTIF('Clarice'!$B$6:$B$300,$A259)&gt;0,"Clarice",""),IF(COUNTIF('Luisa'!$B$6:$B$300,$A259)&gt;0,"Luisa",""),IF(COUNTIF('Lui'!$B$6:$B$300,$A259)&gt;0,"Lui",""),IF(COUNTIF('Thaís'!$B$6:$B$300,$A259)&gt;0,"Thaís",""),IF(COUNTIF('Daniel'!$B$6:$B$300,$A259)&gt;0,"Daniel",""),IF(COUNTIF('Fernando'!$B$6:$B$300,$A259)&gt;0,"Fernando",""),IF(COUNTIF('Stephanie'!$B$6:$B$300,$A259)&gt;0,"Stephanie",""),IF(COUNTIF('Fox'!$B$6:$B$300,$A259)&gt;0,"Fox",""),IF(COUNTIF('Bruna'!$B$6:$B$300,$A259)&gt;0,"Bruna",""),IF(COUNTIF('Stella'!$B$6:$B$300,$A259)&gt;0,"Stella",""),IF(COUNTIF('Igor'!$B$6:$B$300,$A259)&gt;0,"Igor","")))</f>
        <v/>
      </c>
      <c r="H259" s="13" t="n"/>
      <c r="I259" s="13" t="inlineStr">
        <is>
          <t>Não iniciado</t>
        </is>
      </c>
      <c r="J259" s="17">
        <f>IF(OR($A259="",(COUNTIF('Clarice'!$B$6:$B$300,$A259)+COUNTIF('Luisa'!$B$6:$B$300,$A259)+COUNTIF('Lui'!$B$6:$B$300,$A259)+COUNTIF('Thaís'!$B$6:$B$300,$A259)+COUNTIF('Daniel'!$B$6:$B$300,$A259)+COUNTIF('Fernando'!$B$6:$B$300,$A259)+COUNTIF('Stephanie'!$B$6:$B$300,$A259)+COUNTIF('Fox'!$B$6:$B$300,$A259)+COUNTIF('Bruna'!$B$6:$B$300,$A259)+COUNTIF('Stella'!$B$6:$B$300,$A259)+COUNTIF('Igor'!$B$6:$B$300,$A259))=0),"",(COUNTIFS('Clarice'!$B$6:$B$300,$A259,'Clarice'!$F$6:$F$300,"Concluído")+COUNTIFS('Luisa'!$B$6:$B$300,$A259,'Luisa'!$F$6:$F$300,"Concluído")+COUNTIFS('Lui'!$B$6:$B$300,$A259,'Lui'!$F$6:$F$300,"Concluído")+COUNTIFS('Thaís'!$B$6:$B$300,$A259,'Thaís'!$F$6:$F$300,"Concluído")+COUNTIFS('Daniel'!$B$6:$B$300,$A259,'Daniel'!$F$6:$F$300,"Concluído")+COUNTIFS('Fernando'!$B$6:$B$300,$A259,'Fernando'!$F$6:$F$300,"Concluído")+COUNTIFS('Stephanie'!$B$6:$B$300,$A259,'Stephanie'!$F$6:$F$300,"Concluído")+COUNTIFS('Fox'!$B$6:$B$300,$A259,'Fox'!$F$6:$F$300,"Concluído")+COUNTIFS('Bruna'!$B$6:$B$300,$A259,'Bruna'!$F$6:$F$300,"Concluído")+COUNTIFS('Stella'!$B$6:$B$300,$A259,'Stella'!$F$6:$F$300,"Concluído")+COUNTIFS('Igor'!$B$6:$B$300,$A259,'Igor'!$F$6:$F$300,"Concluído"))&amp;" / "&amp;(COUNTIF('Clarice'!$B$6:$B$300,$A259)+COUNTIF('Luisa'!$B$6:$B$300,$A259)+COUNTIF('Lui'!$B$6:$B$300,$A259)+COUNTIF('Thaís'!$B$6:$B$300,$A259)+COUNTIF('Daniel'!$B$6:$B$300,$A259)+COUNTIF('Fernando'!$B$6:$B$300,$A259)+COUNTIF('Stephanie'!$B$6:$B$300,$A259)+COUNTIF('Fox'!$B$6:$B$300,$A259)+COUNTIF('Bruna'!$B$6:$B$300,$A259)+COUNTIF('Stella'!$B$6:$B$300,$A259)+COUNTIF('Igor'!$B$6:$B$300,$A259)))</f>
        <v/>
      </c>
      <c r="K259" s="19" t="n"/>
      <c r="L259" s="19" t="n"/>
      <c r="M259" s="19" t="n"/>
      <c r="N259" s="19" t="n"/>
      <c r="O259" s="19" t="n"/>
      <c r="P259" s="20">
        <f>IF($A259="","",IF(M259&lt;&gt;"",M259,IF(K259&lt;&gt;"",K259,"")))</f>
        <v/>
      </c>
      <c r="Q259" s="20">
        <f>IF($A259="","",IF(N259&lt;&gt;"",N259,IF(L259&lt;&gt;"",L259,"")))</f>
        <v/>
      </c>
      <c r="R259" s="15" t="n"/>
      <c r="S259" s="16">
        <f t="array" ref="S259">IF($A259="","",_xlfn.TEXTJOIN(CHAR(10),TRUE,IF('Clarice'!$B$6:$B$300=$A259,"Clarice"&amp;IF('Clarice'!$E$6:$E$300="",""," : "&amp;'Clarice'!$E$6:$E$300)&amp;" ["&amp;'Clarice'!$F$6:$F$300&amp;"]",""),IF('Luisa'!$B$6:$B$300=$A259,"Luisa"&amp;IF('Luisa'!$E$6:$E$300="",""," : "&amp;'Luisa'!$E$6:$E$300)&amp;" ["&amp;'Luisa'!$F$6:$F$300&amp;"]",""),IF('Lui'!$B$6:$B$300=$A259,"Lui"&amp;IF('Lui'!$E$6:$E$300="",""," : "&amp;'Lui'!$E$6:$E$300)&amp;" ["&amp;'Lui'!$F$6:$F$300&amp;"]",""),IF('Thaís'!$B$6:$B$300=$A259,"Thaís"&amp;IF('Thaís'!$E$6:$E$300="",""," : "&amp;'Thaís'!$E$6:$E$300)&amp;" ["&amp;'Thaís'!$F$6:$F$300&amp;"]",""),IF('Daniel'!$B$6:$B$300=$A259,"Daniel"&amp;IF('Daniel'!$E$6:$E$300="",""," : "&amp;'Daniel'!$E$6:$E$300)&amp;" ["&amp;'Daniel'!$F$6:$F$300&amp;"]",""),IF('Fernando'!$B$6:$B$300=$A259,"Fernando"&amp;IF('Fernando'!$E$6:$E$300="",""," : "&amp;'Fernando'!$E$6:$E$300)&amp;" ["&amp;'Fernando'!$F$6:$F$300&amp;"]",""),IF('Stephanie'!$B$6:$B$300=$A259,"Stephanie"&amp;IF('Stephanie'!$E$6:$E$300="",""," : "&amp;'Stephanie'!$E$6:$E$300)&amp;" ["&amp;'Stephanie'!$F$6:$F$300&amp;"]",""),IF('Fox'!$B$6:$B$300=$A259,"Fox"&amp;IF('Fox'!$E$6:$E$300="",""," : "&amp;'Fox'!$E$6:$E$300)&amp;" ["&amp;'Fox'!$F$6:$F$300&amp;"]",""),IF('Bruna'!$B$6:$B$300=$A259,"Bruna"&amp;IF('Bruna'!$E$6:$E$300="",""," : "&amp;'Bruna'!$E$6:$E$300)&amp;" ["&amp;'Bruna'!$F$6:$F$300&amp;"]",""),IF('Stella'!$B$6:$B$300=$A259,"Stella"&amp;IF('Stella'!$E$6:$E$300="",""," : "&amp;'Stella'!$E$6:$E$300)&amp;" ["&amp;'Stella'!$F$6:$F$300&amp;"]",""),IF('Igor'!$B$6:$B$300=$A259,"Igor"&amp;IF('Igor'!$E$6:$E$300="",""," : "&amp;'Igor'!$E$6:$E$300)&amp;" ["&amp;'Igor'!$F$6:$F$300&amp;"]","")))</f>
        <v/>
      </c>
    </row>
    <row r="260" ht="15.5" customHeight="1">
      <c r="A260" s="13" t="inlineStr">
        <is>
          <t>P4-007</t>
        </is>
      </c>
      <c r="B260" s="14" t="inlineStr"/>
      <c r="C260" s="14" t="inlineStr">
        <is>
          <t>Relatório aplicação das métricas (produto 4)</t>
        </is>
      </c>
      <c r="D260" s="14" t="inlineStr">
        <is>
          <t>UTGCA</t>
        </is>
      </c>
      <c r="E260" s="15" t="inlineStr">
        <is>
          <t>Preparar resultados texto principal (DM)</t>
        </is>
      </c>
      <c r="F260" s="13" t="n"/>
      <c r="G260" s="16">
        <f>IF($A260="","",_xlfn.TEXTJOIN("; ",TRUE,IF(COUNTIF('Clarice'!$B$6:$B$300,$A260)&gt;0,"Clarice",""),IF(COUNTIF('Luisa'!$B$6:$B$300,$A260)&gt;0,"Luisa",""),IF(COUNTIF('Lui'!$B$6:$B$300,$A260)&gt;0,"Lui",""),IF(COUNTIF('Thaís'!$B$6:$B$300,$A260)&gt;0,"Thaís",""),IF(COUNTIF('Daniel'!$B$6:$B$300,$A260)&gt;0,"Daniel",""),IF(COUNTIF('Fernando'!$B$6:$B$300,$A260)&gt;0,"Fernando",""),IF(COUNTIF('Stephanie'!$B$6:$B$300,$A260)&gt;0,"Stephanie",""),IF(COUNTIF('Fox'!$B$6:$B$300,$A260)&gt;0,"Fox",""),IF(COUNTIF('Bruna'!$B$6:$B$300,$A260)&gt;0,"Bruna",""),IF(COUNTIF('Stella'!$B$6:$B$300,$A260)&gt;0,"Stella",""),IF(COUNTIF('Igor'!$B$6:$B$300,$A260)&gt;0,"Igor","")))</f>
        <v/>
      </c>
      <c r="H260" s="13" t="n"/>
      <c r="I260" s="13" t="inlineStr">
        <is>
          <t>Não iniciado</t>
        </is>
      </c>
      <c r="J260" s="17">
        <f>IF(OR($A260="",(COUNTIF('Clarice'!$B$6:$B$300,$A260)+COUNTIF('Luisa'!$B$6:$B$300,$A260)+COUNTIF('Lui'!$B$6:$B$300,$A260)+COUNTIF('Thaís'!$B$6:$B$300,$A260)+COUNTIF('Daniel'!$B$6:$B$300,$A260)+COUNTIF('Fernando'!$B$6:$B$300,$A260)+COUNTIF('Stephanie'!$B$6:$B$300,$A260)+COUNTIF('Fox'!$B$6:$B$300,$A260)+COUNTIF('Bruna'!$B$6:$B$300,$A260)+COUNTIF('Stella'!$B$6:$B$300,$A260)+COUNTIF('Igor'!$B$6:$B$300,$A260))=0),"",(COUNTIFS('Clarice'!$B$6:$B$300,$A260,'Clarice'!$F$6:$F$300,"Concluído")+COUNTIFS('Luisa'!$B$6:$B$300,$A260,'Luisa'!$F$6:$F$300,"Concluído")+COUNTIFS('Lui'!$B$6:$B$300,$A260,'Lui'!$F$6:$F$300,"Concluído")+COUNTIFS('Thaís'!$B$6:$B$300,$A260,'Thaís'!$F$6:$F$300,"Concluído")+COUNTIFS('Daniel'!$B$6:$B$300,$A260,'Daniel'!$F$6:$F$300,"Concluído")+COUNTIFS('Fernando'!$B$6:$B$300,$A260,'Fernando'!$F$6:$F$300,"Concluído")+COUNTIFS('Stephanie'!$B$6:$B$300,$A260,'Stephanie'!$F$6:$F$300,"Concluído")+COUNTIFS('Fox'!$B$6:$B$300,$A260,'Fox'!$F$6:$F$300,"Concluído")+COUNTIFS('Bruna'!$B$6:$B$300,$A260,'Bruna'!$F$6:$F$300,"Concluído")+COUNTIFS('Stella'!$B$6:$B$300,$A260,'Stella'!$F$6:$F$300,"Concluído")+COUNTIFS('Igor'!$B$6:$B$300,$A260,'Igor'!$F$6:$F$300,"Concluído"))&amp;" / "&amp;(COUNTIF('Clarice'!$B$6:$B$300,$A260)+COUNTIF('Luisa'!$B$6:$B$300,$A260)+COUNTIF('Lui'!$B$6:$B$300,$A260)+COUNTIF('Thaís'!$B$6:$B$300,$A260)+COUNTIF('Daniel'!$B$6:$B$300,$A260)+COUNTIF('Fernando'!$B$6:$B$300,$A260)+COUNTIF('Stephanie'!$B$6:$B$300,$A260)+COUNTIF('Fox'!$B$6:$B$300,$A260)+COUNTIF('Bruna'!$B$6:$B$300,$A260)+COUNTIF('Stella'!$B$6:$B$300,$A260)+COUNTIF('Igor'!$B$6:$B$300,$A260)))</f>
        <v/>
      </c>
      <c r="K260" s="19" t="n"/>
      <c r="L260" s="19" t="n"/>
      <c r="M260" s="19" t="n"/>
      <c r="N260" s="19" t="n"/>
      <c r="O260" s="19" t="n"/>
      <c r="P260" s="20">
        <f>IF($A260="","",IF(M260&lt;&gt;"",M260,IF(K260&lt;&gt;"",K260,"")))</f>
        <v/>
      </c>
      <c r="Q260" s="20">
        <f>IF($A260="","",IF(N260&lt;&gt;"",N260,IF(L260&lt;&gt;"",L260,"")))</f>
        <v/>
      </c>
      <c r="R260" s="15" t="n"/>
      <c r="S260" s="16">
        <f t="array" ref="S260">IF($A260="","",_xlfn.TEXTJOIN(CHAR(10),TRUE,IF('Clarice'!$B$6:$B$300=$A260,"Clarice"&amp;IF('Clarice'!$E$6:$E$300="",""," : "&amp;'Clarice'!$E$6:$E$300)&amp;" ["&amp;'Clarice'!$F$6:$F$300&amp;"]",""),IF('Luisa'!$B$6:$B$300=$A260,"Luisa"&amp;IF('Luisa'!$E$6:$E$300="",""," : "&amp;'Luisa'!$E$6:$E$300)&amp;" ["&amp;'Luisa'!$F$6:$F$300&amp;"]",""),IF('Lui'!$B$6:$B$300=$A260,"Lui"&amp;IF('Lui'!$E$6:$E$300="",""," : "&amp;'Lui'!$E$6:$E$300)&amp;" ["&amp;'Lui'!$F$6:$F$300&amp;"]",""),IF('Thaís'!$B$6:$B$300=$A260,"Thaís"&amp;IF('Thaís'!$E$6:$E$300="",""," : "&amp;'Thaís'!$E$6:$E$300)&amp;" ["&amp;'Thaís'!$F$6:$F$300&amp;"]",""),IF('Daniel'!$B$6:$B$300=$A260,"Daniel"&amp;IF('Daniel'!$E$6:$E$300="",""," : "&amp;'Daniel'!$E$6:$E$300)&amp;" ["&amp;'Daniel'!$F$6:$F$300&amp;"]",""),IF('Fernando'!$B$6:$B$300=$A260,"Fernando"&amp;IF('Fernando'!$E$6:$E$300="",""," : "&amp;'Fernando'!$E$6:$E$300)&amp;" ["&amp;'Fernando'!$F$6:$F$300&amp;"]",""),IF('Stephanie'!$B$6:$B$300=$A260,"Stephanie"&amp;IF('Stephanie'!$E$6:$E$300="",""," : "&amp;'Stephanie'!$E$6:$E$300)&amp;" ["&amp;'Stephanie'!$F$6:$F$300&amp;"]",""),IF('Fox'!$B$6:$B$300=$A260,"Fox"&amp;IF('Fox'!$E$6:$E$300="",""," : "&amp;'Fox'!$E$6:$E$300)&amp;" ["&amp;'Fox'!$F$6:$F$300&amp;"]",""),IF('Bruna'!$B$6:$B$300=$A260,"Bruna"&amp;IF('Bruna'!$E$6:$E$300="",""," : "&amp;'Bruna'!$E$6:$E$300)&amp;" ["&amp;'Bruna'!$F$6:$F$300&amp;"]",""),IF('Stella'!$B$6:$B$300=$A260,"Stella"&amp;IF('Stella'!$E$6:$E$300="",""," : "&amp;'Stella'!$E$6:$E$300)&amp;" ["&amp;'Stella'!$F$6:$F$300&amp;"]",""),IF('Igor'!$B$6:$B$300=$A260,"Igor"&amp;IF('Igor'!$E$6:$E$300="",""," : "&amp;'Igor'!$E$6:$E$300)&amp;" ["&amp;'Igor'!$F$6:$F$300&amp;"]","")))</f>
        <v/>
      </c>
    </row>
    <row r="261" ht="15.5" customHeight="1">
      <c r="A261" s="13" t="inlineStr">
        <is>
          <t>P4-008</t>
        </is>
      </c>
      <c r="B261" s="14" t="inlineStr"/>
      <c r="C261" s="14" t="inlineStr">
        <is>
          <t>Relatório aplicação das métricas (produto 4)</t>
        </is>
      </c>
      <c r="D261" s="14" t="inlineStr">
        <is>
          <t>UTGCA</t>
        </is>
      </c>
      <c r="E261" s="15" t="inlineStr">
        <is>
          <t>Preparar arquivos anexo (DM)</t>
        </is>
      </c>
      <c r="F261" s="13" t="n"/>
      <c r="G261" s="16">
        <f>IF($A261="","",_xlfn.TEXTJOIN("; ",TRUE,IF(COUNTIF('Clarice'!$B$6:$B$300,$A261)&gt;0,"Clarice",""),IF(COUNTIF('Luisa'!$B$6:$B$300,$A261)&gt;0,"Luisa",""),IF(COUNTIF('Lui'!$B$6:$B$300,$A261)&gt;0,"Lui",""),IF(COUNTIF('Thaís'!$B$6:$B$300,$A261)&gt;0,"Thaís",""),IF(COUNTIF('Daniel'!$B$6:$B$300,$A261)&gt;0,"Daniel",""),IF(COUNTIF('Fernando'!$B$6:$B$300,$A261)&gt;0,"Fernando",""),IF(COUNTIF('Stephanie'!$B$6:$B$300,$A261)&gt;0,"Stephanie",""),IF(COUNTIF('Fox'!$B$6:$B$300,$A261)&gt;0,"Fox",""),IF(COUNTIF('Bruna'!$B$6:$B$300,$A261)&gt;0,"Bruna",""),IF(COUNTIF('Stella'!$B$6:$B$300,$A261)&gt;0,"Stella",""),IF(COUNTIF('Igor'!$B$6:$B$300,$A261)&gt;0,"Igor","")))</f>
        <v/>
      </c>
      <c r="H261" s="13" t="n"/>
      <c r="I261" s="13" t="inlineStr">
        <is>
          <t>Não iniciado</t>
        </is>
      </c>
      <c r="J261" s="17">
        <f>IF(OR($A261="",(COUNTIF('Clarice'!$B$6:$B$300,$A261)+COUNTIF('Luisa'!$B$6:$B$300,$A261)+COUNTIF('Lui'!$B$6:$B$300,$A261)+COUNTIF('Thaís'!$B$6:$B$300,$A261)+COUNTIF('Daniel'!$B$6:$B$300,$A261)+COUNTIF('Fernando'!$B$6:$B$300,$A261)+COUNTIF('Stephanie'!$B$6:$B$300,$A261)+COUNTIF('Fox'!$B$6:$B$300,$A261)+COUNTIF('Bruna'!$B$6:$B$300,$A261)+COUNTIF('Stella'!$B$6:$B$300,$A261)+COUNTIF('Igor'!$B$6:$B$300,$A261))=0),"",(COUNTIFS('Clarice'!$B$6:$B$300,$A261,'Clarice'!$F$6:$F$300,"Concluído")+COUNTIFS('Luisa'!$B$6:$B$300,$A261,'Luisa'!$F$6:$F$300,"Concluído")+COUNTIFS('Lui'!$B$6:$B$300,$A261,'Lui'!$F$6:$F$300,"Concluído")+COUNTIFS('Thaís'!$B$6:$B$300,$A261,'Thaís'!$F$6:$F$300,"Concluído")+COUNTIFS('Daniel'!$B$6:$B$300,$A261,'Daniel'!$F$6:$F$300,"Concluído")+COUNTIFS('Fernando'!$B$6:$B$300,$A261,'Fernando'!$F$6:$F$300,"Concluído")+COUNTIFS('Stephanie'!$B$6:$B$300,$A261,'Stephanie'!$F$6:$F$300,"Concluído")+COUNTIFS('Fox'!$B$6:$B$300,$A261,'Fox'!$F$6:$F$300,"Concluído")+COUNTIFS('Bruna'!$B$6:$B$300,$A261,'Bruna'!$F$6:$F$300,"Concluído")+COUNTIFS('Stella'!$B$6:$B$300,$A261,'Stella'!$F$6:$F$300,"Concluído")+COUNTIFS('Igor'!$B$6:$B$300,$A261,'Igor'!$F$6:$F$300,"Concluído"))&amp;" / "&amp;(COUNTIF('Clarice'!$B$6:$B$300,$A261)+COUNTIF('Luisa'!$B$6:$B$300,$A261)+COUNTIF('Lui'!$B$6:$B$300,$A261)+COUNTIF('Thaís'!$B$6:$B$300,$A261)+COUNTIF('Daniel'!$B$6:$B$300,$A261)+COUNTIF('Fernando'!$B$6:$B$300,$A261)+COUNTIF('Stephanie'!$B$6:$B$300,$A261)+COUNTIF('Fox'!$B$6:$B$300,$A261)+COUNTIF('Bruna'!$B$6:$B$300,$A261)+COUNTIF('Stella'!$B$6:$B$300,$A261)+COUNTIF('Igor'!$B$6:$B$300,$A261)))</f>
        <v/>
      </c>
      <c r="K261" s="19" t="n"/>
      <c r="L261" s="19" t="n"/>
      <c r="M261" s="19" t="n"/>
      <c r="N261" s="19" t="n"/>
      <c r="O261" s="19" t="n"/>
      <c r="P261" s="20">
        <f>IF($A261="","",IF(M261&lt;&gt;"",M261,IF(K261&lt;&gt;"",K261,"")))</f>
        <v/>
      </c>
      <c r="Q261" s="20">
        <f>IF($A261="","",IF(N261&lt;&gt;"",N261,IF(L261&lt;&gt;"",L261,"")))</f>
        <v/>
      </c>
      <c r="R261" s="15" t="n"/>
      <c r="S261" s="16">
        <f t="array" ref="S261">IF($A261="","",_xlfn.TEXTJOIN(CHAR(10),TRUE,IF('Clarice'!$B$6:$B$300=$A261,"Clarice"&amp;IF('Clarice'!$E$6:$E$300="",""," : "&amp;'Clarice'!$E$6:$E$300)&amp;" ["&amp;'Clarice'!$F$6:$F$300&amp;"]",""),IF('Luisa'!$B$6:$B$300=$A261,"Luisa"&amp;IF('Luisa'!$E$6:$E$300="",""," : "&amp;'Luisa'!$E$6:$E$300)&amp;" ["&amp;'Luisa'!$F$6:$F$300&amp;"]",""),IF('Lui'!$B$6:$B$300=$A261,"Lui"&amp;IF('Lui'!$E$6:$E$300="",""," : "&amp;'Lui'!$E$6:$E$300)&amp;" ["&amp;'Lui'!$F$6:$F$300&amp;"]",""),IF('Thaís'!$B$6:$B$300=$A261,"Thaís"&amp;IF('Thaís'!$E$6:$E$300="",""," : "&amp;'Thaís'!$E$6:$E$300)&amp;" ["&amp;'Thaís'!$F$6:$F$300&amp;"]",""),IF('Daniel'!$B$6:$B$300=$A261,"Daniel"&amp;IF('Daniel'!$E$6:$E$300="",""," : "&amp;'Daniel'!$E$6:$E$300)&amp;" ["&amp;'Daniel'!$F$6:$F$300&amp;"]",""),IF('Fernando'!$B$6:$B$300=$A261,"Fernando"&amp;IF('Fernando'!$E$6:$E$300="",""," : "&amp;'Fernando'!$E$6:$E$300)&amp;" ["&amp;'Fernando'!$F$6:$F$300&amp;"]",""),IF('Stephanie'!$B$6:$B$300=$A261,"Stephanie"&amp;IF('Stephanie'!$E$6:$E$300="",""," : "&amp;'Stephanie'!$E$6:$E$300)&amp;" ["&amp;'Stephanie'!$F$6:$F$300&amp;"]",""),IF('Fox'!$B$6:$B$300=$A261,"Fox"&amp;IF('Fox'!$E$6:$E$300="",""," : "&amp;'Fox'!$E$6:$E$300)&amp;" ["&amp;'Fox'!$F$6:$F$300&amp;"]",""),IF('Bruna'!$B$6:$B$300=$A261,"Bruna"&amp;IF('Bruna'!$E$6:$E$300="",""," : "&amp;'Bruna'!$E$6:$E$300)&amp;" ["&amp;'Bruna'!$F$6:$F$300&amp;"]",""),IF('Stella'!$B$6:$B$300=$A261,"Stella"&amp;IF('Stella'!$E$6:$E$300="",""," : "&amp;'Stella'!$E$6:$E$300)&amp;" ["&amp;'Stella'!$F$6:$F$300&amp;"]",""),IF('Igor'!$B$6:$B$300=$A261,"Igor"&amp;IF('Igor'!$E$6:$E$300="",""," : "&amp;'Igor'!$E$6:$E$300)&amp;" ["&amp;'Igor'!$F$6:$F$300&amp;"]","")))</f>
        <v/>
      </c>
    </row>
    <row r="262">
      <c r="A262" s="21" t="n"/>
      <c r="B262" s="21" t="inlineStr"/>
      <c r="C262" s="21" t="inlineStr">
        <is>
          <t>Relatório aplicação das métricas (produto 4)</t>
        </is>
      </c>
      <c r="D262" s="21" t="inlineStr">
        <is>
          <t>Boaventura</t>
        </is>
      </c>
      <c r="E262" s="21" t="inlineStr">
        <is>
          <t>Boaventura</t>
        </is>
      </c>
      <c r="F262" s="21" t="n"/>
      <c r="G262" s="21">
        <f>IF($A262="","",_xlfn.TEXTJOIN("; ",TRUE,IF(COUNTIF('Clarice'!$B$6:$B$300,$A262)&gt;0,"Clarice",""),IF(COUNTIF('Luisa'!$B$6:$B$300,$A262)&gt;0,"Luisa",""),IF(COUNTIF('Lui'!$B$6:$B$300,$A262)&gt;0,"Lui",""),IF(COUNTIF('Thaís'!$B$6:$B$300,$A262)&gt;0,"Thaís",""),IF(COUNTIF('Daniel'!$B$6:$B$300,$A262)&gt;0,"Daniel",""),IF(COUNTIF('Fernando'!$B$6:$B$300,$A262)&gt;0,"Fernando",""),IF(COUNTIF('Stephanie'!$B$6:$B$300,$A262)&gt;0,"Stephanie",""),IF(COUNTIF('Fox'!$B$6:$B$300,$A262)&gt;0,"Fox",""),IF(COUNTIF('Bruna'!$B$6:$B$300,$A262)&gt;0,"Bruna",""),IF(COUNTIF('Stella'!$B$6:$B$300,$A262)&gt;0,"Stella",""),IF(COUNTIF('Igor'!$B$6:$B$300,$A262)&gt;0,"Igor","")))</f>
        <v/>
      </c>
      <c r="H262" s="21" t="n"/>
      <c r="I262" s="21" t="n"/>
      <c r="J262" s="21">
        <f>IF(OR($A262="",(COUNTIF('Clarice'!$B$6:$B$300,$A262)+COUNTIF('Luisa'!$B$6:$B$300,$A262)+COUNTIF('Lui'!$B$6:$B$300,$A262)+COUNTIF('Thaís'!$B$6:$B$300,$A262)+COUNTIF('Daniel'!$B$6:$B$300,$A262)+COUNTIF('Fernando'!$B$6:$B$300,$A262)+COUNTIF('Stephanie'!$B$6:$B$300,$A262)+COUNTIF('Fox'!$B$6:$B$300,$A262)+COUNTIF('Bruna'!$B$6:$B$300,$A262)+COUNTIF('Stella'!$B$6:$B$300,$A262)+COUNTIF('Igor'!$B$6:$B$300,$A262))=0),"",(COUNTIFS('Clarice'!$B$6:$B$300,$A262,'Clarice'!$F$6:$F$300,"Concluído")+COUNTIFS('Luisa'!$B$6:$B$300,$A262,'Luisa'!$F$6:$F$300,"Concluído")+COUNTIFS('Lui'!$B$6:$B$300,$A262,'Lui'!$F$6:$F$300,"Concluído")+COUNTIFS('Thaís'!$B$6:$B$300,$A262,'Thaís'!$F$6:$F$300,"Concluído")+COUNTIFS('Daniel'!$B$6:$B$300,$A262,'Daniel'!$F$6:$F$300,"Concluído")+COUNTIFS('Fernando'!$B$6:$B$300,$A262,'Fernando'!$F$6:$F$300,"Concluído")+COUNTIFS('Stephanie'!$B$6:$B$300,$A262,'Stephanie'!$F$6:$F$300,"Concluído")+COUNTIFS('Fox'!$B$6:$B$300,$A262,'Fox'!$F$6:$F$300,"Concluído")+COUNTIFS('Bruna'!$B$6:$B$300,$A262,'Bruna'!$F$6:$F$300,"Concluído")+COUNTIFS('Stella'!$B$6:$B$300,$A262,'Stella'!$F$6:$F$300,"Concluído")+COUNTIFS('Igor'!$B$6:$B$300,$A262,'Igor'!$F$6:$F$300,"Concluído"))&amp;" / "&amp;(COUNTIF('Clarice'!$B$6:$B$300,$A262)+COUNTIF('Luisa'!$B$6:$B$300,$A262)+COUNTIF('Lui'!$B$6:$B$300,$A262)+COUNTIF('Thaís'!$B$6:$B$300,$A262)+COUNTIF('Daniel'!$B$6:$B$300,$A262)+COUNTIF('Fernando'!$B$6:$B$300,$A262)+COUNTIF('Stephanie'!$B$6:$B$300,$A262)+COUNTIF('Fox'!$B$6:$B$300,$A262)+COUNTIF('Bruna'!$B$6:$B$300,$A262)+COUNTIF('Stella'!$B$6:$B$300,$A262)+COUNTIF('Igor'!$B$6:$B$300,$A262)))</f>
        <v/>
      </c>
      <c r="K262" s="21" t="n"/>
      <c r="L262" s="21" t="n"/>
      <c r="M262" s="21" t="n"/>
      <c r="N262" s="21" t="n"/>
      <c r="O262" s="21" t="n"/>
      <c r="P262" s="22">
        <f>IF($A262="","",IF(M262&lt;&gt;"",M262,IF(K262&lt;&gt;"",K262,"")))</f>
        <v/>
      </c>
      <c r="Q262" s="22">
        <f>IF($A262="","",IF(N262&lt;&gt;"",N262,IF(L262&lt;&gt;"",L262,"")))</f>
        <v/>
      </c>
      <c r="R262" s="21" t="n"/>
      <c r="S262" s="21">
        <f t="array" ref="S262">IF($A262="","",_xlfn.TEXTJOIN(CHAR(10),TRUE,IF('Clarice'!$B$6:$B$300=$A262,"Clarice"&amp;IF('Clarice'!$E$6:$E$300="",""," : "&amp;'Clarice'!$E$6:$E$300)&amp;" ["&amp;'Clarice'!$F$6:$F$300&amp;"]",""),IF('Luisa'!$B$6:$B$300=$A262,"Luisa"&amp;IF('Luisa'!$E$6:$E$300="",""," : "&amp;'Luisa'!$E$6:$E$300)&amp;" ["&amp;'Luisa'!$F$6:$F$300&amp;"]",""),IF('Lui'!$B$6:$B$300=$A262,"Lui"&amp;IF('Lui'!$E$6:$E$300="",""," : "&amp;'Lui'!$E$6:$E$300)&amp;" ["&amp;'Lui'!$F$6:$F$300&amp;"]",""),IF('Thaís'!$B$6:$B$300=$A262,"Thaís"&amp;IF('Thaís'!$E$6:$E$300="",""," : "&amp;'Thaís'!$E$6:$E$300)&amp;" ["&amp;'Thaís'!$F$6:$F$300&amp;"]",""),IF('Daniel'!$B$6:$B$300=$A262,"Daniel"&amp;IF('Daniel'!$E$6:$E$300="",""," : "&amp;'Daniel'!$E$6:$E$300)&amp;" ["&amp;'Daniel'!$F$6:$F$300&amp;"]",""),IF('Fernando'!$B$6:$B$300=$A262,"Fernando"&amp;IF('Fernando'!$E$6:$E$300="",""," : "&amp;'Fernando'!$E$6:$E$300)&amp;" ["&amp;'Fernando'!$F$6:$F$300&amp;"]",""),IF('Stephanie'!$B$6:$B$300=$A262,"Stephanie"&amp;IF('Stephanie'!$E$6:$E$300="",""," : "&amp;'Stephanie'!$E$6:$E$300)&amp;" ["&amp;'Stephanie'!$F$6:$F$300&amp;"]",""),IF('Fox'!$B$6:$B$300=$A262,"Fox"&amp;IF('Fox'!$E$6:$E$300="",""," : "&amp;'Fox'!$E$6:$E$300)&amp;" ["&amp;'Fox'!$F$6:$F$300&amp;"]",""),IF('Bruna'!$B$6:$B$300=$A262,"Bruna"&amp;IF('Bruna'!$E$6:$E$300="",""," : "&amp;'Bruna'!$E$6:$E$300)&amp;" ["&amp;'Bruna'!$F$6:$F$300&amp;"]",""),IF('Stella'!$B$6:$B$300=$A262,"Stella"&amp;IF('Stella'!$E$6:$E$300="",""," : "&amp;'Stella'!$E$6:$E$300)&amp;" ["&amp;'Stella'!$F$6:$F$300&amp;"]",""),IF('Igor'!$B$6:$B$300=$A262,"Igor"&amp;IF('Igor'!$E$6:$E$300="",""," : "&amp;'Igor'!$E$6:$E$300)&amp;" ["&amp;'Igor'!$F$6:$F$300&amp;"]","")))</f>
        <v/>
      </c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  <c r="BF262" s="21" t="n"/>
      <c r="BG262" s="21" t="n"/>
      <c r="BH262" s="21" t="n"/>
      <c r="BI262" s="21" t="n"/>
    </row>
    <row r="263" ht="15.5" customHeight="1">
      <c r="A263" s="13" t="inlineStr">
        <is>
          <t>P4-009</t>
        </is>
      </c>
      <c r="B263" s="14" t="inlineStr"/>
      <c r="C263" s="14" t="inlineStr">
        <is>
          <t>Relatório aplicação das métricas (produto 4)</t>
        </is>
      </c>
      <c r="D263" s="14" t="inlineStr">
        <is>
          <t>Boaventura</t>
        </is>
      </c>
      <c r="E263" s="15" t="inlineStr">
        <is>
          <t>Redigir o texto (EC)</t>
        </is>
      </c>
      <c r="F263" s="13" t="n"/>
      <c r="G263" s="16">
        <f>IF($A263="","",_xlfn.TEXTJOIN("; ",TRUE,IF(COUNTIF('Clarice'!$B$6:$B$300,$A263)&gt;0,"Clarice",""),IF(COUNTIF('Luisa'!$B$6:$B$300,$A263)&gt;0,"Luisa",""),IF(COUNTIF('Lui'!$B$6:$B$300,$A263)&gt;0,"Lui",""),IF(COUNTIF('Thaís'!$B$6:$B$300,$A263)&gt;0,"Thaís",""),IF(COUNTIF('Daniel'!$B$6:$B$300,$A263)&gt;0,"Daniel",""),IF(COUNTIF('Fernando'!$B$6:$B$300,$A263)&gt;0,"Fernando",""),IF(COUNTIF('Stephanie'!$B$6:$B$300,$A263)&gt;0,"Stephanie",""),IF(COUNTIF('Fox'!$B$6:$B$300,$A263)&gt;0,"Fox",""),IF(COUNTIF('Bruna'!$B$6:$B$300,$A263)&gt;0,"Bruna",""),IF(COUNTIF('Stella'!$B$6:$B$300,$A263)&gt;0,"Stella",""),IF(COUNTIF('Igor'!$B$6:$B$300,$A263)&gt;0,"Igor","")))</f>
        <v/>
      </c>
      <c r="H263" s="13" t="n"/>
      <c r="I263" s="13" t="inlineStr">
        <is>
          <t>Não iniciado</t>
        </is>
      </c>
      <c r="J263" s="17">
        <f>IF(OR($A263="",(COUNTIF('Clarice'!$B$6:$B$300,$A263)+COUNTIF('Luisa'!$B$6:$B$300,$A263)+COUNTIF('Lui'!$B$6:$B$300,$A263)+COUNTIF('Thaís'!$B$6:$B$300,$A263)+COUNTIF('Daniel'!$B$6:$B$300,$A263)+COUNTIF('Fernando'!$B$6:$B$300,$A263)+COUNTIF('Stephanie'!$B$6:$B$300,$A263)+COUNTIF('Fox'!$B$6:$B$300,$A263)+COUNTIF('Bruna'!$B$6:$B$300,$A263)+COUNTIF('Stella'!$B$6:$B$300,$A263)+COUNTIF('Igor'!$B$6:$B$300,$A263))=0),"",(COUNTIFS('Clarice'!$B$6:$B$300,$A263,'Clarice'!$F$6:$F$300,"Concluído")+COUNTIFS('Luisa'!$B$6:$B$300,$A263,'Luisa'!$F$6:$F$300,"Concluído")+COUNTIFS('Lui'!$B$6:$B$300,$A263,'Lui'!$F$6:$F$300,"Concluído")+COUNTIFS('Thaís'!$B$6:$B$300,$A263,'Thaís'!$F$6:$F$300,"Concluído")+COUNTIFS('Daniel'!$B$6:$B$300,$A263,'Daniel'!$F$6:$F$300,"Concluído")+COUNTIFS('Fernando'!$B$6:$B$300,$A263,'Fernando'!$F$6:$F$300,"Concluído")+COUNTIFS('Stephanie'!$B$6:$B$300,$A263,'Stephanie'!$F$6:$F$300,"Concluído")+COUNTIFS('Fox'!$B$6:$B$300,$A263,'Fox'!$F$6:$F$300,"Concluído")+COUNTIFS('Bruna'!$B$6:$B$300,$A263,'Bruna'!$F$6:$F$300,"Concluído")+COUNTIFS('Stella'!$B$6:$B$300,$A263,'Stella'!$F$6:$F$300,"Concluído")+COUNTIFS('Igor'!$B$6:$B$300,$A263,'Igor'!$F$6:$F$300,"Concluído"))&amp;" / "&amp;(COUNTIF('Clarice'!$B$6:$B$300,$A263)+COUNTIF('Luisa'!$B$6:$B$300,$A263)+COUNTIF('Lui'!$B$6:$B$300,$A263)+COUNTIF('Thaís'!$B$6:$B$300,$A263)+COUNTIF('Daniel'!$B$6:$B$300,$A263)+COUNTIF('Fernando'!$B$6:$B$300,$A263)+COUNTIF('Stephanie'!$B$6:$B$300,$A263)+COUNTIF('Fox'!$B$6:$B$300,$A263)+COUNTIF('Bruna'!$B$6:$B$300,$A263)+COUNTIF('Stella'!$B$6:$B$300,$A263)+COUNTIF('Igor'!$B$6:$B$300,$A263)))</f>
        <v/>
      </c>
      <c r="K263" s="19" t="n"/>
      <c r="L263" s="19" t="n"/>
      <c r="M263" s="19" t="n"/>
      <c r="N263" s="19" t="n"/>
      <c r="O263" s="19" t="n"/>
      <c r="P263" s="20">
        <f>IF($A263="","",IF(M263&lt;&gt;"",M263,IF(K263&lt;&gt;"",K263,"")))</f>
        <v/>
      </c>
      <c r="Q263" s="20">
        <f>IF($A263="","",IF(N263&lt;&gt;"",N263,IF(L263&lt;&gt;"",L263,"")))</f>
        <v/>
      </c>
      <c r="R263" s="15" t="n"/>
      <c r="S263" s="16">
        <f t="array" ref="S263">IF($A263="","",_xlfn.TEXTJOIN(CHAR(10),TRUE,IF('Clarice'!$B$6:$B$300=$A263,"Clarice"&amp;IF('Clarice'!$E$6:$E$300="",""," : "&amp;'Clarice'!$E$6:$E$300)&amp;" ["&amp;'Clarice'!$F$6:$F$300&amp;"]",""),IF('Luisa'!$B$6:$B$300=$A263,"Luisa"&amp;IF('Luisa'!$E$6:$E$300="",""," : "&amp;'Luisa'!$E$6:$E$300)&amp;" ["&amp;'Luisa'!$F$6:$F$300&amp;"]",""),IF('Lui'!$B$6:$B$300=$A263,"Lui"&amp;IF('Lui'!$E$6:$E$300="",""," : "&amp;'Lui'!$E$6:$E$300)&amp;" ["&amp;'Lui'!$F$6:$F$300&amp;"]",""),IF('Thaís'!$B$6:$B$300=$A263,"Thaís"&amp;IF('Thaís'!$E$6:$E$300="",""," : "&amp;'Thaís'!$E$6:$E$300)&amp;" ["&amp;'Thaís'!$F$6:$F$300&amp;"]",""),IF('Daniel'!$B$6:$B$300=$A263,"Daniel"&amp;IF('Daniel'!$E$6:$E$300="",""," : "&amp;'Daniel'!$E$6:$E$300)&amp;" ["&amp;'Daniel'!$F$6:$F$300&amp;"]",""),IF('Fernando'!$B$6:$B$300=$A263,"Fernando"&amp;IF('Fernando'!$E$6:$E$300="",""," : "&amp;'Fernando'!$E$6:$E$300)&amp;" ["&amp;'Fernando'!$F$6:$F$300&amp;"]",""),IF('Stephanie'!$B$6:$B$300=$A263,"Stephanie"&amp;IF('Stephanie'!$E$6:$E$300="",""," : "&amp;'Stephanie'!$E$6:$E$300)&amp;" ["&amp;'Stephanie'!$F$6:$F$300&amp;"]",""),IF('Fox'!$B$6:$B$300=$A263,"Fox"&amp;IF('Fox'!$E$6:$E$300="",""," : "&amp;'Fox'!$E$6:$E$300)&amp;" ["&amp;'Fox'!$F$6:$F$300&amp;"]",""),IF('Bruna'!$B$6:$B$300=$A263,"Bruna"&amp;IF('Bruna'!$E$6:$E$300="",""," : "&amp;'Bruna'!$E$6:$E$300)&amp;" ["&amp;'Bruna'!$F$6:$F$300&amp;"]",""),IF('Stella'!$B$6:$B$300=$A263,"Stella"&amp;IF('Stella'!$E$6:$E$300="",""," : "&amp;'Stella'!$E$6:$E$300)&amp;" ["&amp;'Stella'!$F$6:$F$300&amp;"]",""),IF('Igor'!$B$6:$B$300=$A263,"Igor"&amp;IF('Igor'!$E$6:$E$300="",""," : "&amp;'Igor'!$E$6:$E$300)&amp;" ["&amp;'Igor'!$F$6:$F$300&amp;"]","")))</f>
        <v/>
      </c>
    </row>
    <row r="264" ht="15.5" customHeight="1">
      <c r="A264" s="13" t="inlineStr">
        <is>
          <t>P4-010</t>
        </is>
      </c>
      <c r="B264" s="14" t="inlineStr"/>
      <c r="C264" s="14" t="inlineStr">
        <is>
          <t>Relatório aplicação das métricas (produto 4)</t>
        </is>
      </c>
      <c r="D264" s="14" t="inlineStr">
        <is>
          <t>Boaventura</t>
        </is>
      </c>
      <c r="E264" s="15" t="inlineStr">
        <is>
          <t>Preparar resultados texto principal (EC)</t>
        </is>
      </c>
      <c r="F264" s="13" t="n"/>
      <c r="G264" s="16">
        <f>IF($A264="","",_xlfn.TEXTJOIN("; ",TRUE,IF(COUNTIF('Clarice'!$B$6:$B$300,$A264)&gt;0,"Clarice",""),IF(COUNTIF('Luisa'!$B$6:$B$300,$A264)&gt;0,"Luisa",""),IF(COUNTIF('Lui'!$B$6:$B$300,$A264)&gt;0,"Lui",""),IF(COUNTIF('Thaís'!$B$6:$B$300,$A264)&gt;0,"Thaís",""),IF(COUNTIF('Daniel'!$B$6:$B$300,$A264)&gt;0,"Daniel",""),IF(COUNTIF('Fernando'!$B$6:$B$300,$A264)&gt;0,"Fernando",""),IF(COUNTIF('Stephanie'!$B$6:$B$300,$A264)&gt;0,"Stephanie",""),IF(COUNTIF('Fox'!$B$6:$B$300,$A264)&gt;0,"Fox",""),IF(COUNTIF('Bruna'!$B$6:$B$300,$A264)&gt;0,"Bruna",""),IF(COUNTIF('Stella'!$B$6:$B$300,$A264)&gt;0,"Stella",""),IF(COUNTIF('Igor'!$B$6:$B$300,$A264)&gt;0,"Igor","")))</f>
        <v/>
      </c>
      <c r="H264" s="13" t="n"/>
      <c r="I264" s="13" t="inlineStr">
        <is>
          <t>Não iniciado</t>
        </is>
      </c>
      <c r="J264" s="17">
        <f>IF(OR($A264="",(COUNTIF('Clarice'!$B$6:$B$300,$A264)+COUNTIF('Luisa'!$B$6:$B$300,$A264)+COUNTIF('Lui'!$B$6:$B$300,$A264)+COUNTIF('Thaís'!$B$6:$B$300,$A264)+COUNTIF('Daniel'!$B$6:$B$300,$A264)+COUNTIF('Fernando'!$B$6:$B$300,$A264)+COUNTIF('Stephanie'!$B$6:$B$300,$A264)+COUNTIF('Fox'!$B$6:$B$300,$A264)+COUNTIF('Bruna'!$B$6:$B$300,$A264)+COUNTIF('Stella'!$B$6:$B$300,$A264)+COUNTIF('Igor'!$B$6:$B$300,$A264))=0),"",(COUNTIFS('Clarice'!$B$6:$B$300,$A264,'Clarice'!$F$6:$F$300,"Concluído")+COUNTIFS('Luisa'!$B$6:$B$300,$A264,'Luisa'!$F$6:$F$300,"Concluído")+COUNTIFS('Lui'!$B$6:$B$300,$A264,'Lui'!$F$6:$F$300,"Concluído")+COUNTIFS('Thaís'!$B$6:$B$300,$A264,'Thaís'!$F$6:$F$300,"Concluído")+COUNTIFS('Daniel'!$B$6:$B$300,$A264,'Daniel'!$F$6:$F$300,"Concluído")+COUNTIFS('Fernando'!$B$6:$B$300,$A264,'Fernando'!$F$6:$F$300,"Concluído")+COUNTIFS('Stephanie'!$B$6:$B$300,$A264,'Stephanie'!$F$6:$F$300,"Concluído")+COUNTIFS('Fox'!$B$6:$B$300,$A264,'Fox'!$F$6:$F$300,"Concluído")+COUNTIFS('Bruna'!$B$6:$B$300,$A264,'Bruna'!$F$6:$F$300,"Concluído")+COUNTIFS('Stella'!$B$6:$B$300,$A264,'Stella'!$F$6:$F$300,"Concluído")+COUNTIFS('Igor'!$B$6:$B$300,$A264,'Igor'!$F$6:$F$300,"Concluído"))&amp;" / "&amp;(COUNTIF('Clarice'!$B$6:$B$300,$A264)+COUNTIF('Luisa'!$B$6:$B$300,$A264)+COUNTIF('Lui'!$B$6:$B$300,$A264)+COUNTIF('Thaís'!$B$6:$B$300,$A264)+COUNTIF('Daniel'!$B$6:$B$300,$A264)+COUNTIF('Fernando'!$B$6:$B$300,$A264)+COUNTIF('Stephanie'!$B$6:$B$300,$A264)+COUNTIF('Fox'!$B$6:$B$300,$A264)+COUNTIF('Bruna'!$B$6:$B$300,$A264)+COUNTIF('Stella'!$B$6:$B$300,$A264)+COUNTIF('Igor'!$B$6:$B$300,$A264)))</f>
        <v/>
      </c>
      <c r="K264" s="19" t="n"/>
      <c r="L264" s="19" t="n"/>
      <c r="M264" s="19" t="n"/>
      <c r="N264" s="19" t="n"/>
      <c r="O264" s="19" t="n"/>
      <c r="P264" s="20">
        <f>IF($A264="","",IF(M264&lt;&gt;"",M264,IF(K264&lt;&gt;"",K264,"")))</f>
        <v/>
      </c>
      <c r="Q264" s="20">
        <f>IF($A264="","",IF(N264&lt;&gt;"",N264,IF(L264&lt;&gt;"",L264,"")))</f>
        <v/>
      </c>
      <c r="R264" s="15" t="n"/>
      <c r="S264" s="16">
        <f t="array" ref="S264">IF($A264="","",_xlfn.TEXTJOIN(CHAR(10),TRUE,IF('Clarice'!$B$6:$B$300=$A264,"Clarice"&amp;IF('Clarice'!$E$6:$E$300="",""," : "&amp;'Clarice'!$E$6:$E$300)&amp;" ["&amp;'Clarice'!$F$6:$F$300&amp;"]",""),IF('Luisa'!$B$6:$B$300=$A264,"Luisa"&amp;IF('Luisa'!$E$6:$E$300="",""," : "&amp;'Luisa'!$E$6:$E$300)&amp;" ["&amp;'Luisa'!$F$6:$F$300&amp;"]",""),IF('Lui'!$B$6:$B$300=$A264,"Lui"&amp;IF('Lui'!$E$6:$E$300="",""," : "&amp;'Lui'!$E$6:$E$300)&amp;" ["&amp;'Lui'!$F$6:$F$300&amp;"]",""),IF('Thaís'!$B$6:$B$300=$A264,"Thaís"&amp;IF('Thaís'!$E$6:$E$300="",""," : "&amp;'Thaís'!$E$6:$E$300)&amp;" ["&amp;'Thaís'!$F$6:$F$300&amp;"]",""),IF('Daniel'!$B$6:$B$300=$A264,"Daniel"&amp;IF('Daniel'!$E$6:$E$300="",""," : "&amp;'Daniel'!$E$6:$E$300)&amp;" ["&amp;'Daniel'!$F$6:$F$300&amp;"]",""),IF('Fernando'!$B$6:$B$300=$A264,"Fernando"&amp;IF('Fernando'!$E$6:$E$300="",""," : "&amp;'Fernando'!$E$6:$E$300)&amp;" ["&amp;'Fernando'!$F$6:$F$300&amp;"]",""),IF('Stephanie'!$B$6:$B$300=$A264,"Stephanie"&amp;IF('Stephanie'!$E$6:$E$300="",""," : "&amp;'Stephanie'!$E$6:$E$300)&amp;" ["&amp;'Stephanie'!$F$6:$F$300&amp;"]",""),IF('Fox'!$B$6:$B$300=$A264,"Fox"&amp;IF('Fox'!$E$6:$E$300="",""," : "&amp;'Fox'!$E$6:$E$300)&amp;" ["&amp;'Fox'!$F$6:$F$300&amp;"]",""),IF('Bruna'!$B$6:$B$300=$A264,"Bruna"&amp;IF('Bruna'!$E$6:$E$300="",""," : "&amp;'Bruna'!$E$6:$E$300)&amp;" ["&amp;'Bruna'!$F$6:$F$300&amp;"]",""),IF('Stella'!$B$6:$B$300=$A264,"Stella"&amp;IF('Stella'!$E$6:$E$300="",""," : "&amp;'Stella'!$E$6:$E$300)&amp;" ["&amp;'Stella'!$F$6:$F$300&amp;"]",""),IF('Igor'!$B$6:$B$300=$A264,"Igor"&amp;IF('Igor'!$E$6:$E$300="",""," : "&amp;'Igor'!$E$6:$E$300)&amp;" ["&amp;'Igor'!$F$6:$F$300&amp;"]","")))</f>
        <v/>
      </c>
    </row>
    <row r="265" ht="15.5" customHeight="1">
      <c r="A265" s="13" t="inlineStr">
        <is>
          <t>P4-011</t>
        </is>
      </c>
      <c r="B265" s="14" t="inlineStr"/>
      <c r="C265" s="14" t="inlineStr">
        <is>
          <t>Relatório aplicação das métricas (produto 4)</t>
        </is>
      </c>
      <c r="D265" s="14" t="inlineStr">
        <is>
          <t>Boaventura</t>
        </is>
      </c>
      <c r="E265" s="15" t="inlineStr">
        <is>
          <t>Preparar arquivos anexo (EC)</t>
        </is>
      </c>
      <c r="F265" s="13" t="n"/>
      <c r="G265" s="16">
        <f>IF($A265="","",_xlfn.TEXTJOIN("; ",TRUE,IF(COUNTIF('Clarice'!$B$6:$B$300,$A265)&gt;0,"Clarice",""),IF(COUNTIF('Luisa'!$B$6:$B$300,$A265)&gt;0,"Luisa",""),IF(COUNTIF('Lui'!$B$6:$B$300,$A265)&gt;0,"Lui",""),IF(COUNTIF('Thaís'!$B$6:$B$300,$A265)&gt;0,"Thaís",""),IF(COUNTIF('Daniel'!$B$6:$B$300,$A265)&gt;0,"Daniel",""),IF(COUNTIF('Fernando'!$B$6:$B$300,$A265)&gt;0,"Fernando",""),IF(COUNTIF('Stephanie'!$B$6:$B$300,$A265)&gt;0,"Stephanie",""),IF(COUNTIF('Fox'!$B$6:$B$300,$A265)&gt;0,"Fox",""),IF(COUNTIF('Bruna'!$B$6:$B$300,$A265)&gt;0,"Bruna",""),IF(COUNTIF('Stella'!$B$6:$B$300,$A265)&gt;0,"Stella",""),IF(COUNTIF('Igor'!$B$6:$B$300,$A265)&gt;0,"Igor","")))</f>
        <v/>
      </c>
      <c r="H265" s="13" t="n"/>
      <c r="I265" s="13" t="inlineStr">
        <is>
          <t>Não iniciado</t>
        </is>
      </c>
      <c r="J265" s="17">
        <f>IF(OR($A265="",(COUNTIF('Clarice'!$B$6:$B$300,$A265)+COUNTIF('Luisa'!$B$6:$B$300,$A265)+COUNTIF('Lui'!$B$6:$B$300,$A265)+COUNTIF('Thaís'!$B$6:$B$300,$A265)+COUNTIF('Daniel'!$B$6:$B$300,$A265)+COUNTIF('Fernando'!$B$6:$B$300,$A265)+COUNTIF('Stephanie'!$B$6:$B$300,$A265)+COUNTIF('Fox'!$B$6:$B$300,$A265)+COUNTIF('Bruna'!$B$6:$B$300,$A265)+COUNTIF('Stella'!$B$6:$B$300,$A265)+COUNTIF('Igor'!$B$6:$B$300,$A265))=0),"",(COUNTIFS('Clarice'!$B$6:$B$300,$A265,'Clarice'!$F$6:$F$300,"Concluído")+COUNTIFS('Luisa'!$B$6:$B$300,$A265,'Luisa'!$F$6:$F$300,"Concluído")+COUNTIFS('Lui'!$B$6:$B$300,$A265,'Lui'!$F$6:$F$300,"Concluído")+COUNTIFS('Thaís'!$B$6:$B$300,$A265,'Thaís'!$F$6:$F$300,"Concluído")+COUNTIFS('Daniel'!$B$6:$B$300,$A265,'Daniel'!$F$6:$F$300,"Concluído")+COUNTIFS('Fernando'!$B$6:$B$300,$A265,'Fernando'!$F$6:$F$300,"Concluído")+COUNTIFS('Stephanie'!$B$6:$B$300,$A265,'Stephanie'!$F$6:$F$300,"Concluído")+COUNTIFS('Fox'!$B$6:$B$300,$A265,'Fox'!$F$6:$F$300,"Concluído")+COUNTIFS('Bruna'!$B$6:$B$300,$A265,'Bruna'!$F$6:$F$300,"Concluído")+COUNTIFS('Stella'!$B$6:$B$300,$A265,'Stella'!$F$6:$F$300,"Concluído")+COUNTIFS('Igor'!$B$6:$B$300,$A265,'Igor'!$F$6:$F$300,"Concluído"))&amp;" / "&amp;(COUNTIF('Clarice'!$B$6:$B$300,$A265)+COUNTIF('Luisa'!$B$6:$B$300,$A265)+COUNTIF('Lui'!$B$6:$B$300,$A265)+COUNTIF('Thaís'!$B$6:$B$300,$A265)+COUNTIF('Daniel'!$B$6:$B$300,$A265)+COUNTIF('Fernando'!$B$6:$B$300,$A265)+COUNTIF('Stephanie'!$B$6:$B$300,$A265)+COUNTIF('Fox'!$B$6:$B$300,$A265)+COUNTIF('Bruna'!$B$6:$B$300,$A265)+COUNTIF('Stella'!$B$6:$B$300,$A265)+COUNTIF('Igor'!$B$6:$B$300,$A265)))</f>
        <v/>
      </c>
      <c r="K265" s="19" t="n"/>
      <c r="L265" s="19" t="n"/>
      <c r="M265" s="19" t="n"/>
      <c r="N265" s="19" t="n"/>
      <c r="O265" s="19" t="n"/>
      <c r="P265" s="20">
        <f>IF($A265="","",IF(M265&lt;&gt;"",M265,IF(K265&lt;&gt;"",K265,"")))</f>
        <v/>
      </c>
      <c r="Q265" s="20">
        <f>IF($A265="","",IF(N265&lt;&gt;"",N265,IF(L265&lt;&gt;"",L265,"")))</f>
        <v/>
      </c>
      <c r="R265" s="15" t="n"/>
      <c r="S265" s="16">
        <f t="array" ref="S265">IF($A265="","",_xlfn.TEXTJOIN(CHAR(10),TRUE,IF('Clarice'!$B$6:$B$300=$A265,"Clarice"&amp;IF('Clarice'!$E$6:$E$300="",""," : "&amp;'Clarice'!$E$6:$E$300)&amp;" ["&amp;'Clarice'!$F$6:$F$300&amp;"]",""),IF('Luisa'!$B$6:$B$300=$A265,"Luisa"&amp;IF('Luisa'!$E$6:$E$300="",""," : "&amp;'Luisa'!$E$6:$E$300)&amp;" ["&amp;'Luisa'!$F$6:$F$300&amp;"]",""),IF('Lui'!$B$6:$B$300=$A265,"Lui"&amp;IF('Lui'!$E$6:$E$300="",""," : "&amp;'Lui'!$E$6:$E$300)&amp;" ["&amp;'Lui'!$F$6:$F$300&amp;"]",""),IF('Thaís'!$B$6:$B$300=$A265,"Thaís"&amp;IF('Thaís'!$E$6:$E$300="",""," : "&amp;'Thaís'!$E$6:$E$300)&amp;" ["&amp;'Thaís'!$F$6:$F$300&amp;"]",""),IF('Daniel'!$B$6:$B$300=$A265,"Daniel"&amp;IF('Daniel'!$E$6:$E$300="",""," : "&amp;'Daniel'!$E$6:$E$300)&amp;" ["&amp;'Daniel'!$F$6:$F$300&amp;"]",""),IF('Fernando'!$B$6:$B$300=$A265,"Fernando"&amp;IF('Fernando'!$E$6:$E$300="",""," : "&amp;'Fernando'!$E$6:$E$300)&amp;" ["&amp;'Fernando'!$F$6:$F$300&amp;"]",""),IF('Stephanie'!$B$6:$B$300=$A265,"Stephanie"&amp;IF('Stephanie'!$E$6:$E$300="",""," : "&amp;'Stephanie'!$E$6:$E$300)&amp;" ["&amp;'Stephanie'!$F$6:$F$300&amp;"]",""),IF('Fox'!$B$6:$B$300=$A265,"Fox"&amp;IF('Fox'!$E$6:$E$300="",""," : "&amp;'Fox'!$E$6:$E$300)&amp;" ["&amp;'Fox'!$F$6:$F$300&amp;"]",""),IF('Bruna'!$B$6:$B$300=$A265,"Bruna"&amp;IF('Bruna'!$E$6:$E$300="",""," : "&amp;'Bruna'!$E$6:$E$300)&amp;" ["&amp;'Bruna'!$F$6:$F$300&amp;"]",""),IF('Stella'!$B$6:$B$300=$A265,"Stella"&amp;IF('Stella'!$E$6:$E$300="",""," : "&amp;'Stella'!$E$6:$E$300)&amp;" ["&amp;'Stella'!$F$6:$F$300&amp;"]",""),IF('Igor'!$B$6:$B$300=$A265,"Igor"&amp;IF('Igor'!$E$6:$E$300="",""," : "&amp;'Igor'!$E$6:$E$300)&amp;" ["&amp;'Igor'!$F$6:$F$300&amp;"]","")))</f>
        <v/>
      </c>
    </row>
    <row r="266" ht="15.5" customHeight="1">
      <c r="A266" s="13" t="inlineStr">
        <is>
          <t>P4-012</t>
        </is>
      </c>
      <c r="B266" s="14" t="inlineStr"/>
      <c r="C266" s="14" t="inlineStr">
        <is>
          <t>Relatório aplicação das métricas (produto 4)</t>
        </is>
      </c>
      <c r="D266" s="14" t="inlineStr">
        <is>
          <t>Boaventura</t>
        </is>
      </c>
      <c r="E266" s="15" t="inlineStr">
        <is>
          <t>Redigir o texto (DM)</t>
        </is>
      </c>
      <c r="F266" s="13" t="n"/>
      <c r="G266" s="16">
        <f>IF($A266="","",_xlfn.TEXTJOIN("; ",TRUE,IF(COUNTIF('Clarice'!$B$6:$B$300,$A266)&gt;0,"Clarice",""),IF(COUNTIF('Luisa'!$B$6:$B$300,$A266)&gt;0,"Luisa",""),IF(COUNTIF('Lui'!$B$6:$B$300,$A266)&gt;0,"Lui",""),IF(COUNTIF('Thaís'!$B$6:$B$300,$A266)&gt;0,"Thaís",""),IF(COUNTIF('Daniel'!$B$6:$B$300,$A266)&gt;0,"Daniel",""),IF(COUNTIF('Fernando'!$B$6:$B$300,$A266)&gt;0,"Fernando",""),IF(COUNTIF('Stephanie'!$B$6:$B$300,$A266)&gt;0,"Stephanie",""),IF(COUNTIF('Fox'!$B$6:$B$300,$A266)&gt;0,"Fox",""),IF(COUNTIF('Bruna'!$B$6:$B$300,$A266)&gt;0,"Bruna",""),IF(COUNTIF('Stella'!$B$6:$B$300,$A266)&gt;0,"Stella",""),IF(COUNTIF('Igor'!$B$6:$B$300,$A266)&gt;0,"Igor","")))</f>
        <v/>
      </c>
      <c r="H266" s="13" t="n"/>
      <c r="I266" s="13" t="inlineStr">
        <is>
          <t>Não iniciado</t>
        </is>
      </c>
      <c r="J266" s="17">
        <f>IF(OR($A266="",(COUNTIF('Clarice'!$B$6:$B$300,$A266)+COUNTIF('Luisa'!$B$6:$B$300,$A266)+COUNTIF('Lui'!$B$6:$B$300,$A266)+COUNTIF('Thaís'!$B$6:$B$300,$A266)+COUNTIF('Daniel'!$B$6:$B$300,$A266)+COUNTIF('Fernando'!$B$6:$B$300,$A266)+COUNTIF('Stephanie'!$B$6:$B$300,$A266)+COUNTIF('Fox'!$B$6:$B$300,$A266)+COUNTIF('Bruna'!$B$6:$B$300,$A266)+COUNTIF('Stella'!$B$6:$B$300,$A266)+COUNTIF('Igor'!$B$6:$B$300,$A266))=0),"",(COUNTIFS('Clarice'!$B$6:$B$300,$A266,'Clarice'!$F$6:$F$300,"Concluído")+COUNTIFS('Luisa'!$B$6:$B$300,$A266,'Luisa'!$F$6:$F$300,"Concluído")+COUNTIFS('Lui'!$B$6:$B$300,$A266,'Lui'!$F$6:$F$300,"Concluído")+COUNTIFS('Thaís'!$B$6:$B$300,$A266,'Thaís'!$F$6:$F$300,"Concluído")+COUNTIFS('Daniel'!$B$6:$B$300,$A266,'Daniel'!$F$6:$F$300,"Concluído")+COUNTIFS('Fernando'!$B$6:$B$300,$A266,'Fernando'!$F$6:$F$300,"Concluído")+COUNTIFS('Stephanie'!$B$6:$B$300,$A266,'Stephanie'!$F$6:$F$300,"Concluído")+COUNTIFS('Fox'!$B$6:$B$300,$A266,'Fox'!$F$6:$F$300,"Concluído")+COUNTIFS('Bruna'!$B$6:$B$300,$A266,'Bruna'!$F$6:$F$300,"Concluído")+COUNTIFS('Stella'!$B$6:$B$300,$A266,'Stella'!$F$6:$F$300,"Concluído")+COUNTIFS('Igor'!$B$6:$B$300,$A266,'Igor'!$F$6:$F$300,"Concluído"))&amp;" / "&amp;(COUNTIF('Clarice'!$B$6:$B$300,$A266)+COUNTIF('Luisa'!$B$6:$B$300,$A266)+COUNTIF('Lui'!$B$6:$B$300,$A266)+COUNTIF('Thaís'!$B$6:$B$300,$A266)+COUNTIF('Daniel'!$B$6:$B$300,$A266)+COUNTIF('Fernando'!$B$6:$B$300,$A266)+COUNTIF('Stephanie'!$B$6:$B$300,$A266)+COUNTIF('Fox'!$B$6:$B$300,$A266)+COUNTIF('Bruna'!$B$6:$B$300,$A266)+COUNTIF('Stella'!$B$6:$B$300,$A266)+COUNTIF('Igor'!$B$6:$B$300,$A266)))</f>
        <v/>
      </c>
      <c r="K266" s="19" t="n"/>
      <c r="L266" s="19" t="n"/>
      <c r="M266" s="19" t="n"/>
      <c r="N266" s="19" t="n"/>
      <c r="O266" s="19" t="n"/>
      <c r="P266" s="20">
        <f>IF($A266="","",IF(M266&lt;&gt;"",M266,IF(K266&lt;&gt;"",K266,"")))</f>
        <v/>
      </c>
      <c r="Q266" s="20">
        <f>IF($A266="","",IF(N266&lt;&gt;"",N266,IF(L266&lt;&gt;"",L266,"")))</f>
        <v/>
      </c>
      <c r="R266" s="15" t="n"/>
      <c r="S266" s="16">
        <f t="array" ref="S266">IF($A266="","",_xlfn.TEXTJOIN(CHAR(10),TRUE,IF('Clarice'!$B$6:$B$300=$A266,"Clarice"&amp;IF('Clarice'!$E$6:$E$300="",""," : "&amp;'Clarice'!$E$6:$E$300)&amp;" ["&amp;'Clarice'!$F$6:$F$300&amp;"]",""),IF('Luisa'!$B$6:$B$300=$A266,"Luisa"&amp;IF('Luisa'!$E$6:$E$300="",""," : "&amp;'Luisa'!$E$6:$E$300)&amp;" ["&amp;'Luisa'!$F$6:$F$300&amp;"]",""),IF('Lui'!$B$6:$B$300=$A266,"Lui"&amp;IF('Lui'!$E$6:$E$300="",""," : "&amp;'Lui'!$E$6:$E$300)&amp;" ["&amp;'Lui'!$F$6:$F$300&amp;"]",""),IF('Thaís'!$B$6:$B$300=$A266,"Thaís"&amp;IF('Thaís'!$E$6:$E$300="",""," : "&amp;'Thaís'!$E$6:$E$300)&amp;" ["&amp;'Thaís'!$F$6:$F$300&amp;"]",""),IF('Daniel'!$B$6:$B$300=$A266,"Daniel"&amp;IF('Daniel'!$E$6:$E$300="",""," : "&amp;'Daniel'!$E$6:$E$300)&amp;" ["&amp;'Daniel'!$F$6:$F$300&amp;"]",""),IF('Fernando'!$B$6:$B$300=$A266,"Fernando"&amp;IF('Fernando'!$E$6:$E$300="",""," : "&amp;'Fernando'!$E$6:$E$300)&amp;" ["&amp;'Fernando'!$F$6:$F$300&amp;"]",""),IF('Stephanie'!$B$6:$B$300=$A266,"Stephanie"&amp;IF('Stephanie'!$E$6:$E$300="",""," : "&amp;'Stephanie'!$E$6:$E$300)&amp;" ["&amp;'Stephanie'!$F$6:$F$300&amp;"]",""),IF('Fox'!$B$6:$B$300=$A266,"Fox"&amp;IF('Fox'!$E$6:$E$300="",""," : "&amp;'Fox'!$E$6:$E$300)&amp;" ["&amp;'Fox'!$F$6:$F$300&amp;"]",""),IF('Bruna'!$B$6:$B$300=$A266,"Bruna"&amp;IF('Bruna'!$E$6:$E$300="",""," : "&amp;'Bruna'!$E$6:$E$300)&amp;" ["&amp;'Bruna'!$F$6:$F$300&amp;"]",""),IF('Stella'!$B$6:$B$300=$A266,"Stella"&amp;IF('Stella'!$E$6:$E$300="",""," : "&amp;'Stella'!$E$6:$E$300)&amp;" ["&amp;'Stella'!$F$6:$F$300&amp;"]",""),IF('Igor'!$B$6:$B$300=$A266,"Igor"&amp;IF('Igor'!$E$6:$E$300="",""," : "&amp;'Igor'!$E$6:$E$300)&amp;" ["&amp;'Igor'!$F$6:$F$300&amp;"]","")))</f>
        <v/>
      </c>
    </row>
    <row r="267" ht="15.5" customHeight="1">
      <c r="A267" s="13" t="inlineStr">
        <is>
          <t>P4-013</t>
        </is>
      </c>
      <c r="B267" s="14" t="inlineStr"/>
      <c r="C267" s="14" t="inlineStr">
        <is>
          <t>Relatório aplicação das métricas (produto 4)</t>
        </is>
      </c>
      <c r="D267" s="14" t="inlineStr">
        <is>
          <t>Boaventura</t>
        </is>
      </c>
      <c r="E267" s="15" t="inlineStr">
        <is>
          <t>Preparar resultados texto principal (SBM)</t>
        </is>
      </c>
      <c r="F267" s="13" t="n"/>
      <c r="G267" s="16">
        <f>IF($A267="","",_xlfn.TEXTJOIN("; ",TRUE,IF(COUNTIF('Clarice'!$B$6:$B$300,$A267)&gt;0,"Clarice",""),IF(COUNTIF('Luisa'!$B$6:$B$300,$A267)&gt;0,"Luisa",""),IF(COUNTIF('Lui'!$B$6:$B$300,$A267)&gt;0,"Lui",""),IF(COUNTIF('Thaís'!$B$6:$B$300,$A267)&gt;0,"Thaís",""),IF(COUNTIF('Daniel'!$B$6:$B$300,$A267)&gt;0,"Daniel",""),IF(COUNTIF('Fernando'!$B$6:$B$300,$A267)&gt;0,"Fernando",""),IF(COUNTIF('Stephanie'!$B$6:$B$300,$A267)&gt;0,"Stephanie",""),IF(COUNTIF('Fox'!$B$6:$B$300,$A267)&gt;0,"Fox",""),IF(COUNTIF('Bruna'!$B$6:$B$300,$A267)&gt;0,"Bruna",""),IF(COUNTIF('Stella'!$B$6:$B$300,$A267)&gt;0,"Stella",""),IF(COUNTIF('Igor'!$B$6:$B$300,$A267)&gt;0,"Igor","")))</f>
        <v/>
      </c>
      <c r="H267" s="13" t="n"/>
      <c r="I267" s="13" t="inlineStr">
        <is>
          <t>Não iniciado</t>
        </is>
      </c>
      <c r="J267" s="17">
        <f>IF(OR($A267="",(COUNTIF('Clarice'!$B$6:$B$300,$A267)+COUNTIF('Luisa'!$B$6:$B$300,$A267)+COUNTIF('Lui'!$B$6:$B$300,$A267)+COUNTIF('Thaís'!$B$6:$B$300,$A267)+COUNTIF('Daniel'!$B$6:$B$300,$A267)+COUNTIF('Fernando'!$B$6:$B$300,$A267)+COUNTIF('Stephanie'!$B$6:$B$300,$A267)+COUNTIF('Fox'!$B$6:$B$300,$A267)+COUNTIF('Bruna'!$B$6:$B$300,$A267)+COUNTIF('Stella'!$B$6:$B$300,$A267)+COUNTIF('Igor'!$B$6:$B$300,$A267))=0),"",(COUNTIFS('Clarice'!$B$6:$B$300,$A267,'Clarice'!$F$6:$F$300,"Concluído")+COUNTIFS('Luisa'!$B$6:$B$300,$A267,'Luisa'!$F$6:$F$300,"Concluído")+COUNTIFS('Lui'!$B$6:$B$300,$A267,'Lui'!$F$6:$F$300,"Concluído")+COUNTIFS('Thaís'!$B$6:$B$300,$A267,'Thaís'!$F$6:$F$300,"Concluído")+COUNTIFS('Daniel'!$B$6:$B$300,$A267,'Daniel'!$F$6:$F$300,"Concluído")+COUNTIFS('Fernando'!$B$6:$B$300,$A267,'Fernando'!$F$6:$F$300,"Concluído")+COUNTIFS('Stephanie'!$B$6:$B$300,$A267,'Stephanie'!$F$6:$F$300,"Concluído")+COUNTIFS('Fox'!$B$6:$B$300,$A267,'Fox'!$F$6:$F$300,"Concluído")+COUNTIFS('Bruna'!$B$6:$B$300,$A267,'Bruna'!$F$6:$F$300,"Concluído")+COUNTIFS('Stella'!$B$6:$B$300,$A267,'Stella'!$F$6:$F$300,"Concluído")+COUNTIFS('Igor'!$B$6:$B$300,$A267,'Igor'!$F$6:$F$300,"Concluído"))&amp;" / "&amp;(COUNTIF('Clarice'!$B$6:$B$300,$A267)+COUNTIF('Luisa'!$B$6:$B$300,$A267)+COUNTIF('Lui'!$B$6:$B$300,$A267)+COUNTIF('Thaís'!$B$6:$B$300,$A267)+COUNTIF('Daniel'!$B$6:$B$300,$A267)+COUNTIF('Fernando'!$B$6:$B$300,$A267)+COUNTIF('Stephanie'!$B$6:$B$300,$A267)+COUNTIF('Fox'!$B$6:$B$300,$A267)+COUNTIF('Bruna'!$B$6:$B$300,$A267)+COUNTIF('Stella'!$B$6:$B$300,$A267)+COUNTIF('Igor'!$B$6:$B$300,$A267)))</f>
        <v/>
      </c>
      <c r="K267" s="19" t="n"/>
      <c r="L267" s="19" t="n"/>
      <c r="M267" s="19" t="n"/>
      <c r="N267" s="19" t="n"/>
      <c r="O267" s="19" t="n"/>
      <c r="P267" s="20">
        <f>IF($A267="","",IF(M267&lt;&gt;"",M267,IF(K267&lt;&gt;"",K267,"")))</f>
        <v/>
      </c>
      <c r="Q267" s="20">
        <f>IF($A267="","",IF(N267&lt;&gt;"",N267,IF(L267&lt;&gt;"",L267,"")))</f>
        <v/>
      </c>
      <c r="R267" s="15" t="n"/>
      <c r="S267" s="16">
        <f t="array" ref="S267">IF($A267="","",_xlfn.TEXTJOIN(CHAR(10),TRUE,IF('Clarice'!$B$6:$B$300=$A267,"Clarice"&amp;IF('Clarice'!$E$6:$E$300="",""," : "&amp;'Clarice'!$E$6:$E$300)&amp;" ["&amp;'Clarice'!$F$6:$F$300&amp;"]",""),IF('Luisa'!$B$6:$B$300=$A267,"Luisa"&amp;IF('Luisa'!$E$6:$E$300="",""," : "&amp;'Luisa'!$E$6:$E$300)&amp;" ["&amp;'Luisa'!$F$6:$F$300&amp;"]",""),IF('Lui'!$B$6:$B$300=$A267,"Lui"&amp;IF('Lui'!$E$6:$E$300="",""," : "&amp;'Lui'!$E$6:$E$300)&amp;" ["&amp;'Lui'!$F$6:$F$300&amp;"]",""),IF('Thaís'!$B$6:$B$300=$A267,"Thaís"&amp;IF('Thaís'!$E$6:$E$300="",""," : "&amp;'Thaís'!$E$6:$E$300)&amp;" ["&amp;'Thaís'!$F$6:$F$300&amp;"]",""),IF('Daniel'!$B$6:$B$300=$A267,"Daniel"&amp;IF('Daniel'!$E$6:$E$300="",""," : "&amp;'Daniel'!$E$6:$E$300)&amp;" ["&amp;'Daniel'!$F$6:$F$300&amp;"]",""),IF('Fernando'!$B$6:$B$300=$A267,"Fernando"&amp;IF('Fernando'!$E$6:$E$300="",""," : "&amp;'Fernando'!$E$6:$E$300)&amp;" ["&amp;'Fernando'!$F$6:$F$300&amp;"]",""),IF('Stephanie'!$B$6:$B$300=$A267,"Stephanie"&amp;IF('Stephanie'!$E$6:$E$300="",""," : "&amp;'Stephanie'!$E$6:$E$300)&amp;" ["&amp;'Stephanie'!$F$6:$F$300&amp;"]",""),IF('Fox'!$B$6:$B$300=$A267,"Fox"&amp;IF('Fox'!$E$6:$E$300="",""," : "&amp;'Fox'!$E$6:$E$300)&amp;" ["&amp;'Fox'!$F$6:$F$300&amp;"]",""),IF('Bruna'!$B$6:$B$300=$A267,"Bruna"&amp;IF('Bruna'!$E$6:$E$300="",""," : "&amp;'Bruna'!$E$6:$E$300)&amp;" ["&amp;'Bruna'!$F$6:$F$300&amp;"]",""),IF('Stella'!$B$6:$B$300=$A267,"Stella"&amp;IF('Stella'!$E$6:$E$300="",""," : "&amp;'Stella'!$E$6:$E$300)&amp;" ["&amp;'Stella'!$F$6:$F$300&amp;"]",""),IF('Igor'!$B$6:$B$300=$A267,"Igor"&amp;IF('Igor'!$E$6:$E$300="",""," : "&amp;'Igor'!$E$6:$E$300)&amp;" ["&amp;'Igor'!$F$6:$F$300&amp;"]","")))</f>
        <v/>
      </c>
    </row>
    <row r="268" ht="15.5" customHeight="1">
      <c r="A268" s="13" t="inlineStr">
        <is>
          <t>P4-014</t>
        </is>
      </c>
      <c r="B268" s="14" t="inlineStr"/>
      <c r="C268" s="14" t="inlineStr">
        <is>
          <t>Relatório aplicação das métricas (produto 4)</t>
        </is>
      </c>
      <c r="D268" s="14" t="inlineStr">
        <is>
          <t>Boaventura</t>
        </is>
      </c>
      <c r="E268" s="15" t="inlineStr">
        <is>
          <t>Preparar arquivos anexo (SBM)</t>
        </is>
      </c>
      <c r="F268" s="13" t="n"/>
      <c r="G268" s="16">
        <f>IF($A268="","",_xlfn.TEXTJOIN("; ",TRUE,IF(COUNTIF('Clarice'!$B$6:$B$300,$A268)&gt;0,"Clarice",""),IF(COUNTIF('Luisa'!$B$6:$B$300,$A268)&gt;0,"Luisa",""),IF(COUNTIF('Lui'!$B$6:$B$300,$A268)&gt;0,"Lui",""),IF(COUNTIF('Thaís'!$B$6:$B$300,$A268)&gt;0,"Thaís",""),IF(COUNTIF('Daniel'!$B$6:$B$300,$A268)&gt;0,"Daniel",""),IF(COUNTIF('Fernando'!$B$6:$B$300,$A268)&gt;0,"Fernando",""),IF(COUNTIF('Stephanie'!$B$6:$B$300,$A268)&gt;0,"Stephanie",""),IF(COUNTIF('Fox'!$B$6:$B$300,$A268)&gt;0,"Fox",""),IF(COUNTIF('Bruna'!$B$6:$B$300,$A268)&gt;0,"Bruna",""),IF(COUNTIF('Stella'!$B$6:$B$300,$A268)&gt;0,"Stella",""),IF(COUNTIF('Igor'!$B$6:$B$300,$A268)&gt;0,"Igor","")))</f>
        <v/>
      </c>
      <c r="H268" s="13" t="n"/>
      <c r="I268" s="13" t="inlineStr">
        <is>
          <t>Não iniciado</t>
        </is>
      </c>
      <c r="J268" s="17">
        <f>IF(OR($A268="",(COUNTIF('Clarice'!$B$6:$B$300,$A268)+COUNTIF('Luisa'!$B$6:$B$300,$A268)+COUNTIF('Lui'!$B$6:$B$300,$A268)+COUNTIF('Thaís'!$B$6:$B$300,$A268)+COUNTIF('Daniel'!$B$6:$B$300,$A268)+COUNTIF('Fernando'!$B$6:$B$300,$A268)+COUNTIF('Stephanie'!$B$6:$B$300,$A268)+COUNTIF('Fox'!$B$6:$B$300,$A268)+COUNTIF('Bruna'!$B$6:$B$300,$A268)+COUNTIF('Stella'!$B$6:$B$300,$A268)+COUNTIF('Igor'!$B$6:$B$300,$A268))=0),"",(COUNTIFS('Clarice'!$B$6:$B$300,$A268,'Clarice'!$F$6:$F$300,"Concluído")+COUNTIFS('Luisa'!$B$6:$B$300,$A268,'Luisa'!$F$6:$F$300,"Concluído")+COUNTIFS('Lui'!$B$6:$B$300,$A268,'Lui'!$F$6:$F$300,"Concluído")+COUNTIFS('Thaís'!$B$6:$B$300,$A268,'Thaís'!$F$6:$F$300,"Concluído")+COUNTIFS('Daniel'!$B$6:$B$300,$A268,'Daniel'!$F$6:$F$300,"Concluído")+COUNTIFS('Fernando'!$B$6:$B$300,$A268,'Fernando'!$F$6:$F$300,"Concluído")+COUNTIFS('Stephanie'!$B$6:$B$300,$A268,'Stephanie'!$F$6:$F$300,"Concluído")+COUNTIFS('Fox'!$B$6:$B$300,$A268,'Fox'!$F$6:$F$300,"Concluído")+COUNTIFS('Bruna'!$B$6:$B$300,$A268,'Bruna'!$F$6:$F$300,"Concluído")+COUNTIFS('Stella'!$B$6:$B$300,$A268,'Stella'!$F$6:$F$300,"Concluído")+COUNTIFS('Igor'!$B$6:$B$300,$A268,'Igor'!$F$6:$F$300,"Concluído"))&amp;" / "&amp;(COUNTIF('Clarice'!$B$6:$B$300,$A268)+COUNTIF('Luisa'!$B$6:$B$300,$A268)+COUNTIF('Lui'!$B$6:$B$300,$A268)+COUNTIF('Thaís'!$B$6:$B$300,$A268)+COUNTIF('Daniel'!$B$6:$B$300,$A268)+COUNTIF('Fernando'!$B$6:$B$300,$A268)+COUNTIF('Stephanie'!$B$6:$B$300,$A268)+COUNTIF('Fox'!$B$6:$B$300,$A268)+COUNTIF('Bruna'!$B$6:$B$300,$A268)+COUNTIF('Stella'!$B$6:$B$300,$A268)+COUNTIF('Igor'!$B$6:$B$300,$A268)))</f>
        <v/>
      </c>
      <c r="K268" s="19" t="n"/>
      <c r="L268" s="19" t="n"/>
      <c r="M268" s="19" t="n"/>
      <c r="N268" s="19" t="n"/>
      <c r="O268" s="19" t="n"/>
      <c r="P268" s="20">
        <f>IF($A268="","",IF(M268&lt;&gt;"",M268,IF(K268&lt;&gt;"",K268,"")))</f>
        <v/>
      </c>
      <c r="Q268" s="20">
        <f>IF($A268="","",IF(N268&lt;&gt;"",N268,IF(L268&lt;&gt;"",L268,"")))</f>
        <v/>
      </c>
      <c r="R268" s="15" t="n"/>
      <c r="S268" s="16">
        <f t="array" ref="S268">IF($A268="","",_xlfn.TEXTJOIN(CHAR(10),TRUE,IF('Clarice'!$B$6:$B$300=$A268,"Clarice"&amp;IF('Clarice'!$E$6:$E$300="",""," : "&amp;'Clarice'!$E$6:$E$300)&amp;" ["&amp;'Clarice'!$F$6:$F$300&amp;"]",""),IF('Luisa'!$B$6:$B$300=$A268,"Luisa"&amp;IF('Luisa'!$E$6:$E$300="",""," : "&amp;'Luisa'!$E$6:$E$300)&amp;" ["&amp;'Luisa'!$F$6:$F$300&amp;"]",""),IF('Lui'!$B$6:$B$300=$A268,"Lui"&amp;IF('Lui'!$E$6:$E$300="",""," : "&amp;'Lui'!$E$6:$E$300)&amp;" ["&amp;'Lui'!$F$6:$F$300&amp;"]",""),IF('Thaís'!$B$6:$B$300=$A268,"Thaís"&amp;IF('Thaís'!$E$6:$E$300="",""," : "&amp;'Thaís'!$E$6:$E$300)&amp;" ["&amp;'Thaís'!$F$6:$F$300&amp;"]",""),IF('Daniel'!$B$6:$B$300=$A268,"Daniel"&amp;IF('Daniel'!$E$6:$E$300="",""," : "&amp;'Daniel'!$E$6:$E$300)&amp;" ["&amp;'Daniel'!$F$6:$F$300&amp;"]",""),IF('Fernando'!$B$6:$B$300=$A268,"Fernando"&amp;IF('Fernando'!$E$6:$E$300="",""," : "&amp;'Fernando'!$E$6:$E$300)&amp;" ["&amp;'Fernando'!$F$6:$F$300&amp;"]",""),IF('Stephanie'!$B$6:$B$300=$A268,"Stephanie"&amp;IF('Stephanie'!$E$6:$E$300="",""," : "&amp;'Stephanie'!$E$6:$E$300)&amp;" ["&amp;'Stephanie'!$F$6:$F$300&amp;"]",""),IF('Fox'!$B$6:$B$300=$A268,"Fox"&amp;IF('Fox'!$E$6:$E$300="",""," : "&amp;'Fox'!$E$6:$E$300)&amp;" ["&amp;'Fox'!$F$6:$F$300&amp;"]",""),IF('Bruna'!$B$6:$B$300=$A268,"Bruna"&amp;IF('Bruna'!$E$6:$E$300="",""," : "&amp;'Bruna'!$E$6:$E$300)&amp;" ["&amp;'Bruna'!$F$6:$F$300&amp;"]",""),IF('Stella'!$B$6:$B$300=$A268,"Stella"&amp;IF('Stella'!$E$6:$E$300="",""," : "&amp;'Stella'!$E$6:$E$300)&amp;" ["&amp;'Stella'!$F$6:$F$300&amp;"]",""),IF('Igor'!$B$6:$B$300=$A268,"Igor"&amp;IF('Igor'!$E$6:$E$300="",""," : "&amp;'Igor'!$E$6:$E$300)&amp;" ["&amp;'Igor'!$F$6:$F$300&amp;"]","")))</f>
        <v/>
      </c>
    </row>
    <row r="269" ht="15.5" customHeight="1">
      <c r="A269" s="13" t="inlineStr">
        <is>
          <t>P4-015</t>
        </is>
      </c>
      <c r="B269" s="14" t="inlineStr"/>
      <c r="C269" s="14" t="inlineStr">
        <is>
          <t>Relatório aplicação das métricas (produto 4)</t>
        </is>
      </c>
      <c r="D269" s="14" t="inlineStr">
        <is>
          <t>Boaventura</t>
        </is>
      </c>
      <c r="E269" s="15" t="inlineStr">
        <is>
          <t>Preparar resultados texto principal (DM)</t>
        </is>
      </c>
      <c r="F269" s="13" t="n"/>
      <c r="G269" s="16">
        <f>IF($A269="","",_xlfn.TEXTJOIN("; ",TRUE,IF(COUNTIF('Clarice'!$B$6:$B$300,$A269)&gt;0,"Clarice",""),IF(COUNTIF('Luisa'!$B$6:$B$300,$A269)&gt;0,"Luisa",""),IF(COUNTIF('Lui'!$B$6:$B$300,$A269)&gt;0,"Lui",""),IF(COUNTIF('Thaís'!$B$6:$B$300,$A269)&gt;0,"Thaís",""),IF(COUNTIF('Daniel'!$B$6:$B$300,$A269)&gt;0,"Daniel",""),IF(COUNTIF('Fernando'!$B$6:$B$300,$A269)&gt;0,"Fernando",""),IF(COUNTIF('Stephanie'!$B$6:$B$300,$A269)&gt;0,"Stephanie",""),IF(COUNTIF('Fox'!$B$6:$B$300,$A269)&gt;0,"Fox",""),IF(COUNTIF('Bruna'!$B$6:$B$300,$A269)&gt;0,"Bruna",""),IF(COUNTIF('Stella'!$B$6:$B$300,$A269)&gt;0,"Stella",""),IF(COUNTIF('Igor'!$B$6:$B$300,$A269)&gt;0,"Igor","")))</f>
        <v/>
      </c>
      <c r="H269" s="13" t="n"/>
      <c r="I269" s="13" t="inlineStr">
        <is>
          <t>Não iniciado</t>
        </is>
      </c>
      <c r="J269" s="17">
        <f>IF(OR($A269="",(COUNTIF('Clarice'!$B$6:$B$300,$A269)+COUNTIF('Luisa'!$B$6:$B$300,$A269)+COUNTIF('Lui'!$B$6:$B$300,$A269)+COUNTIF('Thaís'!$B$6:$B$300,$A269)+COUNTIF('Daniel'!$B$6:$B$300,$A269)+COUNTIF('Fernando'!$B$6:$B$300,$A269)+COUNTIF('Stephanie'!$B$6:$B$300,$A269)+COUNTIF('Fox'!$B$6:$B$300,$A269)+COUNTIF('Bruna'!$B$6:$B$300,$A269)+COUNTIF('Stella'!$B$6:$B$300,$A269)+COUNTIF('Igor'!$B$6:$B$300,$A269))=0),"",(COUNTIFS('Clarice'!$B$6:$B$300,$A269,'Clarice'!$F$6:$F$300,"Concluído")+COUNTIFS('Luisa'!$B$6:$B$300,$A269,'Luisa'!$F$6:$F$300,"Concluído")+COUNTIFS('Lui'!$B$6:$B$300,$A269,'Lui'!$F$6:$F$300,"Concluído")+COUNTIFS('Thaís'!$B$6:$B$300,$A269,'Thaís'!$F$6:$F$300,"Concluído")+COUNTIFS('Daniel'!$B$6:$B$300,$A269,'Daniel'!$F$6:$F$300,"Concluído")+COUNTIFS('Fernando'!$B$6:$B$300,$A269,'Fernando'!$F$6:$F$300,"Concluído")+COUNTIFS('Stephanie'!$B$6:$B$300,$A269,'Stephanie'!$F$6:$F$300,"Concluído")+COUNTIFS('Fox'!$B$6:$B$300,$A269,'Fox'!$F$6:$F$300,"Concluído")+COUNTIFS('Bruna'!$B$6:$B$300,$A269,'Bruna'!$F$6:$F$300,"Concluído")+COUNTIFS('Stella'!$B$6:$B$300,$A269,'Stella'!$F$6:$F$300,"Concluído")+COUNTIFS('Igor'!$B$6:$B$300,$A269,'Igor'!$F$6:$F$300,"Concluído"))&amp;" / "&amp;(COUNTIF('Clarice'!$B$6:$B$300,$A269)+COUNTIF('Luisa'!$B$6:$B$300,$A269)+COUNTIF('Lui'!$B$6:$B$300,$A269)+COUNTIF('Thaís'!$B$6:$B$300,$A269)+COUNTIF('Daniel'!$B$6:$B$300,$A269)+COUNTIF('Fernando'!$B$6:$B$300,$A269)+COUNTIF('Stephanie'!$B$6:$B$300,$A269)+COUNTIF('Fox'!$B$6:$B$300,$A269)+COUNTIF('Bruna'!$B$6:$B$300,$A269)+COUNTIF('Stella'!$B$6:$B$300,$A269)+COUNTIF('Igor'!$B$6:$B$300,$A269)))</f>
        <v/>
      </c>
      <c r="K269" s="19" t="n"/>
      <c r="L269" s="19" t="n"/>
      <c r="M269" s="19" t="n"/>
      <c r="N269" s="19" t="n"/>
      <c r="O269" s="19" t="n"/>
      <c r="P269" s="20">
        <f>IF($A269="","",IF(M269&lt;&gt;"",M269,IF(K269&lt;&gt;"",K269,"")))</f>
        <v/>
      </c>
      <c r="Q269" s="20">
        <f>IF($A269="","",IF(N269&lt;&gt;"",N269,IF(L269&lt;&gt;"",L269,"")))</f>
        <v/>
      </c>
      <c r="R269" s="15" t="n"/>
      <c r="S269" s="16">
        <f t="array" ref="S269">IF($A269="","",_xlfn.TEXTJOIN(CHAR(10),TRUE,IF('Clarice'!$B$6:$B$300=$A269,"Clarice"&amp;IF('Clarice'!$E$6:$E$300="",""," : "&amp;'Clarice'!$E$6:$E$300)&amp;" ["&amp;'Clarice'!$F$6:$F$300&amp;"]",""),IF('Luisa'!$B$6:$B$300=$A269,"Luisa"&amp;IF('Luisa'!$E$6:$E$300="",""," : "&amp;'Luisa'!$E$6:$E$300)&amp;" ["&amp;'Luisa'!$F$6:$F$300&amp;"]",""),IF('Lui'!$B$6:$B$300=$A269,"Lui"&amp;IF('Lui'!$E$6:$E$300="",""," : "&amp;'Lui'!$E$6:$E$300)&amp;" ["&amp;'Lui'!$F$6:$F$300&amp;"]",""),IF('Thaís'!$B$6:$B$300=$A269,"Thaís"&amp;IF('Thaís'!$E$6:$E$300="",""," : "&amp;'Thaís'!$E$6:$E$300)&amp;" ["&amp;'Thaís'!$F$6:$F$300&amp;"]",""),IF('Daniel'!$B$6:$B$300=$A269,"Daniel"&amp;IF('Daniel'!$E$6:$E$300="",""," : "&amp;'Daniel'!$E$6:$E$300)&amp;" ["&amp;'Daniel'!$F$6:$F$300&amp;"]",""),IF('Fernando'!$B$6:$B$300=$A269,"Fernando"&amp;IF('Fernando'!$E$6:$E$300="",""," : "&amp;'Fernando'!$E$6:$E$300)&amp;" ["&amp;'Fernando'!$F$6:$F$300&amp;"]",""),IF('Stephanie'!$B$6:$B$300=$A269,"Stephanie"&amp;IF('Stephanie'!$E$6:$E$300="",""," : "&amp;'Stephanie'!$E$6:$E$300)&amp;" ["&amp;'Stephanie'!$F$6:$F$300&amp;"]",""),IF('Fox'!$B$6:$B$300=$A269,"Fox"&amp;IF('Fox'!$E$6:$E$300="",""," : "&amp;'Fox'!$E$6:$E$300)&amp;" ["&amp;'Fox'!$F$6:$F$300&amp;"]",""),IF('Bruna'!$B$6:$B$300=$A269,"Bruna"&amp;IF('Bruna'!$E$6:$E$300="",""," : "&amp;'Bruna'!$E$6:$E$300)&amp;" ["&amp;'Bruna'!$F$6:$F$300&amp;"]",""),IF('Stella'!$B$6:$B$300=$A269,"Stella"&amp;IF('Stella'!$E$6:$E$300="",""," : "&amp;'Stella'!$E$6:$E$300)&amp;" ["&amp;'Stella'!$F$6:$F$300&amp;"]",""),IF('Igor'!$B$6:$B$300=$A269,"Igor"&amp;IF('Igor'!$E$6:$E$300="",""," : "&amp;'Igor'!$E$6:$E$300)&amp;" ["&amp;'Igor'!$F$6:$F$300&amp;"]","")))</f>
        <v/>
      </c>
    </row>
    <row r="270" ht="15.5" customHeight="1">
      <c r="A270" s="13" t="inlineStr">
        <is>
          <t>P4-016</t>
        </is>
      </c>
      <c r="B270" s="14" t="inlineStr"/>
      <c r="C270" s="14" t="inlineStr">
        <is>
          <t>Relatório aplicação das métricas (produto 4)</t>
        </is>
      </c>
      <c r="D270" s="14" t="inlineStr">
        <is>
          <t>Boaventura</t>
        </is>
      </c>
      <c r="E270" s="15" t="inlineStr">
        <is>
          <t>Preparar arquivos anexo (DM)</t>
        </is>
      </c>
      <c r="F270" s="13" t="n"/>
      <c r="G270" s="16">
        <f>IF($A270="","",_xlfn.TEXTJOIN("; ",TRUE,IF(COUNTIF('Clarice'!$B$6:$B$300,$A270)&gt;0,"Clarice",""),IF(COUNTIF('Luisa'!$B$6:$B$300,$A270)&gt;0,"Luisa",""),IF(COUNTIF('Lui'!$B$6:$B$300,$A270)&gt;0,"Lui",""),IF(COUNTIF('Thaís'!$B$6:$B$300,$A270)&gt;0,"Thaís",""),IF(COUNTIF('Daniel'!$B$6:$B$300,$A270)&gt;0,"Daniel",""),IF(COUNTIF('Fernando'!$B$6:$B$300,$A270)&gt;0,"Fernando",""),IF(COUNTIF('Stephanie'!$B$6:$B$300,$A270)&gt;0,"Stephanie",""),IF(COUNTIF('Fox'!$B$6:$B$300,$A270)&gt;0,"Fox",""),IF(COUNTIF('Bruna'!$B$6:$B$300,$A270)&gt;0,"Bruna",""),IF(COUNTIF('Stella'!$B$6:$B$300,$A270)&gt;0,"Stella",""),IF(COUNTIF('Igor'!$B$6:$B$300,$A270)&gt;0,"Igor","")))</f>
        <v/>
      </c>
      <c r="H270" s="13" t="n"/>
      <c r="I270" s="13" t="inlineStr">
        <is>
          <t>Não iniciado</t>
        </is>
      </c>
      <c r="J270" s="17">
        <f>IF(OR($A270="",(COUNTIF('Clarice'!$B$6:$B$300,$A270)+COUNTIF('Luisa'!$B$6:$B$300,$A270)+COUNTIF('Lui'!$B$6:$B$300,$A270)+COUNTIF('Thaís'!$B$6:$B$300,$A270)+COUNTIF('Daniel'!$B$6:$B$300,$A270)+COUNTIF('Fernando'!$B$6:$B$300,$A270)+COUNTIF('Stephanie'!$B$6:$B$300,$A270)+COUNTIF('Fox'!$B$6:$B$300,$A270)+COUNTIF('Bruna'!$B$6:$B$300,$A270)+COUNTIF('Stella'!$B$6:$B$300,$A270)+COUNTIF('Igor'!$B$6:$B$300,$A270))=0),"",(COUNTIFS('Clarice'!$B$6:$B$300,$A270,'Clarice'!$F$6:$F$300,"Concluído")+COUNTIFS('Luisa'!$B$6:$B$300,$A270,'Luisa'!$F$6:$F$300,"Concluído")+COUNTIFS('Lui'!$B$6:$B$300,$A270,'Lui'!$F$6:$F$300,"Concluído")+COUNTIFS('Thaís'!$B$6:$B$300,$A270,'Thaís'!$F$6:$F$300,"Concluído")+COUNTIFS('Daniel'!$B$6:$B$300,$A270,'Daniel'!$F$6:$F$300,"Concluído")+COUNTIFS('Fernando'!$B$6:$B$300,$A270,'Fernando'!$F$6:$F$300,"Concluído")+COUNTIFS('Stephanie'!$B$6:$B$300,$A270,'Stephanie'!$F$6:$F$300,"Concluído")+COUNTIFS('Fox'!$B$6:$B$300,$A270,'Fox'!$F$6:$F$300,"Concluído")+COUNTIFS('Bruna'!$B$6:$B$300,$A270,'Bruna'!$F$6:$F$300,"Concluído")+COUNTIFS('Stella'!$B$6:$B$300,$A270,'Stella'!$F$6:$F$300,"Concluído")+COUNTIFS('Igor'!$B$6:$B$300,$A270,'Igor'!$F$6:$F$300,"Concluído"))&amp;" / "&amp;(COUNTIF('Clarice'!$B$6:$B$300,$A270)+COUNTIF('Luisa'!$B$6:$B$300,$A270)+COUNTIF('Lui'!$B$6:$B$300,$A270)+COUNTIF('Thaís'!$B$6:$B$300,$A270)+COUNTIF('Daniel'!$B$6:$B$300,$A270)+COUNTIF('Fernando'!$B$6:$B$300,$A270)+COUNTIF('Stephanie'!$B$6:$B$300,$A270)+COUNTIF('Fox'!$B$6:$B$300,$A270)+COUNTIF('Bruna'!$B$6:$B$300,$A270)+COUNTIF('Stella'!$B$6:$B$300,$A270)+COUNTIF('Igor'!$B$6:$B$300,$A270)))</f>
        <v/>
      </c>
      <c r="K270" s="19" t="n"/>
      <c r="L270" s="19" t="n"/>
      <c r="M270" s="19" t="n"/>
      <c r="N270" s="19" t="n"/>
      <c r="O270" s="19" t="n"/>
      <c r="P270" s="20">
        <f>IF($A270="","",IF(M270&lt;&gt;"",M270,IF(K270&lt;&gt;"",K270,"")))</f>
        <v/>
      </c>
      <c r="Q270" s="20">
        <f>IF($A270="","",IF(N270&lt;&gt;"",N270,IF(L270&lt;&gt;"",L270,"")))</f>
        <v/>
      </c>
      <c r="R270" s="15" t="n"/>
      <c r="S270" s="16">
        <f t="array" ref="S270">IF($A270="","",_xlfn.TEXTJOIN(CHAR(10),TRUE,IF('Clarice'!$B$6:$B$300=$A270,"Clarice"&amp;IF('Clarice'!$E$6:$E$300="",""," : "&amp;'Clarice'!$E$6:$E$300)&amp;" ["&amp;'Clarice'!$F$6:$F$300&amp;"]",""),IF('Luisa'!$B$6:$B$300=$A270,"Luisa"&amp;IF('Luisa'!$E$6:$E$300="",""," : "&amp;'Luisa'!$E$6:$E$300)&amp;" ["&amp;'Luisa'!$F$6:$F$300&amp;"]",""),IF('Lui'!$B$6:$B$300=$A270,"Lui"&amp;IF('Lui'!$E$6:$E$300="",""," : "&amp;'Lui'!$E$6:$E$300)&amp;" ["&amp;'Lui'!$F$6:$F$300&amp;"]",""),IF('Thaís'!$B$6:$B$300=$A270,"Thaís"&amp;IF('Thaís'!$E$6:$E$300="",""," : "&amp;'Thaís'!$E$6:$E$300)&amp;" ["&amp;'Thaís'!$F$6:$F$300&amp;"]",""),IF('Daniel'!$B$6:$B$300=$A270,"Daniel"&amp;IF('Daniel'!$E$6:$E$300="",""," : "&amp;'Daniel'!$E$6:$E$300)&amp;" ["&amp;'Daniel'!$F$6:$F$300&amp;"]",""),IF('Fernando'!$B$6:$B$300=$A270,"Fernando"&amp;IF('Fernando'!$E$6:$E$300="",""," : "&amp;'Fernando'!$E$6:$E$300)&amp;" ["&amp;'Fernando'!$F$6:$F$300&amp;"]",""),IF('Stephanie'!$B$6:$B$300=$A270,"Stephanie"&amp;IF('Stephanie'!$E$6:$E$300="",""," : "&amp;'Stephanie'!$E$6:$E$300)&amp;" ["&amp;'Stephanie'!$F$6:$F$300&amp;"]",""),IF('Fox'!$B$6:$B$300=$A270,"Fox"&amp;IF('Fox'!$E$6:$E$300="",""," : "&amp;'Fox'!$E$6:$E$300)&amp;" ["&amp;'Fox'!$F$6:$F$300&amp;"]",""),IF('Bruna'!$B$6:$B$300=$A270,"Bruna"&amp;IF('Bruna'!$E$6:$E$300="",""," : "&amp;'Bruna'!$E$6:$E$300)&amp;" ["&amp;'Bruna'!$F$6:$F$300&amp;"]",""),IF('Stella'!$B$6:$B$300=$A270,"Stella"&amp;IF('Stella'!$E$6:$E$300="",""," : "&amp;'Stella'!$E$6:$E$300)&amp;" ["&amp;'Stella'!$F$6:$F$300&amp;"]",""),IF('Igor'!$B$6:$B$300=$A270,"Igor"&amp;IF('Igor'!$E$6:$E$300="",""," : "&amp;'Igor'!$E$6:$E$300)&amp;" ["&amp;'Igor'!$F$6:$F$300&amp;"]","")))</f>
        <v/>
      </c>
    </row>
    <row r="271">
      <c r="A271" s="21" t="n"/>
      <c r="B271" s="21" t="inlineStr"/>
      <c r="C271" s="21" t="inlineStr">
        <is>
          <t>Relatório aplicação das métricas (produto 4)</t>
        </is>
      </c>
      <c r="D271" s="21" t="inlineStr">
        <is>
          <t>GR3</t>
        </is>
      </c>
      <c r="E271" s="21" t="inlineStr">
        <is>
          <t>GR3</t>
        </is>
      </c>
      <c r="F271" s="21" t="n"/>
      <c r="G271" s="21">
        <f>IF($A271="","",_xlfn.TEXTJOIN("; ",TRUE,IF(COUNTIF('Clarice'!$B$6:$B$300,$A271)&gt;0,"Clarice",""),IF(COUNTIF('Luisa'!$B$6:$B$300,$A271)&gt;0,"Luisa",""),IF(COUNTIF('Lui'!$B$6:$B$300,$A271)&gt;0,"Lui",""),IF(COUNTIF('Thaís'!$B$6:$B$300,$A271)&gt;0,"Thaís",""),IF(COUNTIF('Daniel'!$B$6:$B$300,$A271)&gt;0,"Daniel",""),IF(COUNTIF('Fernando'!$B$6:$B$300,$A271)&gt;0,"Fernando",""),IF(COUNTIF('Stephanie'!$B$6:$B$300,$A271)&gt;0,"Stephanie",""),IF(COUNTIF('Fox'!$B$6:$B$300,$A271)&gt;0,"Fox",""),IF(COUNTIF('Bruna'!$B$6:$B$300,$A271)&gt;0,"Bruna",""),IF(COUNTIF('Stella'!$B$6:$B$300,$A271)&gt;0,"Stella",""),IF(COUNTIF('Igor'!$B$6:$B$300,$A271)&gt;0,"Igor","")))</f>
        <v/>
      </c>
      <c r="H271" s="21" t="n"/>
      <c r="I271" s="21" t="n"/>
      <c r="J271" s="21">
        <f>IF(OR($A271="",(COUNTIF('Clarice'!$B$6:$B$300,$A271)+COUNTIF('Luisa'!$B$6:$B$300,$A271)+COUNTIF('Lui'!$B$6:$B$300,$A271)+COUNTIF('Thaís'!$B$6:$B$300,$A271)+COUNTIF('Daniel'!$B$6:$B$300,$A271)+COUNTIF('Fernando'!$B$6:$B$300,$A271)+COUNTIF('Stephanie'!$B$6:$B$300,$A271)+COUNTIF('Fox'!$B$6:$B$300,$A271)+COUNTIF('Bruna'!$B$6:$B$300,$A271)+COUNTIF('Stella'!$B$6:$B$300,$A271)+COUNTIF('Igor'!$B$6:$B$300,$A271))=0),"",(COUNTIFS('Clarice'!$B$6:$B$300,$A271,'Clarice'!$F$6:$F$300,"Concluído")+COUNTIFS('Luisa'!$B$6:$B$300,$A271,'Luisa'!$F$6:$F$300,"Concluído")+COUNTIFS('Lui'!$B$6:$B$300,$A271,'Lui'!$F$6:$F$300,"Concluído")+COUNTIFS('Thaís'!$B$6:$B$300,$A271,'Thaís'!$F$6:$F$300,"Concluído")+COUNTIFS('Daniel'!$B$6:$B$300,$A271,'Daniel'!$F$6:$F$300,"Concluído")+COUNTIFS('Fernando'!$B$6:$B$300,$A271,'Fernando'!$F$6:$F$300,"Concluído")+COUNTIFS('Stephanie'!$B$6:$B$300,$A271,'Stephanie'!$F$6:$F$300,"Concluído")+COUNTIFS('Fox'!$B$6:$B$300,$A271,'Fox'!$F$6:$F$300,"Concluído")+COUNTIFS('Bruna'!$B$6:$B$300,$A271,'Bruna'!$F$6:$F$300,"Concluído")+COUNTIFS('Stella'!$B$6:$B$300,$A271,'Stella'!$F$6:$F$300,"Concluído")+COUNTIFS('Igor'!$B$6:$B$300,$A271,'Igor'!$F$6:$F$300,"Concluído"))&amp;" / "&amp;(COUNTIF('Clarice'!$B$6:$B$300,$A271)+COUNTIF('Luisa'!$B$6:$B$300,$A271)+COUNTIF('Lui'!$B$6:$B$300,$A271)+COUNTIF('Thaís'!$B$6:$B$300,$A271)+COUNTIF('Daniel'!$B$6:$B$300,$A271)+COUNTIF('Fernando'!$B$6:$B$300,$A271)+COUNTIF('Stephanie'!$B$6:$B$300,$A271)+COUNTIF('Fox'!$B$6:$B$300,$A271)+COUNTIF('Bruna'!$B$6:$B$300,$A271)+COUNTIF('Stella'!$B$6:$B$300,$A271)+COUNTIF('Igor'!$B$6:$B$300,$A271)))</f>
        <v/>
      </c>
      <c r="K271" s="21" t="n"/>
      <c r="L271" s="21" t="n"/>
      <c r="M271" s="21" t="n"/>
      <c r="N271" s="21" t="n"/>
      <c r="O271" s="21" t="n"/>
      <c r="P271" s="22">
        <f>IF($A271="","",IF(M271&lt;&gt;"",M271,IF(K271&lt;&gt;"",K271,"")))</f>
        <v/>
      </c>
      <c r="Q271" s="22">
        <f>IF($A271="","",IF(N271&lt;&gt;"",N271,IF(L271&lt;&gt;"",L271,"")))</f>
        <v/>
      </c>
      <c r="R271" s="21" t="n"/>
      <c r="S271" s="21">
        <f t="array" ref="S271">IF($A271="","",_xlfn.TEXTJOIN(CHAR(10),TRUE,IF('Clarice'!$B$6:$B$300=$A271,"Clarice"&amp;IF('Clarice'!$E$6:$E$300="",""," : "&amp;'Clarice'!$E$6:$E$300)&amp;" ["&amp;'Clarice'!$F$6:$F$300&amp;"]",""),IF('Luisa'!$B$6:$B$300=$A271,"Luisa"&amp;IF('Luisa'!$E$6:$E$300="",""," : "&amp;'Luisa'!$E$6:$E$300)&amp;" ["&amp;'Luisa'!$F$6:$F$300&amp;"]",""),IF('Lui'!$B$6:$B$300=$A271,"Lui"&amp;IF('Lui'!$E$6:$E$300="",""," : "&amp;'Lui'!$E$6:$E$300)&amp;" ["&amp;'Lui'!$F$6:$F$300&amp;"]",""),IF('Thaís'!$B$6:$B$300=$A271,"Thaís"&amp;IF('Thaís'!$E$6:$E$300="",""," : "&amp;'Thaís'!$E$6:$E$300)&amp;" ["&amp;'Thaís'!$F$6:$F$300&amp;"]",""),IF('Daniel'!$B$6:$B$300=$A271,"Daniel"&amp;IF('Daniel'!$E$6:$E$300="",""," : "&amp;'Daniel'!$E$6:$E$300)&amp;" ["&amp;'Daniel'!$F$6:$F$300&amp;"]",""),IF('Fernando'!$B$6:$B$300=$A271,"Fernando"&amp;IF('Fernando'!$E$6:$E$300="",""," : "&amp;'Fernando'!$E$6:$E$300)&amp;" ["&amp;'Fernando'!$F$6:$F$300&amp;"]",""),IF('Stephanie'!$B$6:$B$300=$A271,"Stephanie"&amp;IF('Stephanie'!$E$6:$E$300="",""," : "&amp;'Stephanie'!$E$6:$E$300)&amp;" ["&amp;'Stephanie'!$F$6:$F$300&amp;"]",""),IF('Fox'!$B$6:$B$300=$A271,"Fox"&amp;IF('Fox'!$E$6:$E$300="",""," : "&amp;'Fox'!$E$6:$E$300)&amp;" ["&amp;'Fox'!$F$6:$F$300&amp;"]",""),IF('Bruna'!$B$6:$B$300=$A271,"Bruna"&amp;IF('Bruna'!$E$6:$E$300="",""," : "&amp;'Bruna'!$E$6:$E$300)&amp;" ["&amp;'Bruna'!$F$6:$F$300&amp;"]",""),IF('Stella'!$B$6:$B$300=$A271,"Stella"&amp;IF('Stella'!$E$6:$E$300="",""," : "&amp;'Stella'!$E$6:$E$300)&amp;" ["&amp;'Stella'!$F$6:$F$300&amp;"]",""),IF('Igor'!$B$6:$B$300=$A271,"Igor"&amp;IF('Igor'!$E$6:$E$300="",""," : "&amp;'Igor'!$E$6:$E$300)&amp;" ["&amp;'Igor'!$F$6:$F$300&amp;"]","")))</f>
        <v/>
      </c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21" t="n"/>
      <c r="AI271" s="21" t="n"/>
      <c r="AJ271" s="21" t="n"/>
      <c r="AK271" s="21" t="n"/>
      <c r="AL271" s="21" t="n"/>
      <c r="AM271" s="21" t="n"/>
      <c r="AN271" s="21" t="n"/>
      <c r="AO271" s="21" t="n"/>
      <c r="AP271" s="21" t="n"/>
      <c r="AQ271" s="21" t="n"/>
      <c r="AR271" s="21" t="n"/>
      <c r="AS271" s="21" t="n"/>
      <c r="AT271" s="21" t="n"/>
      <c r="AU271" s="21" t="n"/>
      <c r="AV271" s="21" t="n"/>
      <c r="AW271" s="21" t="n"/>
      <c r="AX271" s="21" t="n"/>
      <c r="AY271" s="21" t="n"/>
      <c r="AZ271" s="21" t="n"/>
      <c r="BA271" s="21" t="n"/>
      <c r="BB271" s="21" t="n"/>
      <c r="BC271" s="21" t="n"/>
      <c r="BD271" s="21" t="n"/>
      <c r="BE271" s="21" t="n"/>
      <c r="BF271" s="21" t="n"/>
      <c r="BG271" s="21" t="n"/>
      <c r="BH271" s="21" t="n"/>
      <c r="BI271" s="21" t="n"/>
    </row>
    <row r="272" ht="15.5" customHeight="1">
      <c r="A272" s="13" t="inlineStr">
        <is>
          <t>P4-017</t>
        </is>
      </c>
      <c r="B272" s="14" t="inlineStr"/>
      <c r="C272" s="14" t="inlineStr">
        <is>
          <t>Relatório aplicação das métricas (produto 4)</t>
        </is>
      </c>
      <c r="D272" s="14" t="inlineStr">
        <is>
          <t>GR3</t>
        </is>
      </c>
      <c r="E272" s="15" t="inlineStr">
        <is>
          <t>Redigir o texto (EC)</t>
        </is>
      </c>
      <c r="F272" s="13" t="n"/>
      <c r="G272" s="16">
        <f>IF($A272="","",_xlfn.TEXTJOIN("; ",TRUE,IF(COUNTIF('Clarice'!$B$6:$B$300,$A272)&gt;0,"Clarice",""),IF(COUNTIF('Luisa'!$B$6:$B$300,$A272)&gt;0,"Luisa",""),IF(COUNTIF('Lui'!$B$6:$B$300,$A272)&gt;0,"Lui",""),IF(COUNTIF('Thaís'!$B$6:$B$300,$A272)&gt;0,"Thaís",""),IF(COUNTIF('Daniel'!$B$6:$B$300,$A272)&gt;0,"Daniel",""),IF(COUNTIF('Fernando'!$B$6:$B$300,$A272)&gt;0,"Fernando",""),IF(COUNTIF('Stephanie'!$B$6:$B$300,$A272)&gt;0,"Stephanie",""),IF(COUNTIF('Fox'!$B$6:$B$300,$A272)&gt;0,"Fox",""),IF(COUNTIF('Bruna'!$B$6:$B$300,$A272)&gt;0,"Bruna",""),IF(COUNTIF('Stella'!$B$6:$B$300,$A272)&gt;0,"Stella",""),IF(COUNTIF('Igor'!$B$6:$B$300,$A272)&gt;0,"Igor","")))</f>
        <v/>
      </c>
      <c r="H272" s="13" t="n"/>
      <c r="I272" s="13" t="inlineStr">
        <is>
          <t>Não iniciado</t>
        </is>
      </c>
      <c r="J272" s="17">
        <f>IF(OR($A272="",(COUNTIF('Clarice'!$B$6:$B$300,$A272)+COUNTIF('Luisa'!$B$6:$B$300,$A272)+COUNTIF('Lui'!$B$6:$B$300,$A272)+COUNTIF('Thaís'!$B$6:$B$300,$A272)+COUNTIF('Daniel'!$B$6:$B$300,$A272)+COUNTIF('Fernando'!$B$6:$B$300,$A272)+COUNTIF('Stephanie'!$B$6:$B$300,$A272)+COUNTIF('Fox'!$B$6:$B$300,$A272)+COUNTIF('Bruna'!$B$6:$B$300,$A272)+COUNTIF('Stella'!$B$6:$B$300,$A272)+COUNTIF('Igor'!$B$6:$B$300,$A272))=0),"",(COUNTIFS('Clarice'!$B$6:$B$300,$A272,'Clarice'!$F$6:$F$300,"Concluído")+COUNTIFS('Luisa'!$B$6:$B$300,$A272,'Luisa'!$F$6:$F$300,"Concluído")+COUNTIFS('Lui'!$B$6:$B$300,$A272,'Lui'!$F$6:$F$300,"Concluído")+COUNTIFS('Thaís'!$B$6:$B$300,$A272,'Thaís'!$F$6:$F$300,"Concluído")+COUNTIFS('Daniel'!$B$6:$B$300,$A272,'Daniel'!$F$6:$F$300,"Concluído")+COUNTIFS('Fernando'!$B$6:$B$300,$A272,'Fernando'!$F$6:$F$300,"Concluído")+COUNTIFS('Stephanie'!$B$6:$B$300,$A272,'Stephanie'!$F$6:$F$300,"Concluído")+COUNTIFS('Fox'!$B$6:$B$300,$A272,'Fox'!$F$6:$F$300,"Concluído")+COUNTIFS('Bruna'!$B$6:$B$300,$A272,'Bruna'!$F$6:$F$300,"Concluído")+COUNTIFS('Stella'!$B$6:$B$300,$A272,'Stella'!$F$6:$F$300,"Concluído")+COUNTIFS('Igor'!$B$6:$B$300,$A272,'Igor'!$F$6:$F$300,"Concluído"))&amp;" / "&amp;(COUNTIF('Clarice'!$B$6:$B$300,$A272)+COUNTIF('Luisa'!$B$6:$B$300,$A272)+COUNTIF('Lui'!$B$6:$B$300,$A272)+COUNTIF('Thaís'!$B$6:$B$300,$A272)+COUNTIF('Daniel'!$B$6:$B$300,$A272)+COUNTIF('Fernando'!$B$6:$B$300,$A272)+COUNTIF('Stephanie'!$B$6:$B$300,$A272)+COUNTIF('Fox'!$B$6:$B$300,$A272)+COUNTIF('Bruna'!$B$6:$B$300,$A272)+COUNTIF('Stella'!$B$6:$B$300,$A272)+COUNTIF('Igor'!$B$6:$B$300,$A272)))</f>
        <v/>
      </c>
      <c r="K272" s="19" t="n"/>
      <c r="L272" s="19" t="n"/>
      <c r="M272" s="19" t="n"/>
      <c r="N272" s="19" t="n"/>
      <c r="O272" s="19" t="n"/>
      <c r="P272" s="20">
        <f>IF($A272="","",IF(M272&lt;&gt;"",M272,IF(K272&lt;&gt;"",K272,"")))</f>
        <v/>
      </c>
      <c r="Q272" s="20">
        <f>IF($A272="","",IF(N272&lt;&gt;"",N272,IF(L272&lt;&gt;"",L272,"")))</f>
        <v/>
      </c>
      <c r="R272" s="15" t="n"/>
      <c r="S272" s="16">
        <f t="array" ref="S272">IF($A272="","",_xlfn.TEXTJOIN(CHAR(10),TRUE,IF('Clarice'!$B$6:$B$300=$A272,"Clarice"&amp;IF('Clarice'!$E$6:$E$300="",""," : "&amp;'Clarice'!$E$6:$E$300)&amp;" ["&amp;'Clarice'!$F$6:$F$300&amp;"]",""),IF('Luisa'!$B$6:$B$300=$A272,"Luisa"&amp;IF('Luisa'!$E$6:$E$300="",""," : "&amp;'Luisa'!$E$6:$E$300)&amp;" ["&amp;'Luisa'!$F$6:$F$300&amp;"]",""),IF('Lui'!$B$6:$B$300=$A272,"Lui"&amp;IF('Lui'!$E$6:$E$300="",""," : "&amp;'Lui'!$E$6:$E$300)&amp;" ["&amp;'Lui'!$F$6:$F$300&amp;"]",""),IF('Thaís'!$B$6:$B$300=$A272,"Thaís"&amp;IF('Thaís'!$E$6:$E$300="",""," : "&amp;'Thaís'!$E$6:$E$300)&amp;" ["&amp;'Thaís'!$F$6:$F$300&amp;"]",""),IF('Daniel'!$B$6:$B$300=$A272,"Daniel"&amp;IF('Daniel'!$E$6:$E$300="",""," : "&amp;'Daniel'!$E$6:$E$300)&amp;" ["&amp;'Daniel'!$F$6:$F$300&amp;"]",""),IF('Fernando'!$B$6:$B$300=$A272,"Fernando"&amp;IF('Fernando'!$E$6:$E$300="",""," : "&amp;'Fernando'!$E$6:$E$300)&amp;" ["&amp;'Fernando'!$F$6:$F$300&amp;"]",""),IF('Stephanie'!$B$6:$B$300=$A272,"Stephanie"&amp;IF('Stephanie'!$E$6:$E$300="",""," : "&amp;'Stephanie'!$E$6:$E$300)&amp;" ["&amp;'Stephanie'!$F$6:$F$300&amp;"]",""),IF('Fox'!$B$6:$B$300=$A272,"Fox"&amp;IF('Fox'!$E$6:$E$300="",""," : "&amp;'Fox'!$E$6:$E$300)&amp;" ["&amp;'Fox'!$F$6:$F$300&amp;"]",""),IF('Bruna'!$B$6:$B$300=$A272,"Bruna"&amp;IF('Bruna'!$E$6:$E$300="",""," : "&amp;'Bruna'!$E$6:$E$300)&amp;" ["&amp;'Bruna'!$F$6:$F$300&amp;"]",""),IF('Stella'!$B$6:$B$300=$A272,"Stella"&amp;IF('Stella'!$E$6:$E$300="",""," : "&amp;'Stella'!$E$6:$E$300)&amp;" ["&amp;'Stella'!$F$6:$F$300&amp;"]",""),IF('Igor'!$B$6:$B$300=$A272,"Igor"&amp;IF('Igor'!$E$6:$E$300="",""," : "&amp;'Igor'!$E$6:$E$300)&amp;" ["&amp;'Igor'!$F$6:$F$300&amp;"]","")))</f>
        <v/>
      </c>
    </row>
    <row r="273" ht="15.5" customHeight="1">
      <c r="A273" s="13" t="inlineStr">
        <is>
          <t>P4-018</t>
        </is>
      </c>
      <c r="B273" s="14" t="inlineStr"/>
      <c r="C273" s="14" t="inlineStr">
        <is>
          <t>Relatório aplicação das métricas (produto 4)</t>
        </is>
      </c>
      <c r="D273" s="14" t="inlineStr">
        <is>
          <t>GR3</t>
        </is>
      </c>
      <c r="E273" s="15" t="inlineStr">
        <is>
          <t>Preparar resultados texto principal (EC)</t>
        </is>
      </c>
      <c r="F273" s="13" t="n"/>
      <c r="G273" s="16">
        <f>IF($A273="","",_xlfn.TEXTJOIN("; ",TRUE,IF(COUNTIF('Clarice'!$B$6:$B$300,$A273)&gt;0,"Clarice",""),IF(COUNTIF('Luisa'!$B$6:$B$300,$A273)&gt;0,"Luisa",""),IF(COUNTIF('Lui'!$B$6:$B$300,$A273)&gt;0,"Lui",""),IF(COUNTIF('Thaís'!$B$6:$B$300,$A273)&gt;0,"Thaís",""),IF(COUNTIF('Daniel'!$B$6:$B$300,$A273)&gt;0,"Daniel",""),IF(COUNTIF('Fernando'!$B$6:$B$300,$A273)&gt;0,"Fernando",""),IF(COUNTIF('Stephanie'!$B$6:$B$300,$A273)&gt;0,"Stephanie",""),IF(COUNTIF('Fox'!$B$6:$B$300,$A273)&gt;0,"Fox",""),IF(COUNTIF('Bruna'!$B$6:$B$300,$A273)&gt;0,"Bruna",""),IF(COUNTIF('Stella'!$B$6:$B$300,$A273)&gt;0,"Stella",""),IF(COUNTIF('Igor'!$B$6:$B$300,$A273)&gt;0,"Igor","")))</f>
        <v/>
      </c>
      <c r="H273" s="13" t="n"/>
      <c r="I273" s="13" t="inlineStr">
        <is>
          <t>Não iniciado</t>
        </is>
      </c>
      <c r="J273" s="17">
        <f>IF(OR($A273="",(COUNTIF('Clarice'!$B$6:$B$300,$A273)+COUNTIF('Luisa'!$B$6:$B$300,$A273)+COUNTIF('Lui'!$B$6:$B$300,$A273)+COUNTIF('Thaís'!$B$6:$B$300,$A273)+COUNTIF('Daniel'!$B$6:$B$300,$A273)+COUNTIF('Fernando'!$B$6:$B$300,$A273)+COUNTIF('Stephanie'!$B$6:$B$300,$A273)+COUNTIF('Fox'!$B$6:$B$300,$A273)+COUNTIF('Bruna'!$B$6:$B$300,$A273)+COUNTIF('Stella'!$B$6:$B$300,$A273)+COUNTIF('Igor'!$B$6:$B$300,$A273))=0),"",(COUNTIFS('Clarice'!$B$6:$B$300,$A273,'Clarice'!$F$6:$F$300,"Concluído")+COUNTIFS('Luisa'!$B$6:$B$300,$A273,'Luisa'!$F$6:$F$300,"Concluído")+COUNTIFS('Lui'!$B$6:$B$300,$A273,'Lui'!$F$6:$F$300,"Concluído")+COUNTIFS('Thaís'!$B$6:$B$300,$A273,'Thaís'!$F$6:$F$300,"Concluído")+COUNTIFS('Daniel'!$B$6:$B$300,$A273,'Daniel'!$F$6:$F$300,"Concluído")+COUNTIFS('Fernando'!$B$6:$B$300,$A273,'Fernando'!$F$6:$F$300,"Concluído")+COUNTIFS('Stephanie'!$B$6:$B$300,$A273,'Stephanie'!$F$6:$F$300,"Concluído")+COUNTIFS('Fox'!$B$6:$B$300,$A273,'Fox'!$F$6:$F$300,"Concluído")+COUNTIFS('Bruna'!$B$6:$B$300,$A273,'Bruna'!$F$6:$F$300,"Concluído")+COUNTIFS('Stella'!$B$6:$B$300,$A273,'Stella'!$F$6:$F$300,"Concluído")+COUNTIFS('Igor'!$B$6:$B$300,$A273,'Igor'!$F$6:$F$300,"Concluído"))&amp;" / "&amp;(COUNTIF('Clarice'!$B$6:$B$300,$A273)+COUNTIF('Luisa'!$B$6:$B$300,$A273)+COUNTIF('Lui'!$B$6:$B$300,$A273)+COUNTIF('Thaís'!$B$6:$B$300,$A273)+COUNTIF('Daniel'!$B$6:$B$300,$A273)+COUNTIF('Fernando'!$B$6:$B$300,$A273)+COUNTIF('Stephanie'!$B$6:$B$300,$A273)+COUNTIF('Fox'!$B$6:$B$300,$A273)+COUNTIF('Bruna'!$B$6:$B$300,$A273)+COUNTIF('Stella'!$B$6:$B$300,$A273)+COUNTIF('Igor'!$B$6:$B$300,$A273)))</f>
        <v/>
      </c>
      <c r="K273" s="19" t="n"/>
      <c r="L273" s="19" t="n"/>
      <c r="M273" s="19" t="n"/>
      <c r="N273" s="19" t="n"/>
      <c r="O273" s="19" t="n"/>
      <c r="P273" s="20">
        <f>IF($A273="","",IF(M273&lt;&gt;"",M273,IF(K273&lt;&gt;"",K273,"")))</f>
        <v/>
      </c>
      <c r="Q273" s="20">
        <f>IF($A273="","",IF(N273&lt;&gt;"",N273,IF(L273&lt;&gt;"",L273,"")))</f>
        <v/>
      </c>
      <c r="R273" s="15" t="n"/>
      <c r="S273" s="16">
        <f t="array" ref="S273">IF($A273="","",_xlfn.TEXTJOIN(CHAR(10),TRUE,IF('Clarice'!$B$6:$B$300=$A273,"Clarice"&amp;IF('Clarice'!$E$6:$E$300="",""," : "&amp;'Clarice'!$E$6:$E$300)&amp;" ["&amp;'Clarice'!$F$6:$F$300&amp;"]",""),IF('Luisa'!$B$6:$B$300=$A273,"Luisa"&amp;IF('Luisa'!$E$6:$E$300="",""," : "&amp;'Luisa'!$E$6:$E$300)&amp;" ["&amp;'Luisa'!$F$6:$F$300&amp;"]",""),IF('Lui'!$B$6:$B$300=$A273,"Lui"&amp;IF('Lui'!$E$6:$E$300="",""," : "&amp;'Lui'!$E$6:$E$300)&amp;" ["&amp;'Lui'!$F$6:$F$300&amp;"]",""),IF('Thaís'!$B$6:$B$300=$A273,"Thaís"&amp;IF('Thaís'!$E$6:$E$300="",""," : "&amp;'Thaís'!$E$6:$E$300)&amp;" ["&amp;'Thaís'!$F$6:$F$300&amp;"]",""),IF('Daniel'!$B$6:$B$300=$A273,"Daniel"&amp;IF('Daniel'!$E$6:$E$300="",""," : "&amp;'Daniel'!$E$6:$E$300)&amp;" ["&amp;'Daniel'!$F$6:$F$300&amp;"]",""),IF('Fernando'!$B$6:$B$300=$A273,"Fernando"&amp;IF('Fernando'!$E$6:$E$300="",""," : "&amp;'Fernando'!$E$6:$E$300)&amp;" ["&amp;'Fernando'!$F$6:$F$300&amp;"]",""),IF('Stephanie'!$B$6:$B$300=$A273,"Stephanie"&amp;IF('Stephanie'!$E$6:$E$300="",""," : "&amp;'Stephanie'!$E$6:$E$300)&amp;" ["&amp;'Stephanie'!$F$6:$F$300&amp;"]",""),IF('Fox'!$B$6:$B$300=$A273,"Fox"&amp;IF('Fox'!$E$6:$E$300="",""," : "&amp;'Fox'!$E$6:$E$300)&amp;" ["&amp;'Fox'!$F$6:$F$300&amp;"]",""),IF('Bruna'!$B$6:$B$300=$A273,"Bruna"&amp;IF('Bruna'!$E$6:$E$300="",""," : "&amp;'Bruna'!$E$6:$E$300)&amp;" ["&amp;'Bruna'!$F$6:$F$300&amp;"]",""),IF('Stella'!$B$6:$B$300=$A273,"Stella"&amp;IF('Stella'!$E$6:$E$300="",""," : "&amp;'Stella'!$E$6:$E$300)&amp;" ["&amp;'Stella'!$F$6:$F$300&amp;"]",""),IF('Igor'!$B$6:$B$300=$A273,"Igor"&amp;IF('Igor'!$E$6:$E$300="",""," : "&amp;'Igor'!$E$6:$E$300)&amp;" ["&amp;'Igor'!$F$6:$F$300&amp;"]","")))</f>
        <v/>
      </c>
    </row>
    <row r="274" ht="15.5" customHeight="1">
      <c r="A274" s="13" t="inlineStr">
        <is>
          <t>P4-019</t>
        </is>
      </c>
      <c r="B274" s="14" t="inlineStr"/>
      <c r="C274" s="14" t="inlineStr">
        <is>
          <t>Relatório aplicação das métricas (produto 4)</t>
        </is>
      </c>
      <c r="D274" s="14" t="inlineStr">
        <is>
          <t>GR3</t>
        </is>
      </c>
      <c r="E274" s="15" t="inlineStr">
        <is>
          <t>Preparar arquivos anexo (EC)</t>
        </is>
      </c>
      <c r="F274" s="13" t="n"/>
      <c r="G274" s="16">
        <f>IF($A274="","",_xlfn.TEXTJOIN("; ",TRUE,IF(COUNTIF('Clarice'!$B$6:$B$300,$A274)&gt;0,"Clarice",""),IF(COUNTIF('Luisa'!$B$6:$B$300,$A274)&gt;0,"Luisa",""),IF(COUNTIF('Lui'!$B$6:$B$300,$A274)&gt;0,"Lui",""),IF(COUNTIF('Thaís'!$B$6:$B$300,$A274)&gt;0,"Thaís",""),IF(COUNTIF('Daniel'!$B$6:$B$300,$A274)&gt;0,"Daniel",""),IF(COUNTIF('Fernando'!$B$6:$B$300,$A274)&gt;0,"Fernando",""),IF(COUNTIF('Stephanie'!$B$6:$B$300,$A274)&gt;0,"Stephanie",""),IF(COUNTIF('Fox'!$B$6:$B$300,$A274)&gt;0,"Fox",""),IF(COUNTIF('Bruna'!$B$6:$B$300,$A274)&gt;0,"Bruna",""),IF(COUNTIF('Stella'!$B$6:$B$300,$A274)&gt;0,"Stella",""),IF(COUNTIF('Igor'!$B$6:$B$300,$A274)&gt;0,"Igor","")))</f>
        <v/>
      </c>
      <c r="H274" s="13" t="n"/>
      <c r="I274" s="13" t="inlineStr">
        <is>
          <t>Não iniciado</t>
        </is>
      </c>
      <c r="J274" s="17">
        <f>IF(OR($A274="",(COUNTIF('Clarice'!$B$6:$B$300,$A274)+COUNTIF('Luisa'!$B$6:$B$300,$A274)+COUNTIF('Lui'!$B$6:$B$300,$A274)+COUNTIF('Thaís'!$B$6:$B$300,$A274)+COUNTIF('Daniel'!$B$6:$B$300,$A274)+COUNTIF('Fernando'!$B$6:$B$300,$A274)+COUNTIF('Stephanie'!$B$6:$B$300,$A274)+COUNTIF('Fox'!$B$6:$B$300,$A274)+COUNTIF('Bruna'!$B$6:$B$300,$A274)+COUNTIF('Stella'!$B$6:$B$300,$A274)+COUNTIF('Igor'!$B$6:$B$300,$A274))=0),"",(COUNTIFS('Clarice'!$B$6:$B$300,$A274,'Clarice'!$F$6:$F$300,"Concluído")+COUNTIFS('Luisa'!$B$6:$B$300,$A274,'Luisa'!$F$6:$F$300,"Concluído")+COUNTIFS('Lui'!$B$6:$B$300,$A274,'Lui'!$F$6:$F$300,"Concluído")+COUNTIFS('Thaís'!$B$6:$B$300,$A274,'Thaís'!$F$6:$F$300,"Concluído")+COUNTIFS('Daniel'!$B$6:$B$300,$A274,'Daniel'!$F$6:$F$300,"Concluído")+COUNTIFS('Fernando'!$B$6:$B$300,$A274,'Fernando'!$F$6:$F$300,"Concluído")+COUNTIFS('Stephanie'!$B$6:$B$300,$A274,'Stephanie'!$F$6:$F$300,"Concluído")+COUNTIFS('Fox'!$B$6:$B$300,$A274,'Fox'!$F$6:$F$300,"Concluído")+COUNTIFS('Bruna'!$B$6:$B$300,$A274,'Bruna'!$F$6:$F$300,"Concluído")+COUNTIFS('Stella'!$B$6:$B$300,$A274,'Stella'!$F$6:$F$300,"Concluído")+COUNTIFS('Igor'!$B$6:$B$300,$A274,'Igor'!$F$6:$F$300,"Concluído"))&amp;" / "&amp;(COUNTIF('Clarice'!$B$6:$B$300,$A274)+COUNTIF('Luisa'!$B$6:$B$300,$A274)+COUNTIF('Lui'!$B$6:$B$300,$A274)+COUNTIF('Thaís'!$B$6:$B$300,$A274)+COUNTIF('Daniel'!$B$6:$B$300,$A274)+COUNTIF('Fernando'!$B$6:$B$300,$A274)+COUNTIF('Stephanie'!$B$6:$B$300,$A274)+COUNTIF('Fox'!$B$6:$B$300,$A274)+COUNTIF('Bruna'!$B$6:$B$300,$A274)+COUNTIF('Stella'!$B$6:$B$300,$A274)+COUNTIF('Igor'!$B$6:$B$300,$A274)))</f>
        <v/>
      </c>
      <c r="K274" s="19" t="n"/>
      <c r="L274" s="19" t="n"/>
      <c r="M274" s="19" t="n"/>
      <c r="N274" s="19" t="n"/>
      <c r="O274" s="19" t="n"/>
      <c r="P274" s="20">
        <f>IF($A274="","",IF(M274&lt;&gt;"",M274,IF(K274&lt;&gt;"",K274,"")))</f>
        <v/>
      </c>
      <c r="Q274" s="20">
        <f>IF($A274="","",IF(N274&lt;&gt;"",N274,IF(L274&lt;&gt;"",L274,"")))</f>
        <v/>
      </c>
      <c r="R274" s="15" t="n"/>
      <c r="S274" s="16">
        <f t="array" ref="S274">IF($A274="","",_xlfn.TEXTJOIN(CHAR(10),TRUE,IF('Clarice'!$B$6:$B$300=$A274,"Clarice"&amp;IF('Clarice'!$E$6:$E$300="",""," : "&amp;'Clarice'!$E$6:$E$300)&amp;" ["&amp;'Clarice'!$F$6:$F$300&amp;"]",""),IF('Luisa'!$B$6:$B$300=$A274,"Luisa"&amp;IF('Luisa'!$E$6:$E$300="",""," : "&amp;'Luisa'!$E$6:$E$300)&amp;" ["&amp;'Luisa'!$F$6:$F$300&amp;"]",""),IF('Lui'!$B$6:$B$300=$A274,"Lui"&amp;IF('Lui'!$E$6:$E$300="",""," : "&amp;'Lui'!$E$6:$E$300)&amp;" ["&amp;'Lui'!$F$6:$F$300&amp;"]",""),IF('Thaís'!$B$6:$B$300=$A274,"Thaís"&amp;IF('Thaís'!$E$6:$E$300="",""," : "&amp;'Thaís'!$E$6:$E$300)&amp;" ["&amp;'Thaís'!$F$6:$F$300&amp;"]",""),IF('Daniel'!$B$6:$B$300=$A274,"Daniel"&amp;IF('Daniel'!$E$6:$E$300="",""," : "&amp;'Daniel'!$E$6:$E$300)&amp;" ["&amp;'Daniel'!$F$6:$F$300&amp;"]",""),IF('Fernando'!$B$6:$B$300=$A274,"Fernando"&amp;IF('Fernando'!$E$6:$E$300="",""," : "&amp;'Fernando'!$E$6:$E$300)&amp;" ["&amp;'Fernando'!$F$6:$F$300&amp;"]",""),IF('Stephanie'!$B$6:$B$300=$A274,"Stephanie"&amp;IF('Stephanie'!$E$6:$E$300="",""," : "&amp;'Stephanie'!$E$6:$E$300)&amp;" ["&amp;'Stephanie'!$F$6:$F$300&amp;"]",""),IF('Fox'!$B$6:$B$300=$A274,"Fox"&amp;IF('Fox'!$E$6:$E$300="",""," : "&amp;'Fox'!$E$6:$E$300)&amp;" ["&amp;'Fox'!$F$6:$F$300&amp;"]",""),IF('Bruna'!$B$6:$B$300=$A274,"Bruna"&amp;IF('Bruna'!$E$6:$E$300="",""," : "&amp;'Bruna'!$E$6:$E$300)&amp;" ["&amp;'Bruna'!$F$6:$F$300&amp;"]",""),IF('Stella'!$B$6:$B$300=$A274,"Stella"&amp;IF('Stella'!$E$6:$E$300="",""," : "&amp;'Stella'!$E$6:$E$300)&amp;" ["&amp;'Stella'!$F$6:$F$300&amp;"]",""),IF('Igor'!$B$6:$B$300=$A274,"Igor"&amp;IF('Igor'!$E$6:$E$300="",""," : "&amp;'Igor'!$E$6:$E$300)&amp;" ["&amp;'Igor'!$F$6:$F$300&amp;"]","")))</f>
        <v/>
      </c>
    </row>
    <row r="275" ht="15.5" customHeight="1">
      <c r="A275" s="13" t="inlineStr">
        <is>
          <t>P4-020</t>
        </is>
      </c>
      <c r="B275" s="14" t="inlineStr"/>
      <c r="C275" s="14" t="inlineStr">
        <is>
          <t>Relatório aplicação das métricas (produto 4)</t>
        </is>
      </c>
      <c r="D275" s="14" t="inlineStr">
        <is>
          <t>GR3</t>
        </is>
      </c>
      <c r="E275" s="15" t="inlineStr">
        <is>
          <t>Redigir o texto (DM)</t>
        </is>
      </c>
      <c r="F275" s="13" t="n"/>
      <c r="G275" s="16">
        <f>IF($A275="","",_xlfn.TEXTJOIN("; ",TRUE,IF(COUNTIF('Clarice'!$B$6:$B$300,$A275)&gt;0,"Clarice",""),IF(COUNTIF('Luisa'!$B$6:$B$300,$A275)&gt;0,"Luisa",""),IF(COUNTIF('Lui'!$B$6:$B$300,$A275)&gt;0,"Lui",""),IF(COUNTIF('Thaís'!$B$6:$B$300,$A275)&gt;0,"Thaís",""),IF(COUNTIF('Daniel'!$B$6:$B$300,$A275)&gt;0,"Daniel",""),IF(COUNTIF('Fernando'!$B$6:$B$300,$A275)&gt;0,"Fernando",""),IF(COUNTIF('Stephanie'!$B$6:$B$300,$A275)&gt;0,"Stephanie",""),IF(COUNTIF('Fox'!$B$6:$B$300,$A275)&gt;0,"Fox",""),IF(COUNTIF('Bruna'!$B$6:$B$300,$A275)&gt;0,"Bruna",""),IF(COUNTIF('Stella'!$B$6:$B$300,$A275)&gt;0,"Stella",""),IF(COUNTIF('Igor'!$B$6:$B$300,$A275)&gt;0,"Igor","")))</f>
        <v/>
      </c>
      <c r="H275" s="13" t="n"/>
      <c r="I275" s="13" t="inlineStr">
        <is>
          <t>Não iniciado</t>
        </is>
      </c>
      <c r="J275" s="17">
        <f>IF(OR($A275="",(COUNTIF('Clarice'!$B$6:$B$300,$A275)+COUNTIF('Luisa'!$B$6:$B$300,$A275)+COUNTIF('Lui'!$B$6:$B$300,$A275)+COUNTIF('Thaís'!$B$6:$B$300,$A275)+COUNTIF('Daniel'!$B$6:$B$300,$A275)+COUNTIF('Fernando'!$B$6:$B$300,$A275)+COUNTIF('Stephanie'!$B$6:$B$300,$A275)+COUNTIF('Fox'!$B$6:$B$300,$A275)+COUNTIF('Bruna'!$B$6:$B$300,$A275)+COUNTIF('Stella'!$B$6:$B$300,$A275)+COUNTIF('Igor'!$B$6:$B$300,$A275))=0),"",(COUNTIFS('Clarice'!$B$6:$B$300,$A275,'Clarice'!$F$6:$F$300,"Concluído")+COUNTIFS('Luisa'!$B$6:$B$300,$A275,'Luisa'!$F$6:$F$300,"Concluído")+COUNTIFS('Lui'!$B$6:$B$300,$A275,'Lui'!$F$6:$F$300,"Concluído")+COUNTIFS('Thaís'!$B$6:$B$300,$A275,'Thaís'!$F$6:$F$300,"Concluído")+COUNTIFS('Daniel'!$B$6:$B$300,$A275,'Daniel'!$F$6:$F$300,"Concluído")+COUNTIFS('Fernando'!$B$6:$B$300,$A275,'Fernando'!$F$6:$F$300,"Concluído")+COUNTIFS('Stephanie'!$B$6:$B$300,$A275,'Stephanie'!$F$6:$F$300,"Concluído")+COUNTIFS('Fox'!$B$6:$B$300,$A275,'Fox'!$F$6:$F$300,"Concluído")+COUNTIFS('Bruna'!$B$6:$B$300,$A275,'Bruna'!$F$6:$F$300,"Concluído")+COUNTIFS('Stella'!$B$6:$B$300,$A275,'Stella'!$F$6:$F$300,"Concluído")+COUNTIFS('Igor'!$B$6:$B$300,$A275,'Igor'!$F$6:$F$300,"Concluído"))&amp;" / "&amp;(COUNTIF('Clarice'!$B$6:$B$300,$A275)+COUNTIF('Luisa'!$B$6:$B$300,$A275)+COUNTIF('Lui'!$B$6:$B$300,$A275)+COUNTIF('Thaís'!$B$6:$B$300,$A275)+COUNTIF('Daniel'!$B$6:$B$300,$A275)+COUNTIF('Fernando'!$B$6:$B$300,$A275)+COUNTIF('Stephanie'!$B$6:$B$300,$A275)+COUNTIF('Fox'!$B$6:$B$300,$A275)+COUNTIF('Bruna'!$B$6:$B$300,$A275)+COUNTIF('Stella'!$B$6:$B$300,$A275)+COUNTIF('Igor'!$B$6:$B$300,$A275)))</f>
        <v/>
      </c>
      <c r="K275" s="19" t="n"/>
      <c r="L275" s="19" t="n"/>
      <c r="M275" s="19" t="n"/>
      <c r="N275" s="19" t="n"/>
      <c r="O275" s="19" t="n"/>
      <c r="P275" s="20">
        <f>IF($A275="","",IF(M275&lt;&gt;"",M275,IF(K275&lt;&gt;"",K275,"")))</f>
        <v/>
      </c>
      <c r="Q275" s="20">
        <f>IF($A275="","",IF(N275&lt;&gt;"",N275,IF(L275&lt;&gt;"",L275,"")))</f>
        <v/>
      </c>
      <c r="R275" s="15" t="n"/>
      <c r="S275" s="16">
        <f t="array" ref="S275">IF($A275="","",_xlfn.TEXTJOIN(CHAR(10),TRUE,IF('Clarice'!$B$6:$B$300=$A275,"Clarice"&amp;IF('Clarice'!$E$6:$E$300="",""," : "&amp;'Clarice'!$E$6:$E$300)&amp;" ["&amp;'Clarice'!$F$6:$F$300&amp;"]",""),IF('Luisa'!$B$6:$B$300=$A275,"Luisa"&amp;IF('Luisa'!$E$6:$E$300="",""," : "&amp;'Luisa'!$E$6:$E$300)&amp;" ["&amp;'Luisa'!$F$6:$F$300&amp;"]",""),IF('Lui'!$B$6:$B$300=$A275,"Lui"&amp;IF('Lui'!$E$6:$E$300="",""," : "&amp;'Lui'!$E$6:$E$300)&amp;" ["&amp;'Lui'!$F$6:$F$300&amp;"]",""),IF('Thaís'!$B$6:$B$300=$A275,"Thaís"&amp;IF('Thaís'!$E$6:$E$300="",""," : "&amp;'Thaís'!$E$6:$E$300)&amp;" ["&amp;'Thaís'!$F$6:$F$300&amp;"]",""),IF('Daniel'!$B$6:$B$300=$A275,"Daniel"&amp;IF('Daniel'!$E$6:$E$300="",""," : "&amp;'Daniel'!$E$6:$E$300)&amp;" ["&amp;'Daniel'!$F$6:$F$300&amp;"]",""),IF('Fernando'!$B$6:$B$300=$A275,"Fernando"&amp;IF('Fernando'!$E$6:$E$300="",""," : "&amp;'Fernando'!$E$6:$E$300)&amp;" ["&amp;'Fernando'!$F$6:$F$300&amp;"]",""),IF('Stephanie'!$B$6:$B$300=$A275,"Stephanie"&amp;IF('Stephanie'!$E$6:$E$300="",""," : "&amp;'Stephanie'!$E$6:$E$300)&amp;" ["&amp;'Stephanie'!$F$6:$F$300&amp;"]",""),IF('Fox'!$B$6:$B$300=$A275,"Fox"&amp;IF('Fox'!$E$6:$E$300="",""," : "&amp;'Fox'!$E$6:$E$300)&amp;" ["&amp;'Fox'!$F$6:$F$300&amp;"]",""),IF('Bruna'!$B$6:$B$300=$A275,"Bruna"&amp;IF('Bruna'!$E$6:$E$300="",""," : "&amp;'Bruna'!$E$6:$E$300)&amp;" ["&amp;'Bruna'!$F$6:$F$300&amp;"]",""),IF('Stella'!$B$6:$B$300=$A275,"Stella"&amp;IF('Stella'!$E$6:$E$300="",""," : "&amp;'Stella'!$E$6:$E$300)&amp;" ["&amp;'Stella'!$F$6:$F$300&amp;"]",""),IF('Igor'!$B$6:$B$300=$A275,"Igor"&amp;IF('Igor'!$E$6:$E$300="",""," : "&amp;'Igor'!$E$6:$E$300)&amp;" ["&amp;'Igor'!$F$6:$F$300&amp;"]","")))</f>
        <v/>
      </c>
    </row>
    <row r="276" ht="15.5" customHeight="1">
      <c r="A276" s="13" t="inlineStr">
        <is>
          <t>P4-021</t>
        </is>
      </c>
      <c r="B276" s="14" t="inlineStr"/>
      <c r="C276" s="14" t="inlineStr">
        <is>
          <t>Relatório aplicação das métricas (produto 4)</t>
        </is>
      </c>
      <c r="D276" s="14" t="inlineStr">
        <is>
          <t>GR3</t>
        </is>
      </c>
      <c r="E276" s="15" t="inlineStr">
        <is>
          <t>Preparar resultados texto principal (SBM)</t>
        </is>
      </c>
      <c r="F276" s="13" t="n"/>
      <c r="G276" s="16">
        <f>IF($A276="","",_xlfn.TEXTJOIN("; ",TRUE,IF(COUNTIF('Clarice'!$B$6:$B$300,$A276)&gt;0,"Clarice",""),IF(COUNTIF('Luisa'!$B$6:$B$300,$A276)&gt;0,"Luisa",""),IF(COUNTIF('Lui'!$B$6:$B$300,$A276)&gt;0,"Lui",""),IF(COUNTIF('Thaís'!$B$6:$B$300,$A276)&gt;0,"Thaís",""),IF(COUNTIF('Daniel'!$B$6:$B$300,$A276)&gt;0,"Daniel",""),IF(COUNTIF('Fernando'!$B$6:$B$300,$A276)&gt;0,"Fernando",""),IF(COUNTIF('Stephanie'!$B$6:$B$300,$A276)&gt;0,"Stephanie",""),IF(COUNTIF('Fox'!$B$6:$B$300,$A276)&gt;0,"Fox",""),IF(COUNTIF('Bruna'!$B$6:$B$300,$A276)&gt;0,"Bruna",""),IF(COUNTIF('Stella'!$B$6:$B$300,$A276)&gt;0,"Stella",""),IF(COUNTIF('Igor'!$B$6:$B$300,$A276)&gt;0,"Igor","")))</f>
        <v/>
      </c>
      <c r="H276" s="13" t="n"/>
      <c r="I276" s="13" t="inlineStr">
        <is>
          <t>Não iniciado</t>
        </is>
      </c>
      <c r="J276" s="17">
        <f>IF(OR($A276="",(COUNTIF('Clarice'!$B$6:$B$300,$A276)+COUNTIF('Luisa'!$B$6:$B$300,$A276)+COUNTIF('Lui'!$B$6:$B$300,$A276)+COUNTIF('Thaís'!$B$6:$B$300,$A276)+COUNTIF('Daniel'!$B$6:$B$300,$A276)+COUNTIF('Fernando'!$B$6:$B$300,$A276)+COUNTIF('Stephanie'!$B$6:$B$300,$A276)+COUNTIF('Fox'!$B$6:$B$300,$A276)+COUNTIF('Bruna'!$B$6:$B$300,$A276)+COUNTIF('Stella'!$B$6:$B$300,$A276)+COUNTIF('Igor'!$B$6:$B$300,$A276))=0),"",(COUNTIFS('Clarice'!$B$6:$B$300,$A276,'Clarice'!$F$6:$F$300,"Concluído")+COUNTIFS('Luisa'!$B$6:$B$300,$A276,'Luisa'!$F$6:$F$300,"Concluído")+COUNTIFS('Lui'!$B$6:$B$300,$A276,'Lui'!$F$6:$F$300,"Concluído")+COUNTIFS('Thaís'!$B$6:$B$300,$A276,'Thaís'!$F$6:$F$300,"Concluído")+COUNTIFS('Daniel'!$B$6:$B$300,$A276,'Daniel'!$F$6:$F$300,"Concluído")+COUNTIFS('Fernando'!$B$6:$B$300,$A276,'Fernando'!$F$6:$F$300,"Concluído")+COUNTIFS('Stephanie'!$B$6:$B$300,$A276,'Stephanie'!$F$6:$F$300,"Concluído")+COUNTIFS('Fox'!$B$6:$B$300,$A276,'Fox'!$F$6:$F$300,"Concluído")+COUNTIFS('Bruna'!$B$6:$B$300,$A276,'Bruna'!$F$6:$F$300,"Concluído")+COUNTIFS('Stella'!$B$6:$B$300,$A276,'Stella'!$F$6:$F$300,"Concluído")+COUNTIFS('Igor'!$B$6:$B$300,$A276,'Igor'!$F$6:$F$300,"Concluído"))&amp;" / "&amp;(COUNTIF('Clarice'!$B$6:$B$300,$A276)+COUNTIF('Luisa'!$B$6:$B$300,$A276)+COUNTIF('Lui'!$B$6:$B$300,$A276)+COUNTIF('Thaís'!$B$6:$B$300,$A276)+COUNTIF('Daniel'!$B$6:$B$300,$A276)+COUNTIF('Fernando'!$B$6:$B$300,$A276)+COUNTIF('Stephanie'!$B$6:$B$300,$A276)+COUNTIF('Fox'!$B$6:$B$300,$A276)+COUNTIF('Bruna'!$B$6:$B$300,$A276)+COUNTIF('Stella'!$B$6:$B$300,$A276)+COUNTIF('Igor'!$B$6:$B$300,$A276)))</f>
        <v/>
      </c>
      <c r="K276" s="19" t="n"/>
      <c r="L276" s="19" t="n"/>
      <c r="M276" s="19" t="n"/>
      <c r="N276" s="19" t="n"/>
      <c r="O276" s="19" t="n"/>
      <c r="P276" s="20">
        <f>IF($A276="","",IF(M276&lt;&gt;"",M276,IF(K276&lt;&gt;"",K276,"")))</f>
        <v/>
      </c>
      <c r="Q276" s="20">
        <f>IF($A276="","",IF(N276&lt;&gt;"",N276,IF(L276&lt;&gt;"",L276,"")))</f>
        <v/>
      </c>
      <c r="R276" s="15" t="n"/>
      <c r="S276" s="16">
        <f t="array" ref="S276">IF($A276="","",_xlfn.TEXTJOIN(CHAR(10),TRUE,IF('Clarice'!$B$6:$B$300=$A276,"Clarice"&amp;IF('Clarice'!$E$6:$E$300="",""," : "&amp;'Clarice'!$E$6:$E$300)&amp;" ["&amp;'Clarice'!$F$6:$F$300&amp;"]",""),IF('Luisa'!$B$6:$B$300=$A276,"Luisa"&amp;IF('Luisa'!$E$6:$E$300="",""," : "&amp;'Luisa'!$E$6:$E$300)&amp;" ["&amp;'Luisa'!$F$6:$F$300&amp;"]",""),IF('Lui'!$B$6:$B$300=$A276,"Lui"&amp;IF('Lui'!$E$6:$E$300="",""," : "&amp;'Lui'!$E$6:$E$300)&amp;" ["&amp;'Lui'!$F$6:$F$300&amp;"]",""),IF('Thaís'!$B$6:$B$300=$A276,"Thaís"&amp;IF('Thaís'!$E$6:$E$300="",""," : "&amp;'Thaís'!$E$6:$E$300)&amp;" ["&amp;'Thaís'!$F$6:$F$300&amp;"]",""),IF('Daniel'!$B$6:$B$300=$A276,"Daniel"&amp;IF('Daniel'!$E$6:$E$300="",""," : "&amp;'Daniel'!$E$6:$E$300)&amp;" ["&amp;'Daniel'!$F$6:$F$300&amp;"]",""),IF('Fernando'!$B$6:$B$300=$A276,"Fernando"&amp;IF('Fernando'!$E$6:$E$300="",""," : "&amp;'Fernando'!$E$6:$E$300)&amp;" ["&amp;'Fernando'!$F$6:$F$300&amp;"]",""),IF('Stephanie'!$B$6:$B$300=$A276,"Stephanie"&amp;IF('Stephanie'!$E$6:$E$300="",""," : "&amp;'Stephanie'!$E$6:$E$300)&amp;" ["&amp;'Stephanie'!$F$6:$F$300&amp;"]",""),IF('Fox'!$B$6:$B$300=$A276,"Fox"&amp;IF('Fox'!$E$6:$E$300="",""," : "&amp;'Fox'!$E$6:$E$300)&amp;" ["&amp;'Fox'!$F$6:$F$300&amp;"]",""),IF('Bruna'!$B$6:$B$300=$A276,"Bruna"&amp;IF('Bruna'!$E$6:$E$300="",""," : "&amp;'Bruna'!$E$6:$E$300)&amp;" ["&amp;'Bruna'!$F$6:$F$300&amp;"]",""),IF('Stella'!$B$6:$B$300=$A276,"Stella"&amp;IF('Stella'!$E$6:$E$300="",""," : "&amp;'Stella'!$E$6:$E$300)&amp;" ["&amp;'Stella'!$F$6:$F$300&amp;"]",""),IF('Igor'!$B$6:$B$300=$A276,"Igor"&amp;IF('Igor'!$E$6:$E$300="",""," : "&amp;'Igor'!$E$6:$E$300)&amp;" ["&amp;'Igor'!$F$6:$F$300&amp;"]","")))</f>
        <v/>
      </c>
    </row>
    <row r="277" ht="15.5" customHeight="1">
      <c r="A277" s="13" t="inlineStr">
        <is>
          <t>P4-022</t>
        </is>
      </c>
      <c r="B277" s="14" t="inlineStr"/>
      <c r="C277" s="14" t="inlineStr">
        <is>
          <t>Relatório aplicação das métricas (produto 4)</t>
        </is>
      </c>
      <c r="D277" s="14" t="inlineStr">
        <is>
          <t>GR3</t>
        </is>
      </c>
      <c r="E277" s="15" t="inlineStr">
        <is>
          <t>Preparar arquivos anexo (SBM)</t>
        </is>
      </c>
      <c r="F277" s="13" t="n"/>
      <c r="G277" s="16">
        <f>IF($A277="","",_xlfn.TEXTJOIN("; ",TRUE,IF(COUNTIF('Clarice'!$B$6:$B$300,$A277)&gt;0,"Clarice",""),IF(COUNTIF('Luisa'!$B$6:$B$300,$A277)&gt;0,"Luisa",""),IF(COUNTIF('Lui'!$B$6:$B$300,$A277)&gt;0,"Lui",""),IF(COUNTIF('Thaís'!$B$6:$B$300,$A277)&gt;0,"Thaís",""),IF(COUNTIF('Daniel'!$B$6:$B$300,$A277)&gt;0,"Daniel",""),IF(COUNTIF('Fernando'!$B$6:$B$300,$A277)&gt;0,"Fernando",""),IF(COUNTIF('Stephanie'!$B$6:$B$300,$A277)&gt;0,"Stephanie",""),IF(COUNTIF('Fox'!$B$6:$B$300,$A277)&gt;0,"Fox",""),IF(COUNTIF('Bruna'!$B$6:$B$300,$A277)&gt;0,"Bruna",""),IF(COUNTIF('Stella'!$B$6:$B$300,$A277)&gt;0,"Stella",""),IF(COUNTIF('Igor'!$B$6:$B$300,$A277)&gt;0,"Igor","")))</f>
        <v/>
      </c>
      <c r="H277" s="13" t="n"/>
      <c r="I277" s="13" t="inlineStr">
        <is>
          <t>Não iniciado</t>
        </is>
      </c>
      <c r="J277" s="17">
        <f>IF(OR($A277="",(COUNTIF('Clarice'!$B$6:$B$300,$A277)+COUNTIF('Luisa'!$B$6:$B$300,$A277)+COUNTIF('Lui'!$B$6:$B$300,$A277)+COUNTIF('Thaís'!$B$6:$B$300,$A277)+COUNTIF('Daniel'!$B$6:$B$300,$A277)+COUNTIF('Fernando'!$B$6:$B$300,$A277)+COUNTIF('Stephanie'!$B$6:$B$300,$A277)+COUNTIF('Fox'!$B$6:$B$300,$A277)+COUNTIF('Bruna'!$B$6:$B$300,$A277)+COUNTIF('Stella'!$B$6:$B$300,$A277)+COUNTIF('Igor'!$B$6:$B$300,$A277))=0),"",(COUNTIFS('Clarice'!$B$6:$B$300,$A277,'Clarice'!$F$6:$F$300,"Concluído")+COUNTIFS('Luisa'!$B$6:$B$300,$A277,'Luisa'!$F$6:$F$300,"Concluído")+COUNTIFS('Lui'!$B$6:$B$300,$A277,'Lui'!$F$6:$F$300,"Concluído")+COUNTIFS('Thaís'!$B$6:$B$300,$A277,'Thaís'!$F$6:$F$300,"Concluído")+COUNTIFS('Daniel'!$B$6:$B$300,$A277,'Daniel'!$F$6:$F$300,"Concluído")+COUNTIFS('Fernando'!$B$6:$B$300,$A277,'Fernando'!$F$6:$F$300,"Concluído")+COUNTIFS('Stephanie'!$B$6:$B$300,$A277,'Stephanie'!$F$6:$F$300,"Concluído")+COUNTIFS('Fox'!$B$6:$B$300,$A277,'Fox'!$F$6:$F$300,"Concluído")+COUNTIFS('Bruna'!$B$6:$B$300,$A277,'Bruna'!$F$6:$F$300,"Concluído")+COUNTIFS('Stella'!$B$6:$B$300,$A277,'Stella'!$F$6:$F$300,"Concluído")+COUNTIFS('Igor'!$B$6:$B$300,$A277,'Igor'!$F$6:$F$300,"Concluído"))&amp;" / "&amp;(COUNTIF('Clarice'!$B$6:$B$300,$A277)+COUNTIF('Luisa'!$B$6:$B$300,$A277)+COUNTIF('Lui'!$B$6:$B$300,$A277)+COUNTIF('Thaís'!$B$6:$B$300,$A277)+COUNTIF('Daniel'!$B$6:$B$300,$A277)+COUNTIF('Fernando'!$B$6:$B$300,$A277)+COUNTIF('Stephanie'!$B$6:$B$300,$A277)+COUNTIF('Fox'!$B$6:$B$300,$A277)+COUNTIF('Bruna'!$B$6:$B$300,$A277)+COUNTIF('Stella'!$B$6:$B$300,$A277)+COUNTIF('Igor'!$B$6:$B$300,$A277)))</f>
        <v/>
      </c>
      <c r="K277" s="19" t="n"/>
      <c r="L277" s="19" t="n"/>
      <c r="M277" s="19" t="n"/>
      <c r="N277" s="19" t="n"/>
      <c r="O277" s="19" t="n"/>
      <c r="P277" s="20">
        <f>IF($A277="","",IF(M277&lt;&gt;"",M277,IF(K277&lt;&gt;"",K277,"")))</f>
        <v/>
      </c>
      <c r="Q277" s="20">
        <f>IF($A277="","",IF(N277&lt;&gt;"",N277,IF(L277&lt;&gt;"",L277,"")))</f>
        <v/>
      </c>
      <c r="R277" s="15" t="n"/>
      <c r="S277" s="16">
        <f t="array" ref="S277">IF($A277="","",_xlfn.TEXTJOIN(CHAR(10),TRUE,IF('Clarice'!$B$6:$B$300=$A277,"Clarice"&amp;IF('Clarice'!$E$6:$E$300="",""," : "&amp;'Clarice'!$E$6:$E$300)&amp;" ["&amp;'Clarice'!$F$6:$F$300&amp;"]",""),IF('Luisa'!$B$6:$B$300=$A277,"Luisa"&amp;IF('Luisa'!$E$6:$E$300="",""," : "&amp;'Luisa'!$E$6:$E$300)&amp;" ["&amp;'Luisa'!$F$6:$F$300&amp;"]",""),IF('Lui'!$B$6:$B$300=$A277,"Lui"&amp;IF('Lui'!$E$6:$E$300="",""," : "&amp;'Lui'!$E$6:$E$300)&amp;" ["&amp;'Lui'!$F$6:$F$300&amp;"]",""),IF('Thaís'!$B$6:$B$300=$A277,"Thaís"&amp;IF('Thaís'!$E$6:$E$300="",""," : "&amp;'Thaís'!$E$6:$E$300)&amp;" ["&amp;'Thaís'!$F$6:$F$300&amp;"]",""),IF('Daniel'!$B$6:$B$300=$A277,"Daniel"&amp;IF('Daniel'!$E$6:$E$300="",""," : "&amp;'Daniel'!$E$6:$E$300)&amp;" ["&amp;'Daniel'!$F$6:$F$300&amp;"]",""),IF('Fernando'!$B$6:$B$300=$A277,"Fernando"&amp;IF('Fernando'!$E$6:$E$300="",""," : "&amp;'Fernando'!$E$6:$E$300)&amp;" ["&amp;'Fernando'!$F$6:$F$300&amp;"]",""),IF('Stephanie'!$B$6:$B$300=$A277,"Stephanie"&amp;IF('Stephanie'!$E$6:$E$300="",""," : "&amp;'Stephanie'!$E$6:$E$300)&amp;" ["&amp;'Stephanie'!$F$6:$F$300&amp;"]",""),IF('Fox'!$B$6:$B$300=$A277,"Fox"&amp;IF('Fox'!$E$6:$E$300="",""," : "&amp;'Fox'!$E$6:$E$300)&amp;" ["&amp;'Fox'!$F$6:$F$300&amp;"]",""),IF('Bruna'!$B$6:$B$300=$A277,"Bruna"&amp;IF('Bruna'!$E$6:$E$300="",""," : "&amp;'Bruna'!$E$6:$E$300)&amp;" ["&amp;'Bruna'!$F$6:$F$300&amp;"]",""),IF('Stella'!$B$6:$B$300=$A277,"Stella"&amp;IF('Stella'!$E$6:$E$300="",""," : "&amp;'Stella'!$E$6:$E$300)&amp;" ["&amp;'Stella'!$F$6:$F$300&amp;"]",""),IF('Igor'!$B$6:$B$300=$A277,"Igor"&amp;IF('Igor'!$E$6:$E$300="",""," : "&amp;'Igor'!$E$6:$E$300)&amp;" ["&amp;'Igor'!$F$6:$F$300&amp;"]","")))</f>
        <v/>
      </c>
    </row>
    <row r="278" ht="15.5" customHeight="1">
      <c r="A278" s="13" t="inlineStr">
        <is>
          <t>P4-023</t>
        </is>
      </c>
      <c r="B278" s="14" t="inlineStr"/>
      <c r="C278" s="14" t="inlineStr">
        <is>
          <t>Relatório aplicação das métricas (produto 4)</t>
        </is>
      </c>
      <c r="D278" s="14" t="inlineStr">
        <is>
          <t>GR3</t>
        </is>
      </c>
      <c r="E278" s="15" t="inlineStr">
        <is>
          <t>Preparar resultados texto principal (DM)</t>
        </is>
      </c>
      <c r="F278" s="13" t="n"/>
      <c r="G278" s="16">
        <f>IF($A278="","",_xlfn.TEXTJOIN("; ",TRUE,IF(COUNTIF('Clarice'!$B$6:$B$300,$A278)&gt;0,"Clarice",""),IF(COUNTIF('Luisa'!$B$6:$B$300,$A278)&gt;0,"Luisa",""),IF(COUNTIF('Lui'!$B$6:$B$300,$A278)&gt;0,"Lui",""),IF(COUNTIF('Thaís'!$B$6:$B$300,$A278)&gt;0,"Thaís",""),IF(COUNTIF('Daniel'!$B$6:$B$300,$A278)&gt;0,"Daniel",""),IF(COUNTIF('Fernando'!$B$6:$B$300,$A278)&gt;0,"Fernando",""),IF(COUNTIF('Stephanie'!$B$6:$B$300,$A278)&gt;0,"Stephanie",""),IF(COUNTIF('Fox'!$B$6:$B$300,$A278)&gt;0,"Fox",""),IF(COUNTIF('Bruna'!$B$6:$B$300,$A278)&gt;0,"Bruna",""),IF(COUNTIF('Stella'!$B$6:$B$300,$A278)&gt;0,"Stella",""),IF(COUNTIF('Igor'!$B$6:$B$300,$A278)&gt;0,"Igor","")))</f>
        <v/>
      </c>
      <c r="H278" s="13" t="n"/>
      <c r="I278" s="13" t="inlineStr">
        <is>
          <t>Não iniciado</t>
        </is>
      </c>
      <c r="J278" s="17">
        <f>IF(OR($A278="",(COUNTIF('Clarice'!$B$6:$B$300,$A278)+COUNTIF('Luisa'!$B$6:$B$300,$A278)+COUNTIF('Lui'!$B$6:$B$300,$A278)+COUNTIF('Thaís'!$B$6:$B$300,$A278)+COUNTIF('Daniel'!$B$6:$B$300,$A278)+COUNTIF('Fernando'!$B$6:$B$300,$A278)+COUNTIF('Stephanie'!$B$6:$B$300,$A278)+COUNTIF('Fox'!$B$6:$B$300,$A278)+COUNTIF('Bruna'!$B$6:$B$300,$A278)+COUNTIF('Stella'!$B$6:$B$300,$A278)+COUNTIF('Igor'!$B$6:$B$300,$A278))=0),"",(COUNTIFS('Clarice'!$B$6:$B$300,$A278,'Clarice'!$F$6:$F$300,"Concluído")+COUNTIFS('Luisa'!$B$6:$B$300,$A278,'Luisa'!$F$6:$F$300,"Concluído")+COUNTIFS('Lui'!$B$6:$B$300,$A278,'Lui'!$F$6:$F$300,"Concluído")+COUNTIFS('Thaís'!$B$6:$B$300,$A278,'Thaís'!$F$6:$F$300,"Concluído")+COUNTIFS('Daniel'!$B$6:$B$300,$A278,'Daniel'!$F$6:$F$300,"Concluído")+COUNTIFS('Fernando'!$B$6:$B$300,$A278,'Fernando'!$F$6:$F$300,"Concluído")+COUNTIFS('Stephanie'!$B$6:$B$300,$A278,'Stephanie'!$F$6:$F$300,"Concluído")+COUNTIFS('Fox'!$B$6:$B$300,$A278,'Fox'!$F$6:$F$300,"Concluído")+COUNTIFS('Bruna'!$B$6:$B$300,$A278,'Bruna'!$F$6:$F$300,"Concluído")+COUNTIFS('Stella'!$B$6:$B$300,$A278,'Stella'!$F$6:$F$300,"Concluído")+COUNTIFS('Igor'!$B$6:$B$300,$A278,'Igor'!$F$6:$F$300,"Concluído"))&amp;" / "&amp;(COUNTIF('Clarice'!$B$6:$B$300,$A278)+COUNTIF('Luisa'!$B$6:$B$300,$A278)+COUNTIF('Lui'!$B$6:$B$300,$A278)+COUNTIF('Thaís'!$B$6:$B$300,$A278)+COUNTIF('Daniel'!$B$6:$B$300,$A278)+COUNTIF('Fernando'!$B$6:$B$300,$A278)+COUNTIF('Stephanie'!$B$6:$B$300,$A278)+COUNTIF('Fox'!$B$6:$B$300,$A278)+COUNTIF('Bruna'!$B$6:$B$300,$A278)+COUNTIF('Stella'!$B$6:$B$300,$A278)+COUNTIF('Igor'!$B$6:$B$300,$A278)))</f>
        <v/>
      </c>
      <c r="K278" s="19" t="n"/>
      <c r="L278" s="19" t="n"/>
      <c r="M278" s="19" t="n"/>
      <c r="N278" s="19" t="n"/>
      <c r="O278" s="19" t="n"/>
      <c r="P278" s="20">
        <f>IF($A278="","",IF(M278&lt;&gt;"",M278,IF(K278&lt;&gt;"",K278,"")))</f>
        <v/>
      </c>
      <c r="Q278" s="20">
        <f>IF($A278="","",IF(N278&lt;&gt;"",N278,IF(L278&lt;&gt;"",L278,"")))</f>
        <v/>
      </c>
      <c r="R278" s="15" t="n"/>
      <c r="S278" s="16">
        <f t="array" ref="S278">IF($A278="","",_xlfn.TEXTJOIN(CHAR(10),TRUE,IF('Clarice'!$B$6:$B$300=$A278,"Clarice"&amp;IF('Clarice'!$E$6:$E$300="",""," : "&amp;'Clarice'!$E$6:$E$300)&amp;" ["&amp;'Clarice'!$F$6:$F$300&amp;"]",""),IF('Luisa'!$B$6:$B$300=$A278,"Luisa"&amp;IF('Luisa'!$E$6:$E$300="",""," : "&amp;'Luisa'!$E$6:$E$300)&amp;" ["&amp;'Luisa'!$F$6:$F$300&amp;"]",""),IF('Lui'!$B$6:$B$300=$A278,"Lui"&amp;IF('Lui'!$E$6:$E$300="",""," : "&amp;'Lui'!$E$6:$E$300)&amp;" ["&amp;'Lui'!$F$6:$F$300&amp;"]",""),IF('Thaís'!$B$6:$B$300=$A278,"Thaís"&amp;IF('Thaís'!$E$6:$E$300="",""," : "&amp;'Thaís'!$E$6:$E$300)&amp;" ["&amp;'Thaís'!$F$6:$F$300&amp;"]",""),IF('Daniel'!$B$6:$B$300=$A278,"Daniel"&amp;IF('Daniel'!$E$6:$E$300="",""," : "&amp;'Daniel'!$E$6:$E$300)&amp;" ["&amp;'Daniel'!$F$6:$F$300&amp;"]",""),IF('Fernando'!$B$6:$B$300=$A278,"Fernando"&amp;IF('Fernando'!$E$6:$E$300="",""," : "&amp;'Fernando'!$E$6:$E$300)&amp;" ["&amp;'Fernando'!$F$6:$F$300&amp;"]",""),IF('Stephanie'!$B$6:$B$300=$A278,"Stephanie"&amp;IF('Stephanie'!$E$6:$E$300="",""," : "&amp;'Stephanie'!$E$6:$E$300)&amp;" ["&amp;'Stephanie'!$F$6:$F$300&amp;"]",""),IF('Fox'!$B$6:$B$300=$A278,"Fox"&amp;IF('Fox'!$E$6:$E$300="",""," : "&amp;'Fox'!$E$6:$E$300)&amp;" ["&amp;'Fox'!$F$6:$F$300&amp;"]",""),IF('Bruna'!$B$6:$B$300=$A278,"Bruna"&amp;IF('Bruna'!$E$6:$E$300="",""," : "&amp;'Bruna'!$E$6:$E$300)&amp;" ["&amp;'Bruna'!$F$6:$F$300&amp;"]",""),IF('Stella'!$B$6:$B$300=$A278,"Stella"&amp;IF('Stella'!$E$6:$E$300="",""," : "&amp;'Stella'!$E$6:$E$300)&amp;" ["&amp;'Stella'!$F$6:$F$300&amp;"]",""),IF('Igor'!$B$6:$B$300=$A278,"Igor"&amp;IF('Igor'!$E$6:$E$300="",""," : "&amp;'Igor'!$E$6:$E$300)&amp;" ["&amp;'Igor'!$F$6:$F$300&amp;"]","")))</f>
        <v/>
      </c>
    </row>
    <row r="279" ht="15.5" customHeight="1">
      <c r="A279" s="13" t="inlineStr">
        <is>
          <t>P4-024</t>
        </is>
      </c>
      <c r="B279" s="14" t="inlineStr"/>
      <c r="C279" s="14" t="inlineStr">
        <is>
          <t>Relatório aplicação das métricas (produto 4)</t>
        </is>
      </c>
      <c r="D279" s="14" t="inlineStr">
        <is>
          <t>GR3</t>
        </is>
      </c>
      <c r="E279" s="15" t="inlineStr">
        <is>
          <t>Preparar arquivos anexo (DM)</t>
        </is>
      </c>
      <c r="F279" s="13" t="n"/>
      <c r="G279" s="16">
        <f>IF($A279="","",_xlfn.TEXTJOIN("; ",TRUE,IF(COUNTIF('Clarice'!$B$6:$B$300,$A279)&gt;0,"Clarice",""),IF(COUNTIF('Luisa'!$B$6:$B$300,$A279)&gt;0,"Luisa",""),IF(COUNTIF('Lui'!$B$6:$B$300,$A279)&gt;0,"Lui",""),IF(COUNTIF('Thaís'!$B$6:$B$300,$A279)&gt;0,"Thaís",""),IF(COUNTIF('Daniel'!$B$6:$B$300,$A279)&gt;0,"Daniel",""),IF(COUNTIF('Fernando'!$B$6:$B$300,$A279)&gt;0,"Fernando",""),IF(COUNTIF('Stephanie'!$B$6:$B$300,$A279)&gt;0,"Stephanie",""),IF(COUNTIF('Fox'!$B$6:$B$300,$A279)&gt;0,"Fox",""),IF(COUNTIF('Bruna'!$B$6:$B$300,$A279)&gt;0,"Bruna",""),IF(COUNTIF('Stella'!$B$6:$B$300,$A279)&gt;0,"Stella",""),IF(COUNTIF('Igor'!$B$6:$B$300,$A279)&gt;0,"Igor","")))</f>
        <v/>
      </c>
      <c r="H279" s="13" t="n"/>
      <c r="I279" s="13" t="inlineStr">
        <is>
          <t>Não iniciado</t>
        </is>
      </c>
      <c r="J279" s="17">
        <f>IF(OR($A279="",(COUNTIF('Clarice'!$B$6:$B$300,$A279)+COUNTIF('Luisa'!$B$6:$B$300,$A279)+COUNTIF('Lui'!$B$6:$B$300,$A279)+COUNTIF('Thaís'!$B$6:$B$300,$A279)+COUNTIF('Daniel'!$B$6:$B$300,$A279)+COUNTIF('Fernando'!$B$6:$B$300,$A279)+COUNTIF('Stephanie'!$B$6:$B$300,$A279)+COUNTIF('Fox'!$B$6:$B$300,$A279)+COUNTIF('Bruna'!$B$6:$B$300,$A279)+COUNTIF('Stella'!$B$6:$B$300,$A279)+COUNTIF('Igor'!$B$6:$B$300,$A279))=0),"",(COUNTIFS('Clarice'!$B$6:$B$300,$A279,'Clarice'!$F$6:$F$300,"Concluído")+COUNTIFS('Luisa'!$B$6:$B$300,$A279,'Luisa'!$F$6:$F$300,"Concluído")+COUNTIFS('Lui'!$B$6:$B$300,$A279,'Lui'!$F$6:$F$300,"Concluído")+COUNTIFS('Thaís'!$B$6:$B$300,$A279,'Thaís'!$F$6:$F$300,"Concluído")+COUNTIFS('Daniel'!$B$6:$B$300,$A279,'Daniel'!$F$6:$F$300,"Concluído")+COUNTIFS('Fernando'!$B$6:$B$300,$A279,'Fernando'!$F$6:$F$300,"Concluído")+COUNTIFS('Stephanie'!$B$6:$B$300,$A279,'Stephanie'!$F$6:$F$300,"Concluído")+COUNTIFS('Fox'!$B$6:$B$300,$A279,'Fox'!$F$6:$F$300,"Concluído")+COUNTIFS('Bruna'!$B$6:$B$300,$A279,'Bruna'!$F$6:$F$300,"Concluído")+COUNTIFS('Stella'!$B$6:$B$300,$A279,'Stella'!$F$6:$F$300,"Concluído")+COUNTIFS('Igor'!$B$6:$B$300,$A279,'Igor'!$F$6:$F$300,"Concluído"))&amp;" / "&amp;(COUNTIF('Clarice'!$B$6:$B$300,$A279)+COUNTIF('Luisa'!$B$6:$B$300,$A279)+COUNTIF('Lui'!$B$6:$B$300,$A279)+COUNTIF('Thaís'!$B$6:$B$300,$A279)+COUNTIF('Daniel'!$B$6:$B$300,$A279)+COUNTIF('Fernando'!$B$6:$B$300,$A279)+COUNTIF('Stephanie'!$B$6:$B$300,$A279)+COUNTIF('Fox'!$B$6:$B$300,$A279)+COUNTIF('Bruna'!$B$6:$B$300,$A279)+COUNTIF('Stella'!$B$6:$B$300,$A279)+COUNTIF('Igor'!$B$6:$B$300,$A279)))</f>
        <v/>
      </c>
      <c r="K279" s="19" t="n"/>
      <c r="L279" s="19" t="n"/>
      <c r="M279" s="19" t="n"/>
      <c r="N279" s="19" t="n"/>
      <c r="O279" s="19" t="n"/>
      <c r="P279" s="20">
        <f>IF($A279="","",IF(M279&lt;&gt;"",M279,IF(K279&lt;&gt;"",K279,"")))</f>
        <v/>
      </c>
      <c r="Q279" s="20">
        <f>IF($A279="","",IF(N279&lt;&gt;"",N279,IF(L279&lt;&gt;"",L279,"")))</f>
        <v/>
      </c>
      <c r="R279" s="15" t="n"/>
      <c r="S279" s="16">
        <f t="array" ref="S279">IF($A279="","",_xlfn.TEXTJOIN(CHAR(10),TRUE,IF('Clarice'!$B$6:$B$300=$A279,"Clarice"&amp;IF('Clarice'!$E$6:$E$300="",""," : "&amp;'Clarice'!$E$6:$E$300)&amp;" ["&amp;'Clarice'!$F$6:$F$300&amp;"]",""),IF('Luisa'!$B$6:$B$300=$A279,"Luisa"&amp;IF('Luisa'!$E$6:$E$300="",""," : "&amp;'Luisa'!$E$6:$E$300)&amp;" ["&amp;'Luisa'!$F$6:$F$300&amp;"]",""),IF('Lui'!$B$6:$B$300=$A279,"Lui"&amp;IF('Lui'!$E$6:$E$300="",""," : "&amp;'Lui'!$E$6:$E$300)&amp;" ["&amp;'Lui'!$F$6:$F$300&amp;"]",""),IF('Thaís'!$B$6:$B$300=$A279,"Thaís"&amp;IF('Thaís'!$E$6:$E$300="",""," : "&amp;'Thaís'!$E$6:$E$300)&amp;" ["&amp;'Thaís'!$F$6:$F$300&amp;"]",""),IF('Daniel'!$B$6:$B$300=$A279,"Daniel"&amp;IF('Daniel'!$E$6:$E$300="",""," : "&amp;'Daniel'!$E$6:$E$300)&amp;" ["&amp;'Daniel'!$F$6:$F$300&amp;"]",""),IF('Fernando'!$B$6:$B$300=$A279,"Fernando"&amp;IF('Fernando'!$E$6:$E$300="",""," : "&amp;'Fernando'!$E$6:$E$300)&amp;" ["&amp;'Fernando'!$F$6:$F$300&amp;"]",""),IF('Stephanie'!$B$6:$B$300=$A279,"Stephanie"&amp;IF('Stephanie'!$E$6:$E$300="",""," : "&amp;'Stephanie'!$E$6:$E$300)&amp;" ["&amp;'Stephanie'!$F$6:$F$300&amp;"]",""),IF('Fox'!$B$6:$B$300=$A279,"Fox"&amp;IF('Fox'!$E$6:$E$300="",""," : "&amp;'Fox'!$E$6:$E$300)&amp;" ["&amp;'Fox'!$F$6:$F$300&amp;"]",""),IF('Bruna'!$B$6:$B$300=$A279,"Bruna"&amp;IF('Bruna'!$E$6:$E$300="",""," : "&amp;'Bruna'!$E$6:$E$300)&amp;" ["&amp;'Bruna'!$F$6:$F$300&amp;"]",""),IF('Stella'!$B$6:$B$300=$A279,"Stella"&amp;IF('Stella'!$E$6:$E$300="",""," : "&amp;'Stella'!$E$6:$E$300)&amp;" ["&amp;'Stella'!$F$6:$F$300&amp;"]",""),IF('Igor'!$B$6:$B$300=$A279,"Igor"&amp;IF('Igor'!$E$6:$E$300="",""," : "&amp;'Igor'!$E$6:$E$300)&amp;" ["&amp;'Igor'!$F$6:$F$300&amp;"]","")))</f>
        <v/>
      </c>
    </row>
    <row r="280">
      <c r="A280" s="21" t="n"/>
      <c r="B280" s="21" t="inlineStr"/>
      <c r="C280" s="21" t="inlineStr">
        <is>
          <t>Relatório aplicação das métricas (produto 4)</t>
        </is>
      </c>
      <c r="D280" s="21" t="inlineStr">
        <is>
          <t>Redação do relatório</t>
        </is>
      </c>
      <c r="E280" s="21" t="inlineStr">
        <is>
          <t>Redação do relatório</t>
        </is>
      </c>
      <c r="F280" s="21" t="n"/>
      <c r="G280" s="21">
        <f>IF($A280="","",_xlfn.TEXTJOIN("; ",TRUE,IF(COUNTIF('Clarice'!$B$6:$B$300,$A280)&gt;0,"Clarice",""),IF(COUNTIF('Luisa'!$B$6:$B$300,$A280)&gt;0,"Luisa",""),IF(COUNTIF('Lui'!$B$6:$B$300,$A280)&gt;0,"Lui",""),IF(COUNTIF('Thaís'!$B$6:$B$300,$A280)&gt;0,"Thaís",""),IF(COUNTIF('Daniel'!$B$6:$B$300,$A280)&gt;0,"Daniel",""),IF(COUNTIF('Fernando'!$B$6:$B$300,$A280)&gt;0,"Fernando",""),IF(COUNTIF('Stephanie'!$B$6:$B$300,$A280)&gt;0,"Stephanie",""),IF(COUNTIF('Fox'!$B$6:$B$300,$A280)&gt;0,"Fox",""),IF(COUNTIF('Bruna'!$B$6:$B$300,$A280)&gt;0,"Bruna",""),IF(COUNTIF('Stella'!$B$6:$B$300,$A280)&gt;0,"Stella",""),IF(COUNTIF('Igor'!$B$6:$B$300,$A280)&gt;0,"Igor","")))</f>
        <v/>
      </c>
      <c r="H280" s="21" t="n"/>
      <c r="I280" s="21" t="n"/>
      <c r="J280" s="21">
        <f>IF(OR($A280="",(COUNTIF('Clarice'!$B$6:$B$300,$A280)+COUNTIF('Luisa'!$B$6:$B$300,$A280)+COUNTIF('Lui'!$B$6:$B$300,$A280)+COUNTIF('Thaís'!$B$6:$B$300,$A280)+COUNTIF('Daniel'!$B$6:$B$300,$A280)+COUNTIF('Fernando'!$B$6:$B$300,$A280)+COUNTIF('Stephanie'!$B$6:$B$300,$A280)+COUNTIF('Fox'!$B$6:$B$300,$A280)+COUNTIF('Bruna'!$B$6:$B$300,$A280)+COUNTIF('Stella'!$B$6:$B$300,$A280)+COUNTIF('Igor'!$B$6:$B$300,$A280))=0),"",(COUNTIFS('Clarice'!$B$6:$B$300,$A280,'Clarice'!$F$6:$F$300,"Concluído")+COUNTIFS('Luisa'!$B$6:$B$300,$A280,'Luisa'!$F$6:$F$300,"Concluído")+COUNTIFS('Lui'!$B$6:$B$300,$A280,'Lui'!$F$6:$F$300,"Concluído")+COUNTIFS('Thaís'!$B$6:$B$300,$A280,'Thaís'!$F$6:$F$300,"Concluído")+COUNTIFS('Daniel'!$B$6:$B$300,$A280,'Daniel'!$F$6:$F$300,"Concluído")+COUNTIFS('Fernando'!$B$6:$B$300,$A280,'Fernando'!$F$6:$F$300,"Concluído")+COUNTIFS('Stephanie'!$B$6:$B$300,$A280,'Stephanie'!$F$6:$F$300,"Concluído")+COUNTIFS('Fox'!$B$6:$B$300,$A280,'Fox'!$F$6:$F$300,"Concluído")+COUNTIFS('Bruna'!$B$6:$B$300,$A280,'Bruna'!$F$6:$F$300,"Concluído")+COUNTIFS('Stella'!$B$6:$B$300,$A280,'Stella'!$F$6:$F$300,"Concluído")+COUNTIFS('Igor'!$B$6:$B$300,$A280,'Igor'!$F$6:$F$300,"Concluído"))&amp;" / "&amp;(COUNTIF('Clarice'!$B$6:$B$300,$A280)+COUNTIF('Luisa'!$B$6:$B$300,$A280)+COUNTIF('Lui'!$B$6:$B$300,$A280)+COUNTIF('Thaís'!$B$6:$B$300,$A280)+COUNTIF('Daniel'!$B$6:$B$300,$A280)+COUNTIF('Fernando'!$B$6:$B$300,$A280)+COUNTIF('Stephanie'!$B$6:$B$300,$A280)+COUNTIF('Fox'!$B$6:$B$300,$A280)+COUNTIF('Bruna'!$B$6:$B$300,$A280)+COUNTIF('Stella'!$B$6:$B$300,$A280)+COUNTIF('Igor'!$B$6:$B$300,$A280)))</f>
        <v/>
      </c>
      <c r="K280" s="21" t="n"/>
      <c r="L280" s="21" t="n"/>
      <c r="M280" s="21" t="n"/>
      <c r="N280" s="21" t="n"/>
      <c r="O280" s="21" t="n"/>
      <c r="P280" s="22">
        <f>IF($A280="","",IF(M280&lt;&gt;"",M280,IF(K280&lt;&gt;"",K280,"")))</f>
        <v/>
      </c>
      <c r="Q280" s="22">
        <f>IF($A280="","",IF(N280&lt;&gt;"",N280,IF(L280&lt;&gt;"",L280,"")))</f>
        <v/>
      </c>
      <c r="R280" s="21" t="n"/>
      <c r="S280" s="21">
        <f t="array" ref="S280">IF($A280="","",_xlfn.TEXTJOIN(CHAR(10),TRUE,IF('Clarice'!$B$6:$B$300=$A280,"Clarice"&amp;IF('Clarice'!$E$6:$E$300="",""," : "&amp;'Clarice'!$E$6:$E$300)&amp;" ["&amp;'Clarice'!$F$6:$F$300&amp;"]",""),IF('Luisa'!$B$6:$B$300=$A280,"Luisa"&amp;IF('Luisa'!$E$6:$E$300="",""," : "&amp;'Luisa'!$E$6:$E$300)&amp;" ["&amp;'Luisa'!$F$6:$F$300&amp;"]",""),IF('Lui'!$B$6:$B$300=$A280,"Lui"&amp;IF('Lui'!$E$6:$E$300="",""," : "&amp;'Lui'!$E$6:$E$300)&amp;" ["&amp;'Lui'!$F$6:$F$300&amp;"]",""),IF('Thaís'!$B$6:$B$300=$A280,"Thaís"&amp;IF('Thaís'!$E$6:$E$300="",""," : "&amp;'Thaís'!$E$6:$E$300)&amp;" ["&amp;'Thaís'!$F$6:$F$300&amp;"]",""),IF('Daniel'!$B$6:$B$300=$A280,"Daniel"&amp;IF('Daniel'!$E$6:$E$300="",""," : "&amp;'Daniel'!$E$6:$E$300)&amp;" ["&amp;'Daniel'!$F$6:$F$300&amp;"]",""),IF('Fernando'!$B$6:$B$300=$A280,"Fernando"&amp;IF('Fernando'!$E$6:$E$300="",""," : "&amp;'Fernando'!$E$6:$E$300)&amp;" ["&amp;'Fernando'!$F$6:$F$300&amp;"]",""),IF('Stephanie'!$B$6:$B$300=$A280,"Stephanie"&amp;IF('Stephanie'!$E$6:$E$300="",""," : "&amp;'Stephanie'!$E$6:$E$300)&amp;" ["&amp;'Stephanie'!$F$6:$F$300&amp;"]",""),IF('Fox'!$B$6:$B$300=$A280,"Fox"&amp;IF('Fox'!$E$6:$E$300="",""," : "&amp;'Fox'!$E$6:$E$300)&amp;" ["&amp;'Fox'!$F$6:$F$300&amp;"]",""),IF('Bruna'!$B$6:$B$300=$A280,"Bruna"&amp;IF('Bruna'!$E$6:$E$300="",""," : "&amp;'Bruna'!$E$6:$E$300)&amp;" ["&amp;'Bruna'!$F$6:$F$300&amp;"]",""),IF('Stella'!$B$6:$B$300=$A280,"Stella"&amp;IF('Stella'!$E$6:$E$300="",""," : "&amp;'Stella'!$E$6:$E$300)&amp;" ["&amp;'Stella'!$F$6:$F$300&amp;"]",""),IF('Igor'!$B$6:$B$300=$A280,"Igor"&amp;IF('Igor'!$E$6:$E$300="",""," : "&amp;'Igor'!$E$6:$E$300)&amp;" ["&amp;'Igor'!$F$6:$F$300&amp;"]","")))</f>
        <v/>
      </c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21" t="n"/>
      <c r="AI280" s="21" t="n"/>
      <c r="AJ280" s="21" t="n"/>
      <c r="AK280" s="21" t="n"/>
      <c r="AL280" s="21" t="n"/>
      <c r="AM280" s="21" t="n"/>
      <c r="AN280" s="21" t="n"/>
      <c r="AO280" s="21" t="n"/>
      <c r="AP280" s="21" t="n"/>
      <c r="AQ280" s="21" t="n"/>
      <c r="AR280" s="21" t="n"/>
      <c r="AS280" s="21" t="n"/>
      <c r="AT280" s="21" t="n"/>
      <c r="AU280" s="21" t="n"/>
      <c r="AV280" s="21" t="n"/>
      <c r="AW280" s="21" t="n"/>
      <c r="AX280" s="21" t="n"/>
      <c r="AY280" s="21" t="n"/>
      <c r="AZ280" s="21" t="n"/>
      <c r="BA280" s="21" t="n"/>
      <c r="BB280" s="21" t="n"/>
      <c r="BC280" s="21" t="n"/>
      <c r="BD280" s="21" t="n"/>
      <c r="BE280" s="21" t="n"/>
      <c r="BF280" s="21" t="n"/>
      <c r="BG280" s="21" t="n"/>
      <c r="BH280" s="21" t="n"/>
      <c r="BI280" s="21" t="n"/>
    </row>
    <row r="281" ht="140.5" customHeight="1">
      <c r="A281" s="13" t="inlineStr">
        <is>
          <t>P4-025</t>
        </is>
      </c>
      <c r="B281" s="14" t="inlineStr"/>
      <c r="C281" s="14" t="inlineStr">
        <is>
          <t>Relatório aplicação das métricas (produto 4)</t>
        </is>
      </c>
      <c r="D281" s="14" t="inlineStr">
        <is>
          <t>Redação do relatório</t>
        </is>
      </c>
      <c r="E281" s="15" t="inlineStr">
        <is>
          <t>Definir a estrutura do relatório</t>
        </is>
      </c>
      <c r="F281" s="13" t="n"/>
      <c r="G281" s="16">
        <f>IF($A281="","",_xlfn.TEXTJOIN("; ",TRUE,IF(COUNTIF('Clarice'!$B$6:$B$300,$A281)&gt;0,"Clarice",""),IF(COUNTIF('Luisa'!$B$6:$B$300,$A281)&gt;0,"Luisa",""),IF(COUNTIF('Lui'!$B$6:$B$300,$A281)&gt;0,"Lui",""),IF(COUNTIF('Thaís'!$B$6:$B$300,$A281)&gt;0,"Thaís",""),IF(COUNTIF('Daniel'!$B$6:$B$300,$A281)&gt;0,"Daniel",""),IF(COUNTIF('Fernando'!$B$6:$B$300,$A281)&gt;0,"Fernando",""),IF(COUNTIF('Stephanie'!$B$6:$B$300,$A281)&gt;0,"Stephanie",""),IF(COUNTIF('Fox'!$B$6:$B$300,$A281)&gt;0,"Fox",""),IF(COUNTIF('Bruna'!$B$6:$B$300,$A281)&gt;0,"Bruna",""),IF(COUNTIF('Stella'!$B$6:$B$300,$A281)&gt;0,"Stella",""),IF(COUNTIF('Igor'!$B$6:$B$300,$A281)&gt;0,"Igor","")))</f>
        <v/>
      </c>
      <c r="H281" s="13" t="n"/>
      <c r="I281" s="13" t="inlineStr">
        <is>
          <t>Não iniciado</t>
        </is>
      </c>
      <c r="J281" s="17">
        <f>IF(OR($A281="",(COUNTIF('Clarice'!$B$6:$B$300,$A281)+COUNTIF('Luisa'!$B$6:$B$300,$A281)+COUNTIF('Lui'!$B$6:$B$300,$A281)+COUNTIF('Thaís'!$B$6:$B$300,$A281)+COUNTIF('Daniel'!$B$6:$B$300,$A281)+COUNTIF('Fernando'!$B$6:$B$300,$A281)+COUNTIF('Stephanie'!$B$6:$B$300,$A281)+COUNTIF('Fox'!$B$6:$B$300,$A281)+COUNTIF('Bruna'!$B$6:$B$300,$A281)+COUNTIF('Stella'!$B$6:$B$300,$A281)+COUNTIF('Igor'!$B$6:$B$300,$A281))=0),"",(COUNTIFS('Clarice'!$B$6:$B$300,$A281,'Clarice'!$F$6:$F$300,"Concluído")+COUNTIFS('Luisa'!$B$6:$B$300,$A281,'Luisa'!$F$6:$F$300,"Concluído")+COUNTIFS('Lui'!$B$6:$B$300,$A281,'Lui'!$F$6:$F$300,"Concluído")+COUNTIFS('Thaís'!$B$6:$B$300,$A281,'Thaís'!$F$6:$F$300,"Concluído")+COUNTIFS('Daniel'!$B$6:$B$300,$A281,'Daniel'!$F$6:$F$300,"Concluído")+COUNTIFS('Fernando'!$B$6:$B$300,$A281,'Fernando'!$F$6:$F$300,"Concluído")+COUNTIFS('Stephanie'!$B$6:$B$300,$A281,'Stephanie'!$F$6:$F$300,"Concluído")+COUNTIFS('Fox'!$B$6:$B$300,$A281,'Fox'!$F$6:$F$300,"Concluído")+COUNTIFS('Bruna'!$B$6:$B$300,$A281,'Bruna'!$F$6:$F$300,"Concluído")+COUNTIFS('Stella'!$B$6:$B$300,$A281,'Stella'!$F$6:$F$300,"Concluído")+COUNTIFS('Igor'!$B$6:$B$300,$A281,'Igor'!$F$6:$F$300,"Concluído"))&amp;" / "&amp;(COUNTIF('Clarice'!$B$6:$B$300,$A281)+COUNTIF('Luisa'!$B$6:$B$300,$A281)+COUNTIF('Lui'!$B$6:$B$300,$A281)+COUNTIF('Thaís'!$B$6:$B$300,$A281)+COUNTIF('Daniel'!$B$6:$B$300,$A281)+COUNTIF('Fernando'!$B$6:$B$300,$A281)+COUNTIF('Stephanie'!$B$6:$B$300,$A281)+COUNTIF('Fox'!$B$6:$B$300,$A281)+COUNTIF('Bruna'!$B$6:$B$300,$A281)+COUNTIF('Stella'!$B$6:$B$300,$A281)+COUNTIF('Igor'!$B$6:$B$300,$A281)))</f>
        <v/>
      </c>
      <c r="K281" s="19" t="n"/>
      <c r="L281" s="19" t="n"/>
      <c r="M281" s="19" t="n"/>
      <c r="N281" s="19" t="n"/>
      <c r="O281" s="19" t="n"/>
      <c r="P281" s="20">
        <f>IF($A281="","",IF(M281&lt;&gt;"",M281,IF(K281&lt;&gt;"",K281,"")))</f>
        <v/>
      </c>
      <c r="Q281" s="20">
        <f>IF($A281="","",IF(N281&lt;&gt;"",N281,IF(L281&lt;&gt;"",L281,"")))</f>
        <v/>
      </c>
      <c r="R281" s="15" t="inlineStr">
        <is>
          <t>introdução
	- vamos aplicar as 3 métricas para as 3 unidades (citar os relatórios)
métodos
	- apresentar os métodos das 3 métricas (uma parte comum para as 3 unidades e outra para as particularidades de cada unidade)
resultados
	- apresentar os resultados por métrica (e os detalhes por unidade)
discussão
	- agregar os resultados</t>
        </is>
      </c>
      <c r="S281" s="16">
        <f t="array" ref="S281">IF($A281="","",_xlfn.TEXTJOIN(CHAR(10),TRUE,IF('Clarice'!$B$6:$B$300=$A281,"Clarice"&amp;IF('Clarice'!$E$6:$E$300="",""," : "&amp;'Clarice'!$E$6:$E$300)&amp;" ["&amp;'Clarice'!$F$6:$F$300&amp;"]",""),IF('Luisa'!$B$6:$B$300=$A281,"Luisa"&amp;IF('Luisa'!$E$6:$E$300="",""," : "&amp;'Luisa'!$E$6:$E$300)&amp;" ["&amp;'Luisa'!$F$6:$F$300&amp;"]",""),IF('Lui'!$B$6:$B$300=$A281,"Lui"&amp;IF('Lui'!$E$6:$E$300="",""," : "&amp;'Lui'!$E$6:$E$300)&amp;" ["&amp;'Lui'!$F$6:$F$300&amp;"]",""),IF('Thaís'!$B$6:$B$300=$A281,"Thaís"&amp;IF('Thaís'!$E$6:$E$300="",""," : "&amp;'Thaís'!$E$6:$E$300)&amp;" ["&amp;'Thaís'!$F$6:$F$300&amp;"]",""),IF('Daniel'!$B$6:$B$300=$A281,"Daniel"&amp;IF('Daniel'!$E$6:$E$300="",""," : "&amp;'Daniel'!$E$6:$E$300)&amp;" ["&amp;'Daniel'!$F$6:$F$300&amp;"]",""),IF('Fernando'!$B$6:$B$300=$A281,"Fernando"&amp;IF('Fernando'!$E$6:$E$300="",""," : "&amp;'Fernando'!$E$6:$E$300)&amp;" ["&amp;'Fernando'!$F$6:$F$300&amp;"]",""),IF('Stephanie'!$B$6:$B$300=$A281,"Stephanie"&amp;IF('Stephanie'!$E$6:$E$300="",""," : "&amp;'Stephanie'!$E$6:$E$300)&amp;" ["&amp;'Stephanie'!$F$6:$F$300&amp;"]",""),IF('Fox'!$B$6:$B$300=$A281,"Fox"&amp;IF('Fox'!$E$6:$E$300="",""," : "&amp;'Fox'!$E$6:$E$300)&amp;" ["&amp;'Fox'!$F$6:$F$300&amp;"]",""),IF('Bruna'!$B$6:$B$300=$A281,"Bruna"&amp;IF('Bruna'!$E$6:$E$300="",""," : "&amp;'Bruna'!$E$6:$E$300)&amp;" ["&amp;'Bruna'!$F$6:$F$300&amp;"]",""),IF('Stella'!$B$6:$B$300=$A281,"Stella"&amp;IF('Stella'!$E$6:$E$300="",""," : "&amp;'Stella'!$E$6:$E$300)&amp;" ["&amp;'Stella'!$F$6:$F$300&amp;"]",""),IF('Igor'!$B$6:$B$300=$A281,"Igor"&amp;IF('Igor'!$E$6:$E$300="",""," : "&amp;'Igor'!$E$6:$E$300)&amp;" ["&amp;'Igor'!$F$6:$F$300&amp;"]","")))</f>
        <v/>
      </c>
    </row>
    <row r="282" ht="15.5" customHeight="1">
      <c r="A282" s="13" t="inlineStr">
        <is>
          <t>P4-026</t>
        </is>
      </c>
      <c r="B282" s="14" t="inlineStr"/>
      <c r="C282" s="14" t="inlineStr">
        <is>
          <t>Relatório aplicação das métricas (produto 4)</t>
        </is>
      </c>
      <c r="D282" s="14" t="inlineStr">
        <is>
          <t>Redação do relatório</t>
        </is>
      </c>
      <c r="E282" s="15" t="inlineStr">
        <is>
          <t>Redigir introdução</t>
        </is>
      </c>
      <c r="F282" s="13" t="n"/>
      <c r="G282" s="16">
        <f>IF($A282="","",_xlfn.TEXTJOIN("; ",TRUE,IF(COUNTIF('Clarice'!$B$6:$B$300,$A282)&gt;0,"Clarice",""),IF(COUNTIF('Luisa'!$B$6:$B$300,$A282)&gt;0,"Luisa",""),IF(COUNTIF('Lui'!$B$6:$B$300,$A282)&gt;0,"Lui",""),IF(COUNTIF('Thaís'!$B$6:$B$300,$A282)&gt;0,"Thaís",""),IF(COUNTIF('Daniel'!$B$6:$B$300,$A282)&gt;0,"Daniel",""),IF(COUNTIF('Fernando'!$B$6:$B$300,$A282)&gt;0,"Fernando",""),IF(COUNTIF('Stephanie'!$B$6:$B$300,$A282)&gt;0,"Stephanie",""),IF(COUNTIF('Fox'!$B$6:$B$300,$A282)&gt;0,"Fox",""),IF(COUNTIF('Bruna'!$B$6:$B$300,$A282)&gt;0,"Bruna",""),IF(COUNTIF('Stella'!$B$6:$B$300,$A282)&gt;0,"Stella",""),IF(COUNTIF('Igor'!$B$6:$B$300,$A282)&gt;0,"Igor","")))</f>
        <v/>
      </c>
      <c r="H282" s="13" t="n"/>
      <c r="I282" s="13" t="inlineStr">
        <is>
          <t>Não iniciado</t>
        </is>
      </c>
      <c r="J282" s="17">
        <f>IF(OR($A282="",(COUNTIF('Clarice'!$B$6:$B$300,$A282)+COUNTIF('Luisa'!$B$6:$B$300,$A282)+COUNTIF('Lui'!$B$6:$B$300,$A282)+COUNTIF('Thaís'!$B$6:$B$300,$A282)+COUNTIF('Daniel'!$B$6:$B$300,$A282)+COUNTIF('Fernando'!$B$6:$B$300,$A282)+COUNTIF('Stephanie'!$B$6:$B$300,$A282)+COUNTIF('Fox'!$B$6:$B$300,$A282)+COUNTIF('Bruna'!$B$6:$B$300,$A282)+COUNTIF('Stella'!$B$6:$B$300,$A282)+COUNTIF('Igor'!$B$6:$B$300,$A282))=0),"",(COUNTIFS('Clarice'!$B$6:$B$300,$A282,'Clarice'!$F$6:$F$300,"Concluído")+COUNTIFS('Luisa'!$B$6:$B$300,$A282,'Luisa'!$F$6:$F$300,"Concluído")+COUNTIFS('Lui'!$B$6:$B$300,$A282,'Lui'!$F$6:$F$300,"Concluído")+COUNTIFS('Thaís'!$B$6:$B$300,$A282,'Thaís'!$F$6:$F$300,"Concluído")+COUNTIFS('Daniel'!$B$6:$B$300,$A282,'Daniel'!$F$6:$F$300,"Concluído")+COUNTIFS('Fernando'!$B$6:$B$300,$A282,'Fernando'!$F$6:$F$300,"Concluído")+COUNTIFS('Stephanie'!$B$6:$B$300,$A282,'Stephanie'!$F$6:$F$300,"Concluído")+COUNTIFS('Fox'!$B$6:$B$300,$A282,'Fox'!$F$6:$F$300,"Concluído")+COUNTIFS('Bruna'!$B$6:$B$300,$A282,'Bruna'!$F$6:$F$300,"Concluído")+COUNTIFS('Stella'!$B$6:$B$300,$A282,'Stella'!$F$6:$F$300,"Concluído")+COUNTIFS('Igor'!$B$6:$B$300,$A282,'Igor'!$F$6:$F$300,"Concluído"))&amp;" / "&amp;(COUNTIF('Clarice'!$B$6:$B$300,$A282)+COUNTIF('Luisa'!$B$6:$B$300,$A282)+COUNTIF('Lui'!$B$6:$B$300,$A282)+COUNTIF('Thaís'!$B$6:$B$300,$A282)+COUNTIF('Daniel'!$B$6:$B$300,$A282)+COUNTIF('Fernando'!$B$6:$B$300,$A282)+COUNTIF('Stephanie'!$B$6:$B$300,$A282)+COUNTIF('Fox'!$B$6:$B$300,$A282)+COUNTIF('Bruna'!$B$6:$B$300,$A282)+COUNTIF('Stella'!$B$6:$B$300,$A282)+COUNTIF('Igor'!$B$6:$B$300,$A282)))</f>
        <v/>
      </c>
      <c r="K282" s="19" t="n"/>
      <c r="L282" s="19" t="n"/>
      <c r="M282" s="19" t="n"/>
      <c r="N282" s="19" t="n"/>
      <c r="O282" s="19" t="n"/>
      <c r="P282" s="20">
        <f>IF($A282="","",IF(M282&lt;&gt;"",M282,IF(K282&lt;&gt;"",K282,"")))</f>
        <v/>
      </c>
      <c r="Q282" s="20">
        <f>IF($A282="","",IF(N282&lt;&gt;"",N282,IF(L282&lt;&gt;"",L282,"")))</f>
        <v/>
      </c>
      <c r="R282" s="15" t="n"/>
      <c r="S282" s="16">
        <f t="array" ref="S282">IF($A282="","",_xlfn.TEXTJOIN(CHAR(10),TRUE,IF('Clarice'!$B$6:$B$300=$A282,"Clarice"&amp;IF('Clarice'!$E$6:$E$300="",""," : "&amp;'Clarice'!$E$6:$E$300)&amp;" ["&amp;'Clarice'!$F$6:$F$300&amp;"]",""),IF('Luisa'!$B$6:$B$300=$A282,"Luisa"&amp;IF('Luisa'!$E$6:$E$300="",""," : "&amp;'Luisa'!$E$6:$E$300)&amp;" ["&amp;'Luisa'!$F$6:$F$300&amp;"]",""),IF('Lui'!$B$6:$B$300=$A282,"Lui"&amp;IF('Lui'!$E$6:$E$300="",""," : "&amp;'Lui'!$E$6:$E$300)&amp;" ["&amp;'Lui'!$F$6:$F$300&amp;"]",""),IF('Thaís'!$B$6:$B$300=$A282,"Thaís"&amp;IF('Thaís'!$E$6:$E$300="",""," : "&amp;'Thaís'!$E$6:$E$300)&amp;" ["&amp;'Thaís'!$F$6:$F$300&amp;"]",""),IF('Daniel'!$B$6:$B$300=$A282,"Daniel"&amp;IF('Daniel'!$E$6:$E$300="",""," : "&amp;'Daniel'!$E$6:$E$300)&amp;" ["&amp;'Daniel'!$F$6:$F$300&amp;"]",""),IF('Fernando'!$B$6:$B$300=$A282,"Fernando"&amp;IF('Fernando'!$E$6:$E$300="",""," : "&amp;'Fernando'!$E$6:$E$300)&amp;" ["&amp;'Fernando'!$F$6:$F$300&amp;"]",""),IF('Stephanie'!$B$6:$B$300=$A282,"Stephanie"&amp;IF('Stephanie'!$E$6:$E$300="",""," : "&amp;'Stephanie'!$E$6:$E$300)&amp;" ["&amp;'Stephanie'!$F$6:$F$300&amp;"]",""),IF('Fox'!$B$6:$B$300=$A282,"Fox"&amp;IF('Fox'!$E$6:$E$300="",""," : "&amp;'Fox'!$E$6:$E$300)&amp;" ["&amp;'Fox'!$F$6:$F$300&amp;"]",""),IF('Bruna'!$B$6:$B$300=$A282,"Bruna"&amp;IF('Bruna'!$E$6:$E$300="",""," : "&amp;'Bruna'!$E$6:$E$300)&amp;" ["&amp;'Bruna'!$F$6:$F$300&amp;"]",""),IF('Stella'!$B$6:$B$300=$A282,"Stella"&amp;IF('Stella'!$E$6:$E$300="",""," : "&amp;'Stella'!$E$6:$E$300)&amp;" ["&amp;'Stella'!$F$6:$F$300&amp;"]",""),IF('Igor'!$B$6:$B$300=$A282,"Igor"&amp;IF('Igor'!$E$6:$E$300="",""," : "&amp;'Igor'!$E$6:$E$300)&amp;" ["&amp;'Igor'!$F$6:$F$300&amp;"]","")))</f>
        <v/>
      </c>
    </row>
    <row r="283" ht="15.5" customHeight="1">
      <c r="A283" s="13" t="inlineStr">
        <is>
          <t>P4-027</t>
        </is>
      </c>
      <c r="B283" s="14" t="inlineStr"/>
      <c r="C283" s="14" t="inlineStr">
        <is>
          <t>Relatório aplicação das métricas (produto 4)</t>
        </is>
      </c>
      <c r="D283" s="14" t="inlineStr">
        <is>
          <t>Redação do relatório</t>
        </is>
      </c>
      <c r="E283" s="15" t="inlineStr">
        <is>
          <t>Redigir a discussão dos resultados agregados</t>
        </is>
      </c>
      <c r="F283" s="13" t="n"/>
      <c r="G283" s="16">
        <f>IF($A283="","",_xlfn.TEXTJOIN("; ",TRUE,IF(COUNTIF('Clarice'!$B$6:$B$300,$A283)&gt;0,"Clarice",""),IF(COUNTIF('Luisa'!$B$6:$B$300,$A283)&gt;0,"Luisa",""),IF(COUNTIF('Lui'!$B$6:$B$300,$A283)&gt;0,"Lui",""),IF(COUNTIF('Thaís'!$B$6:$B$300,$A283)&gt;0,"Thaís",""),IF(COUNTIF('Daniel'!$B$6:$B$300,$A283)&gt;0,"Daniel",""),IF(COUNTIF('Fernando'!$B$6:$B$300,$A283)&gt;0,"Fernando",""),IF(COUNTIF('Stephanie'!$B$6:$B$300,$A283)&gt;0,"Stephanie",""),IF(COUNTIF('Fox'!$B$6:$B$300,$A283)&gt;0,"Fox",""),IF(COUNTIF('Bruna'!$B$6:$B$300,$A283)&gt;0,"Bruna",""),IF(COUNTIF('Stella'!$B$6:$B$300,$A283)&gt;0,"Stella",""),IF(COUNTIF('Igor'!$B$6:$B$300,$A283)&gt;0,"Igor","")))</f>
        <v/>
      </c>
      <c r="H283" s="13" t="n"/>
      <c r="I283" s="13" t="inlineStr">
        <is>
          <t>Não iniciado</t>
        </is>
      </c>
      <c r="J283" s="17">
        <f>IF(OR($A283="",(COUNTIF('Clarice'!$B$6:$B$300,$A283)+COUNTIF('Luisa'!$B$6:$B$300,$A283)+COUNTIF('Lui'!$B$6:$B$300,$A283)+COUNTIF('Thaís'!$B$6:$B$300,$A283)+COUNTIF('Daniel'!$B$6:$B$300,$A283)+COUNTIF('Fernando'!$B$6:$B$300,$A283)+COUNTIF('Stephanie'!$B$6:$B$300,$A283)+COUNTIF('Fox'!$B$6:$B$300,$A283)+COUNTIF('Bruna'!$B$6:$B$300,$A283)+COUNTIF('Stella'!$B$6:$B$300,$A283)+COUNTIF('Igor'!$B$6:$B$300,$A283))=0),"",(COUNTIFS('Clarice'!$B$6:$B$300,$A283,'Clarice'!$F$6:$F$300,"Concluído")+COUNTIFS('Luisa'!$B$6:$B$300,$A283,'Luisa'!$F$6:$F$300,"Concluído")+COUNTIFS('Lui'!$B$6:$B$300,$A283,'Lui'!$F$6:$F$300,"Concluído")+COUNTIFS('Thaís'!$B$6:$B$300,$A283,'Thaís'!$F$6:$F$300,"Concluído")+COUNTIFS('Daniel'!$B$6:$B$300,$A283,'Daniel'!$F$6:$F$300,"Concluído")+COUNTIFS('Fernando'!$B$6:$B$300,$A283,'Fernando'!$F$6:$F$300,"Concluído")+COUNTIFS('Stephanie'!$B$6:$B$300,$A283,'Stephanie'!$F$6:$F$300,"Concluído")+COUNTIFS('Fox'!$B$6:$B$300,$A283,'Fox'!$F$6:$F$300,"Concluído")+COUNTIFS('Bruna'!$B$6:$B$300,$A283,'Bruna'!$F$6:$F$300,"Concluído")+COUNTIFS('Stella'!$B$6:$B$300,$A283,'Stella'!$F$6:$F$300,"Concluído")+COUNTIFS('Igor'!$B$6:$B$300,$A283,'Igor'!$F$6:$F$300,"Concluído"))&amp;" / "&amp;(COUNTIF('Clarice'!$B$6:$B$300,$A283)+COUNTIF('Luisa'!$B$6:$B$300,$A283)+COUNTIF('Lui'!$B$6:$B$300,$A283)+COUNTIF('Thaís'!$B$6:$B$300,$A283)+COUNTIF('Daniel'!$B$6:$B$300,$A283)+COUNTIF('Fernando'!$B$6:$B$300,$A283)+COUNTIF('Stephanie'!$B$6:$B$300,$A283)+COUNTIF('Fox'!$B$6:$B$300,$A283)+COUNTIF('Bruna'!$B$6:$B$300,$A283)+COUNTIF('Stella'!$B$6:$B$300,$A283)+COUNTIF('Igor'!$B$6:$B$300,$A283)))</f>
        <v/>
      </c>
      <c r="K283" s="19" t="n"/>
      <c r="L283" s="19" t="n"/>
      <c r="M283" s="19" t="n"/>
      <c r="N283" s="19" t="n"/>
      <c r="O283" s="19" t="n"/>
      <c r="P283" s="20">
        <f>IF($A283="","",IF(M283&lt;&gt;"",M283,IF(K283&lt;&gt;"",K283,"")))</f>
        <v/>
      </c>
      <c r="Q283" s="20">
        <f>IF($A283="","",IF(N283&lt;&gt;"",N283,IF(L283&lt;&gt;"",L283,"")))</f>
        <v/>
      </c>
      <c r="R283" s="15" t="n"/>
      <c r="S283" s="16">
        <f t="array" ref="S283">IF($A283="","",_xlfn.TEXTJOIN(CHAR(10),TRUE,IF('Clarice'!$B$6:$B$300=$A283,"Clarice"&amp;IF('Clarice'!$E$6:$E$300="",""," : "&amp;'Clarice'!$E$6:$E$300)&amp;" ["&amp;'Clarice'!$F$6:$F$300&amp;"]",""),IF('Luisa'!$B$6:$B$300=$A283,"Luisa"&amp;IF('Luisa'!$E$6:$E$300="",""," : "&amp;'Luisa'!$E$6:$E$300)&amp;" ["&amp;'Luisa'!$F$6:$F$300&amp;"]",""),IF('Lui'!$B$6:$B$300=$A283,"Lui"&amp;IF('Lui'!$E$6:$E$300="",""," : "&amp;'Lui'!$E$6:$E$300)&amp;" ["&amp;'Lui'!$F$6:$F$300&amp;"]",""),IF('Thaís'!$B$6:$B$300=$A283,"Thaís"&amp;IF('Thaís'!$E$6:$E$300="",""," : "&amp;'Thaís'!$E$6:$E$300)&amp;" ["&amp;'Thaís'!$F$6:$F$300&amp;"]",""),IF('Daniel'!$B$6:$B$300=$A283,"Daniel"&amp;IF('Daniel'!$E$6:$E$300="",""," : "&amp;'Daniel'!$E$6:$E$300)&amp;" ["&amp;'Daniel'!$F$6:$F$300&amp;"]",""),IF('Fernando'!$B$6:$B$300=$A283,"Fernando"&amp;IF('Fernando'!$E$6:$E$300="",""," : "&amp;'Fernando'!$E$6:$E$300)&amp;" ["&amp;'Fernando'!$F$6:$F$300&amp;"]",""),IF('Stephanie'!$B$6:$B$300=$A283,"Stephanie"&amp;IF('Stephanie'!$E$6:$E$300="",""," : "&amp;'Stephanie'!$E$6:$E$300)&amp;" ["&amp;'Stephanie'!$F$6:$F$300&amp;"]",""),IF('Fox'!$B$6:$B$300=$A283,"Fox"&amp;IF('Fox'!$E$6:$E$300="",""," : "&amp;'Fox'!$E$6:$E$300)&amp;" ["&amp;'Fox'!$F$6:$F$300&amp;"]",""),IF('Bruna'!$B$6:$B$300=$A283,"Bruna"&amp;IF('Bruna'!$E$6:$E$300="",""," : "&amp;'Bruna'!$E$6:$E$300)&amp;" ["&amp;'Bruna'!$F$6:$F$300&amp;"]",""),IF('Stella'!$B$6:$B$300=$A283,"Stella"&amp;IF('Stella'!$E$6:$E$300="",""," : "&amp;'Stella'!$E$6:$E$300)&amp;" ["&amp;'Stella'!$F$6:$F$300&amp;"]",""),IF('Igor'!$B$6:$B$300=$A283,"Igor"&amp;IF('Igor'!$E$6:$E$300="",""," : "&amp;'Igor'!$E$6:$E$300)&amp;" ["&amp;'Igor'!$F$6:$F$300&amp;"]","")))</f>
        <v/>
      </c>
    </row>
    <row r="284" ht="15.5" customHeight="1">
      <c r="A284" s="13" t="inlineStr">
        <is>
          <t>P4-028</t>
        </is>
      </c>
      <c r="B284" s="14" t="inlineStr"/>
      <c r="C284" s="14" t="inlineStr">
        <is>
          <t>Relatório aplicação das métricas (produto 4)</t>
        </is>
      </c>
      <c r="D284" s="14" t="inlineStr">
        <is>
          <t>Redação do relatório</t>
        </is>
      </c>
      <c r="E284" s="15" t="inlineStr">
        <is>
          <t>Revisão coordenação geral</t>
        </is>
      </c>
      <c r="F284" s="13" t="n"/>
      <c r="G284" s="16">
        <f>IF($A284="","",_xlfn.TEXTJOIN("; ",TRUE,IF(COUNTIF('Clarice'!$B$6:$B$300,$A284)&gt;0,"Clarice",""),IF(COUNTIF('Luisa'!$B$6:$B$300,$A284)&gt;0,"Luisa",""),IF(COUNTIF('Lui'!$B$6:$B$300,$A284)&gt;0,"Lui",""),IF(COUNTIF('Thaís'!$B$6:$B$300,$A284)&gt;0,"Thaís",""),IF(COUNTIF('Daniel'!$B$6:$B$300,$A284)&gt;0,"Daniel",""),IF(COUNTIF('Fernando'!$B$6:$B$300,$A284)&gt;0,"Fernando",""),IF(COUNTIF('Stephanie'!$B$6:$B$300,$A284)&gt;0,"Stephanie",""),IF(COUNTIF('Fox'!$B$6:$B$300,$A284)&gt;0,"Fox",""),IF(COUNTIF('Bruna'!$B$6:$B$300,$A284)&gt;0,"Bruna",""),IF(COUNTIF('Stella'!$B$6:$B$300,$A284)&gt;0,"Stella",""),IF(COUNTIF('Igor'!$B$6:$B$300,$A284)&gt;0,"Igor","")))</f>
        <v/>
      </c>
      <c r="H284" s="13" t="n"/>
      <c r="I284" s="13" t="inlineStr">
        <is>
          <t>Não iniciado</t>
        </is>
      </c>
      <c r="J284" s="17">
        <f>IF(OR($A284="",(COUNTIF('Clarice'!$B$6:$B$300,$A284)+COUNTIF('Luisa'!$B$6:$B$300,$A284)+COUNTIF('Lui'!$B$6:$B$300,$A284)+COUNTIF('Thaís'!$B$6:$B$300,$A284)+COUNTIF('Daniel'!$B$6:$B$300,$A284)+COUNTIF('Fernando'!$B$6:$B$300,$A284)+COUNTIF('Stephanie'!$B$6:$B$300,$A284)+COUNTIF('Fox'!$B$6:$B$300,$A284)+COUNTIF('Bruna'!$B$6:$B$300,$A284)+COUNTIF('Stella'!$B$6:$B$300,$A284)+COUNTIF('Igor'!$B$6:$B$300,$A284))=0),"",(COUNTIFS('Clarice'!$B$6:$B$300,$A284,'Clarice'!$F$6:$F$300,"Concluído")+COUNTIFS('Luisa'!$B$6:$B$300,$A284,'Luisa'!$F$6:$F$300,"Concluído")+COUNTIFS('Lui'!$B$6:$B$300,$A284,'Lui'!$F$6:$F$300,"Concluído")+COUNTIFS('Thaís'!$B$6:$B$300,$A284,'Thaís'!$F$6:$F$300,"Concluído")+COUNTIFS('Daniel'!$B$6:$B$300,$A284,'Daniel'!$F$6:$F$300,"Concluído")+COUNTIFS('Fernando'!$B$6:$B$300,$A284,'Fernando'!$F$6:$F$300,"Concluído")+COUNTIFS('Stephanie'!$B$6:$B$300,$A284,'Stephanie'!$F$6:$F$300,"Concluído")+COUNTIFS('Fox'!$B$6:$B$300,$A284,'Fox'!$F$6:$F$300,"Concluído")+COUNTIFS('Bruna'!$B$6:$B$300,$A284,'Bruna'!$F$6:$F$300,"Concluído")+COUNTIFS('Stella'!$B$6:$B$300,$A284,'Stella'!$F$6:$F$300,"Concluído")+COUNTIFS('Igor'!$B$6:$B$300,$A284,'Igor'!$F$6:$F$300,"Concluído"))&amp;" / "&amp;(COUNTIF('Clarice'!$B$6:$B$300,$A284)+COUNTIF('Luisa'!$B$6:$B$300,$A284)+COUNTIF('Lui'!$B$6:$B$300,$A284)+COUNTIF('Thaís'!$B$6:$B$300,$A284)+COUNTIF('Daniel'!$B$6:$B$300,$A284)+COUNTIF('Fernando'!$B$6:$B$300,$A284)+COUNTIF('Stephanie'!$B$6:$B$300,$A284)+COUNTIF('Fox'!$B$6:$B$300,$A284)+COUNTIF('Bruna'!$B$6:$B$300,$A284)+COUNTIF('Stella'!$B$6:$B$300,$A284)+COUNTIF('Igor'!$B$6:$B$300,$A284)))</f>
        <v/>
      </c>
      <c r="K284" s="19" t="n"/>
      <c r="L284" s="19" t="n"/>
      <c r="M284" s="19" t="n"/>
      <c r="N284" s="19" t="n"/>
      <c r="O284" s="19" t="n"/>
      <c r="P284" s="20">
        <f>IF($A284="","",IF(M284&lt;&gt;"",M284,IF(K284&lt;&gt;"",K284,"")))</f>
        <v/>
      </c>
      <c r="Q284" s="20">
        <f>IF($A284="","",IF(N284&lt;&gt;"",N284,IF(L284&lt;&gt;"",L284,"")))</f>
        <v/>
      </c>
      <c r="R284" s="15" t="n"/>
      <c r="S284" s="16">
        <f t="array" ref="S284">IF($A284="","",_xlfn.TEXTJOIN(CHAR(10),TRUE,IF('Clarice'!$B$6:$B$300=$A284,"Clarice"&amp;IF('Clarice'!$E$6:$E$300="",""," : "&amp;'Clarice'!$E$6:$E$300)&amp;" ["&amp;'Clarice'!$F$6:$F$300&amp;"]",""),IF('Luisa'!$B$6:$B$300=$A284,"Luisa"&amp;IF('Luisa'!$E$6:$E$300="",""," : "&amp;'Luisa'!$E$6:$E$300)&amp;" ["&amp;'Luisa'!$F$6:$F$300&amp;"]",""),IF('Lui'!$B$6:$B$300=$A284,"Lui"&amp;IF('Lui'!$E$6:$E$300="",""," : "&amp;'Lui'!$E$6:$E$300)&amp;" ["&amp;'Lui'!$F$6:$F$300&amp;"]",""),IF('Thaís'!$B$6:$B$300=$A284,"Thaís"&amp;IF('Thaís'!$E$6:$E$300="",""," : "&amp;'Thaís'!$E$6:$E$300)&amp;" ["&amp;'Thaís'!$F$6:$F$300&amp;"]",""),IF('Daniel'!$B$6:$B$300=$A284,"Daniel"&amp;IF('Daniel'!$E$6:$E$300="",""," : "&amp;'Daniel'!$E$6:$E$300)&amp;" ["&amp;'Daniel'!$F$6:$F$300&amp;"]",""),IF('Fernando'!$B$6:$B$300=$A284,"Fernando"&amp;IF('Fernando'!$E$6:$E$300="",""," : "&amp;'Fernando'!$E$6:$E$300)&amp;" ["&amp;'Fernando'!$F$6:$F$300&amp;"]",""),IF('Stephanie'!$B$6:$B$300=$A284,"Stephanie"&amp;IF('Stephanie'!$E$6:$E$300="",""," : "&amp;'Stephanie'!$E$6:$E$300)&amp;" ["&amp;'Stephanie'!$F$6:$F$300&amp;"]",""),IF('Fox'!$B$6:$B$300=$A284,"Fox"&amp;IF('Fox'!$E$6:$E$300="",""," : "&amp;'Fox'!$E$6:$E$300)&amp;" ["&amp;'Fox'!$F$6:$F$300&amp;"]",""),IF('Bruna'!$B$6:$B$300=$A284,"Bruna"&amp;IF('Bruna'!$E$6:$E$300="",""," : "&amp;'Bruna'!$E$6:$E$300)&amp;" ["&amp;'Bruna'!$F$6:$F$300&amp;"]",""),IF('Stella'!$B$6:$B$300=$A284,"Stella"&amp;IF('Stella'!$E$6:$E$300="",""," : "&amp;'Stella'!$E$6:$E$300)&amp;" ["&amp;'Stella'!$F$6:$F$300&amp;"]",""),IF('Igor'!$B$6:$B$300=$A284,"Igor"&amp;IF('Igor'!$E$6:$E$300="",""," : "&amp;'Igor'!$E$6:$E$300)&amp;" ["&amp;'Igor'!$F$6:$F$300&amp;"]","")))</f>
        <v/>
      </c>
    </row>
    <row r="285" ht="15.5" customHeight="1">
      <c r="A285" s="13" t="inlineStr">
        <is>
          <t>P4-029</t>
        </is>
      </c>
      <c r="B285" s="14" t="inlineStr"/>
      <c r="C285" s="14" t="inlineStr">
        <is>
          <t>Relatório aplicação das métricas (produto 4)</t>
        </is>
      </c>
      <c r="D285" s="14" t="inlineStr">
        <is>
          <t>Redação do relatório</t>
        </is>
      </c>
      <c r="E285" s="15" t="inlineStr">
        <is>
          <t>Entregar para a Petrobras</t>
        </is>
      </c>
      <c r="F285" s="13" t="n"/>
      <c r="G285" s="16">
        <f>IF($A285="","",_xlfn.TEXTJOIN("; ",TRUE,IF(COUNTIF('Clarice'!$B$6:$B$300,$A285)&gt;0,"Clarice",""),IF(COUNTIF('Luisa'!$B$6:$B$300,$A285)&gt;0,"Luisa",""),IF(COUNTIF('Lui'!$B$6:$B$300,$A285)&gt;0,"Lui",""),IF(COUNTIF('Thaís'!$B$6:$B$300,$A285)&gt;0,"Thaís",""),IF(COUNTIF('Daniel'!$B$6:$B$300,$A285)&gt;0,"Daniel",""),IF(COUNTIF('Fernando'!$B$6:$B$300,$A285)&gt;0,"Fernando",""),IF(COUNTIF('Stephanie'!$B$6:$B$300,$A285)&gt;0,"Stephanie",""),IF(COUNTIF('Fox'!$B$6:$B$300,$A285)&gt;0,"Fox",""),IF(COUNTIF('Bruna'!$B$6:$B$300,$A285)&gt;0,"Bruna",""),IF(COUNTIF('Stella'!$B$6:$B$300,$A285)&gt;0,"Stella",""),IF(COUNTIF('Igor'!$B$6:$B$300,$A285)&gt;0,"Igor","")))</f>
        <v/>
      </c>
      <c r="H285" s="13" t="n"/>
      <c r="I285" s="13" t="inlineStr">
        <is>
          <t>Não iniciado</t>
        </is>
      </c>
      <c r="J285" s="17">
        <f>IF(OR($A285="",(COUNTIF('Clarice'!$B$6:$B$300,$A285)+COUNTIF('Luisa'!$B$6:$B$300,$A285)+COUNTIF('Lui'!$B$6:$B$300,$A285)+COUNTIF('Thaís'!$B$6:$B$300,$A285)+COUNTIF('Daniel'!$B$6:$B$300,$A285)+COUNTIF('Fernando'!$B$6:$B$300,$A285)+COUNTIF('Stephanie'!$B$6:$B$300,$A285)+COUNTIF('Fox'!$B$6:$B$300,$A285)+COUNTIF('Bruna'!$B$6:$B$300,$A285)+COUNTIF('Stella'!$B$6:$B$300,$A285)+COUNTIF('Igor'!$B$6:$B$300,$A285))=0),"",(COUNTIFS('Clarice'!$B$6:$B$300,$A285,'Clarice'!$F$6:$F$300,"Concluído")+COUNTIFS('Luisa'!$B$6:$B$300,$A285,'Luisa'!$F$6:$F$300,"Concluído")+COUNTIFS('Lui'!$B$6:$B$300,$A285,'Lui'!$F$6:$F$300,"Concluído")+COUNTIFS('Thaís'!$B$6:$B$300,$A285,'Thaís'!$F$6:$F$300,"Concluído")+COUNTIFS('Daniel'!$B$6:$B$300,$A285,'Daniel'!$F$6:$F$300,"Concluído")+COUNTIFS('Fernando'!$B$6:$B$300,$A285,'Fernando'!$F$6:$F$300,"Concluído")+COUNTIFS('Stephanie'!$B$6:$B$300,$A285,'Stephanie'!$F$6:$F$300,"Concluído")+COUNTIFS('Fox'!$B$6:$B$300,$A285,'Fox'!$F$6:$F$300,"Concluído")+COUNTIFS('Bruna'!$B$6:$B$300,$A285,'Bruna'!$F$6:$F$300,"Concluído")+COUNTIFS('Stella'!$B$6:$B$300,$A285,'Stella'!$F$6:$F$300,"Concluído")+COUNTIFS('Igor'!$B$6:$B$300,$A285,'Igor'!$F$6:$F$300,"Concluído"))&amp;" / "&amp;(COUNTIF('Clarice'!$B$6:$B$300,$A285)+COUNTIF('Luisa'!$B$6:$B$300,$A285)+COUNTIF('Lui'!$B$6:$B$300,$A285)+COUNTIF('Thaís'!$B$6:$B$300,$A285)+COUNTIF('Daniel'!$B$6:$B$300,$A285)+COUNTIF('Fernando'!$B$6:$B$300,$A285)+COUNTIF('Stephanie'!$B$6:$B$300,$A285)+COUNTIF('Fox'!$B$6:$B$300,$A285)+COUNTIF('Bruna'!$B$6:$B$300,$A285)+COUNTIF('Stella'!$B$6:$B$300,$A285)+COUNTIF('Igor'!$B$6:$B$300,$A285)))</f>
        <v/>
      </c>
      <c r="K285" s="19" t="n"/>
      <c r="L285" s="19" t="n"/>
      <c r="M285" s="19" t="n"/>
      <c r="N285" s="19" t="n"/>
      <c r="O285" s="19" t="n"/>
      <c r="P285" s="20">
        <f>IF($A285="","",IF(M285&lt;&gt;"",M285,IF(K285&lt;&gt;"",K285,"")))</f>
        <v/>
      </c>
      <c r="Q285" s="20">
        <f>IF($A285="","",IF(N285&lt;&gt;"",N285,IF(L285&lt;&gt;"",L285,"")))</f>
        <v/>
      </c>
      <c r="R285" s="15" t="n"/>
      <c r="S285" s="16">
        <f t="array" ref="S285">IF($A285="","",_xlfn.TEXTJOIN(CHAR(10),TRUE,IF('Clarice'!$B$6:$B$300=$A285,"Clarice"&amp;IF('Clarice'!$E$6:$E$300="",""," : "&amp;'Clarice'!$E$6:$E$300)&amp;" ["&amp;'Clarice'!$F$6:$F$300&amp;"]",""),IF('Luisa'!$B$6:$B$300=$A285,"Luisa"&amp;IF('Luisa'!$E$6:$E$300="",""," : "&amp;'Luisa'!$E$6:$E$300)&amp;" ["&amp;'Luisa'!$F$6:$F$300&amp;"]",""),IF('Lui'!$B$6:$B$300=$A285,"Lui"&amp;IF('Lui'!$E$6:$E$300="",""," : "&amp;'Lui'!$E$6:$E$300)&amp;" ["&amp;'Lui'!$F$6:$F$300&amp;"]",""),IF('Thaís'!$B$6:$B$300=$A285,"Thaís"&amp;IF('Thaís'!$E$6:$E$300="",""," : "&amp;'Thaís'!$E$6:$E$300)&amp;" ["&amp;'Thaís'!$F$6:$F$300&amp;"]",""),IF('Daniel'!$B$6:$B$300=$A285,"Daniel"&amp;IF('Daniel'!$E$6:$E$300="",""," : "&amp;'Daniel'!$E$6:$E$300)&amp;" ["&amp;'Daniel'!$F$6:$F$300&amp;"]",""),IF('Fernando'!$B$6:$B$300=$A285,"Fernando"&amp;IF('Fernando'!$E$6:$E$300="",""," : "&amp;'Fernando'!$E$6:$E$300)&amp;" ["&amp;'Fernando'!$F$6:$F$300&amp;"]",""),IF('Stephanie'!$B$6:$B$300=$A285,"Stephanie"&amp;IF('Stephanie'!$E$6:$E$300="",""," : "&amp;'Stephanie'!$E$6:$E$300)&amp;" ["&amp;'Stephanie'!$F$6:$F$300&amp;"]",""),IF('Fox'!$B$6:$B$300=$A285,"Fox"&amp;IF('Fox'!$E$6:$E$300="",""," : "&amp;'Fox'!$E$6:$E$300)&amp;" ["&amp;'Fox'!$F$6:$F$300&amp;"]",""),IF('Bruna'!$B$6:$B$300=$A285,"Bruna"&amp;IF('Bruna'!$E$6:$E$300="",""," : "&amp;'Bruna'!$E$6:$E$300)&amp;" ["&amp;'Bruna'!$F$6:$F$300&amp;"]",""),IF('Stella'!$B$6:$B$300=$A285,"Stella"&amp;IF('Stella'!$E$6:$E$300="",""," : "&amp;'Stella'!$E$6:$E$300)&amp;" ["&amp;'Stella'!$F$6:$F$300&amp;"]",""),IF('Igor'!$B$6:$B$300=$A285,"Igor"&amp;IF('Igor'!$E$6:$E$300="",""," : "&amp;'Igor'!$E$6:$E$300)&amp;" ["&amp;'Igor'!$F$6:$F$300&amp;"]","")))</f>
        <v/>
      </c>
    </row>
    <row r="286" ht="15.5" customHeight="1">
      <c r="A286" s="13" t="inlineStr">
        <is>
          <t>P4-030</t>
        </is>
      </c>
      <c r="B286" s="14" t="inlineStr"/>
      <c r="C286" s="14" t="inlineStr">
        <is>
          <t>Relatório aplicação das métricas (produto 4)</t>
        </is>
      </c>
      <c r="D286" s="14" t="inlineStr">
        <is>
          <t>Redação do relatório</t>
        </is>
      </c>
      <c r="E286" s="15" t="inlineStr">
        <is>
          <t>Avaliação da Petrobras</t>
        </is>
      </c>
      <c r="F286" s="13" t="n"/>
      <c r="G286" s="16">
        <f>IF($A286="","",_xlfn.TEXTJOIN("; ",TRUE,IF(COUNTIF('Clarice'!$B$6:$B$300,$A286)&gt;0,"Clarice",""),IF(COUNTIF('Luisa'!$B$6:$B$300,$A286)&gt;0,"Luisa",""),IF(COUNTIF('Lui'!$B$6:$B$300,$A286)&gt;0,"Lui",""),IF(COUNTIF('Thaís'!$B$6:$B$300,$A286)&gt;0,"Thaís",""),IF(COUNTIF('Daniel'!$B$6:$B$300,$A286)&gt;0,"Daniel",""),IF(COUNTIF('Fernando'!$B$6:$B$300,$A286)&gt;0,"Fernando",""),IF(COUNTIF('Stephanie'!$B$6:$B$300,$A286)&gt;0,"Stephanie",""),IF(COUNTIF('Fox'!$B$6:$B$300,$A286)&gt;0,"Fox",""),IF(COUNTIF('Bruna'!$B$6:$B$300,$A286)&gt;0,"Bruna",""),IF(COUNTIF('Stella'!$B$6:$B$300,$A286)&gt;0,"Stella",""),IF(COUNTIF('Igor'!$B$6:$B$300,$A286)&gt;0,"Igor","")))</f>
        <v/>
      </c>
      <c r="H286" s="13" t="n"/>
      <c r="I286" s="13" t="inlineStr">
        <is>
          <t>Não iniciado</t>
        </is>
      </c>
      <c r="J286" s="17">
        <f>IF(OR($A286="",(COUNTIF('Clarice'!$B$6:$B$300,$A286)+COUNTIF('Luisa'!$B$6:$B$300,$A286)+COUNTIF('Lui'!$B$6:$B$300,$A286)+COUNTIF('Thaís'!$B$6:$B$300,$A286)+COUNTIF('Daniel'!$B$6:$B$300,$A286)+COUNTIF('Fernando'!$B$6:$B$300,$A286)+COUNTIF('Stephanie'!$B$6:$B$300,$A286)+COUNTIF('Fox'!$B$6:$B$300,$A286)+COUNTIF('Bruna'!$B$6:$B$300,$A286)+COUNTIF('Stella'!$B$6:$B$300,$A286)+COUNTIF('Igor'!$B$6:$B$300,$A286))=0),"",(COUNTIFS('Clarice'!$B$6:$B$300,$A286,'Clarice'!$F$6:$F$300,"Concluído")+COUNTIFS('Luisa'!$B$6:$B$300,$A286,'Luisa'!$F$6:$F$300,"Concluído")+COUNTIFS('Lui'!$B$6:$B$300,$A286,'Lui'!$F$6:$F$300,"Concluído")+COUNTIFS('Thaís'!$B$6:$B$300,$A286,'Thaís'!$F$6:$F$300,"Concluído")+COUNTIFS('Daniel'!$B$6:$B$300,$A286,'Daniel'!$F$6:$F$300,"Concluído")+COUNTIFS('Fernando'!$B$6:$B$300,$A286,'Fernando'!$F$6:$F$300,"Concluído")+COUNTIFS('Stephanie'!$B$6:$B$300,$A286,'Stephanie'!$F$6:$F$300,"Concluído")+COUNTIFS('Fox'!$B$6:$B$300,$A286,'Fox'!$F$6:$F$300,"Concluído")+COUNTIFS('Bruna'!$B$6:$B$300,$A286,'Bruna'!$F$6:$F$300,"Concluído")+COUNTIFS('Stella'!$B$6:$B$300,$A286,'Stella'!$F$6:$F$300,"Concluído")+COUNTIFS('Igor'!$B$6:$B$300,$A286,'Igor'!$F$6:$F$300,"Concluído"))&amp;" / "&amp;(COUNTIF('Clarice'!$B$6:$B$300,$A286)+COUNTIF('Luisa'!$B$6:$B$300,$A286)+COUNTIF('Lui'!$B$6:$B$300,$A286)+COUNTIF('Thaís'!$B$6:$B$300,$A286)+COUNTIF('Daniel'!$B$6:$B$300,$A286)+COUNTIF('Fernando'!$B$6:$B$300,$A286)+COUNTIF('Stephanie'!$B$6:$B$300,$A286)+COUNTIF('Fox'!$B$6:$B$300,$A286)+COUNTIF('Bruna'!$B$6:$B$300,$A286)+COUNTIF('Stella'!$B$6:$B$300,$A286)+COUNTIF('Igor'!$B$6:$B$300,$A286)))</f>
        <v/>
      </c>
      <c r="K286" s="19" t="n"/>
      <c r="L286" s="19" t="n"/>
      <c r="M286" s="19" t="n"/>
      <c r="N286" s="19" t="n"/>
      <c r="O286" s="19" t="n"/>
      <c r="P286" s="20">
        <f>IF($A286="","",IF(M286&lt;&gt;"",M286,IF(K286&lt;&gt;"",K286,"")))</f>
        <v/>
      </c>
      <c r="Q286" s="20">
        <f>IF($A286="","",IF(N286&lt;&gt;"",N286,IF(L286&lt;&gt;"",L286,"")))</f>
        <v/>
      </c>
      <c r="R286" s="15" t="n"/>
      <c r="S286" s="16">
        <f t="array" ref="S286">IF($A286="","",_xlfn.TEXTJOIN(CHAR(10),TRUE,IF('Clarice'!$B$6:$B$300=$A286,"Clarice"&amp;IF('Clarice'!$E$6:$E$300="",""," : "&amp;'Clarice'!$E$6:$E$300)&amp;" ["&amp;'Clarice'!$F$6:$F$300&amp;"]",""),IF('Luisa'!$B$6:$B$300=$A286,"Luisa"&amp;IF('Luisa'!$E$6:$E$300="",""," : "&amp;'Luisa'!$E$6:$E$300)&amp;" ["&amp;'Luisa'!$F$6:$F$300&amp;"]",""),IF('Lui'!$B$6:$B$300=$A286,"Lui"&amp;IF('Lui'!$E$6:$E$300="",""," : "&amp;'Lui'!$E$6:$E$300)&amp;" ["&amp;'Lui'!$F$6:$F$300&amp;"]",""),IF('Thaís'!$B$6:$B$300=$A286,"Thaís"&amp;IF('Thaís'!$E$6:$E$300="",""," : "&amp;'Thaís'!$E$6:$E$300)&amp;" ["&amp;'Thaís'!$F$6:$F$300&amp;"]",""),IF('Daniel'!$B$6:$B$300=$A286,"Daniel"&amp;IF('Daniel'!$E$6:$E$300="",""," : "&amp;'Daniel'!$E$6:$E$300)&amp;" ["&amp;'Daniel'!$F$6:$F$300&amp;"]",""),IF('Fernando'!$B$6:$B$300=$A286,"Fernando"&amp;IF('Fernando'!$E$6:$E$300="",""," : "&amp;'Fernando'!$E$6:$E$300)&amp;" ["&amp;'Fernando'!$F$6:$F$300&amp;"]",""),IF('Stephanie'!$B$6:$B$300=$A286,"Stephanie"&amp;IF('Stephanie'!$E$6:$E$300="",""," : "&amp;'Stephanie'!$E$6:$E$300)&amp;" ["&amp;'Stephanie'!$F$6:$F$300&amp;"]",""),IF('Fox'!$B$6:$B$300=$A286,"Fox"&amp;IF('Fox'!$E$6:$E$300="",""," : "&amp;'Fox'!$E$6:$E$300)&amp;" ["&amp;'Fox'!$F$6:$F$300&amp;"]",""),IF('Bruna'!$B$6:$B$300=$A286,"Bruna"&amp;IF('Bruna'!$E$6:$E$300="",""," : "&amp;'Bruna'!$E$6:$E$300)&amp;" ["&amp;'Bruna'!$F$6:$F$300&amp;"]",""),IF('Stella'!$B$6:$B$300=$A286,"Stella"&amp;IF('Stella'!$E$6:$E$300="",""," : "&amp;'Stella'!$E$6:$E$300)&amp;" ["&amp;'Stella'!$F$6:$F$300&amp;"]",""),IF('Igor'!$B$6:$B$300=$A286,"Igor"&amp;IF('Igor'!$E$6:$E$300="",""," : "&amp;'Igor'!$E$6:$E$300)&amp;" ["&amp;'Igor'!$F$6:$F$300&amp;"]","")))</f>
        <v/>
      </c>
    </row>
    <row r="287" ht="15.5" customHeight="1">
      <c r="A287" s="13" t="inlineStr">
        <is>
          <t>P4-031</t>
        </is>
      </c>
      <c r="B287" s="14" t="inlineStr"/>
      <c r="C287" s="14" t="inlineStr">
        <is>
          <t>Relatório aplicação das métricas (produto 4)</t>
        </is>
      </c>
      <c r="D287" s="14" t="inlineStr">
        <is>
          <t>Redação do relatório</t>
        </is>
      </c>
      <c r="E287" s="15" t="inlineStr">
        <is>
          <t>Fazer os ajustes necessários</t>
        </is>
      </c>
      <c r="F287" s="13" t="n"/>
      <c r="G287" s="16">
        <f>IF($A287="","",_xlfn.TEXTJOIN("; ",TRUE,IF(COUNTIF('Clarice'!$B$6:$B$300,$A287)&gt;0,"Clarice",""),IF(COUNTIF('Luisa'!$B$6:$B$300,$A287)&gt;0,"Luisa",""),IF(COUNTIF('Lui'!$B$6:$B$300,$A287)&gt;0,"Lui",""),IF(COUNTIF('Thaís'!$B$6:$B$300,$A287)&gt;0,"Thaís",""),IF(COUNTIF('Daniel'!$B$6:$B$300,$A287)&gt;0,"Daniel",""),IF(COUNTIF('Fernando'!$B$6:$B$300,$A287)&gt;0,"Fernando",""),IF(COUNTIF('Stephanie'!$B$6:$B$300,$A287)&gt;0,"Stephanie",""),IF(COUNTIF('Fox'!$B$6:$B$300,$A287)&gt;0,"Fox",""),IF(COUNTIF('Bruna'!$B$6:$B$300,$A287)&gt;0,"Bruna",""),IF(COUNTIF('Stella'!$B$6:$B$300,$A287)&gt;0,"Stella",""),IF(COUNTIF('Igor'!$B$6:$B$300,$A287)&gt;0,"Igor","")))</f>
        <v/>
      </c>
      <c r="H287" s="13" t="n"/>
      <c r="I287" s="13" t="inlineStr">
        <is>
          <t>Não iniciado</t>
        </is>
      </c>
      <c r="J287" s="17">
        <f>IF(OR($A287="",(COUNTIF('Clarice'!$B$6:$B$300,$A287)+COUNTIF('Luisa'!$B$6:$B$300,$A287)+COUNTIF('Lui'!$B$6:$B$300,$A287)+COUNTIF('Thaís'!$B$6:$B$300,$A287)+COUNTIF('Daniel'!$B$6:$B$300,$A287)+COUNTIF('Fernando'!$B$6:$B$300,$A287)+COUNTIF('Stephanie'!$B$6:$B$300,$A287)+COUNTIF('Fox'!$B$6:$B$300,$A287)+COUNTIF('Bruna'!$B$6:$B$300,$A287)+COUNTIF('Stella'!$B$6:$B$300,$A287)+COUNTIF('Igor'!$B$6:$B$300,$A287))=0),"",(COUNTIFS('Clarice'!$B$6:$B$300,$A287,'Clarice'!$F$6:$F$300,"Concluído")+COUNTIFS('Luisa'!$B$6:$B$300,$A287,'Luisa'!$F$6:$F$300,"Concluído")+COUNTIFS('Lui'!$B$6:$B$300,$A287,'Lui'!$F$6:$F$300,"Concluído")+COUNTIFS('Thaís'!$B$6:$B$300,$A287,'Thaís'!$F$6:$F$300,"Concluído")+COUNTIFS('Daniel'!$B$6:$B$300,$A287,'Daniel'!$F$6:$F$300,"Concluído")+COUNTIFS('Fernando'!$B$6:$B$300,$A287,'Fernando'!$F$6:$F$300,"Concluído")+COUNTIFS('Stephanie'!$B$6:$B$300,$A287,'Stephanie'!$F$6:$F$300,"Concluído")+COUNTIFS('Fox'!$B$6:$B$300,$A287,'Fox'!$F$6:$F$300,"Concluído")+COUNTIFS('Bruna'!$B$6:$B$300,$A287,'Bruna'!$F$6:$F$300,"Concluído")+COUNTIFS('Stella'!$B$6:$B$300,$A287,'Stella'!$F$6:$F$300,"Concluído")+COUNTIFS('Igor'!$B$6:$B$300,$A287,'Igor'!$F$6:$F$300,"Concluído"))&amp;" / "&amp;(COUNTIF('Clarice'!$B$6:$B$300,$A287)+COUNTIF('Luisa'!$B$6:$B$300,$A287)+COUNTIF('Lui'!$B$6:$B$300,$A287)+COUNTIF('Thaís'!$B$6:$B$300,$A287)+COUNTIF('Daniel'!$B$6:$B$300,$A287)+COUNTIF('Fernando'!$B$6:$B$300,$A287)+COUNTIF('Stephanie'!$B$6:$B$300,$A287)+COUNTIF('Fox'!$B$6:$B$300,$A287)+COUNTIF('Bruna'!$B$6:$B$300,$A287)+COUNTIF('Stella'!$B$6:$B$300,$A287)+COUNTIF('Igor'!$B$6:$B$300,$A287)))</f>
        <v/>
      </c>
      <c r="K287" s="19" t="n"/>
      <c r="L287" s="19" t="n"/>
      <c r="M287" s="19" t="n"/>
      <c r="N287" s="19" t="n"/>
      <c r="O287" s="19" t="n"/>
      <c r="P287" s="20">
        <f>IF($A287="","",IF(M287&lt;&gt;"",M287,IF(K287&lt;&gt;"",K287,"")))</f>
        <v/>
      </c>
      <c r="Q287" s="20">
        <f>IF($A287="","",IF(N287&lt;&gt;"",N287,IF(L287&lt;&gt;"",L287,"")))</f>
        <v/>
      </c>
      <c r="R287" s="15" t="n"/>
      <c r="S287" s="16">
        <f t="array" ref="S287">IF($A287="","",_xlfn.TEXTJOIN(CHAR(10),TRUE,IF('Clarice'!$B$6:$B$300=$A287,"Clarice"&amp;IF('Clarice'!$E$6:$E$300="",""," : "&amp;'Clarice'!$E$6:$E$300)&amp;" ["&amp;'Clarice'!$F$6:$F$300&amp;"]",""),IF('Luisa'!$B$6:$B$300=$A287,"Luisa"&amp;IF('Luisa'!$E$6:$E$300="",""," : "&amp;'Luisa'!$E$6:$E$300)&amp;" ["&amp;'Luisa'!$F$6:$F$300&amp;"]",""),IF('Lui'!$B$6:$B$300=$A287,"Lui"&amp;IF('Lui'!$E$6:$E$300="",""," : "&amp;'Lui'!$E$6:$E$300)&amp;" ["&amp;'Lui'!$F$6:$F$300&amp;"]",""),IF('Thaís'!$B$6:$B$300=$A287,"Thaís"&amp;IF('Thaís'!$E$6:$E$300="",""," : "&amp;'Thaís'!$E$6:$E$300)&amp;" ["&amp;'Thaís'!$F$6:$F$300&amp;"]",""),IF('Daniel'!$B$6:$B$300=$A287,"Daniel"&amp;IF('Daniel'!$E$6:$E$300="",""," : "&amp;'Daniel'!$E$6:$E$300)&amp;" ["&amp;'Daniel'!$F$6:$F$300&amp;"]",""),IF('Fernando'!$B$6:$B$300=$A287,"Fernando"&amp;IF('Fernando'!$E$6:$E$300="",""," : "&amp;'Fernando'!$E$6:$E$300)&amp;" ["&amp;'Fernando'!$F$6:$F$300&amp;"]",""),IF('Stephanie'!$B$6:$B$300=$A287,"Stephanie"&amp;IF('Stephanie'!$E$6:$E$300="",""," : "&amp;'Stephanie'!$E$6:$E$300)&amp;" ["&amp;'Stephanie'!$F$6:$F$300&amp;"]",""),IF('Fox'!$B$6:$B$300=$A287,"Fox"&amp;IF('Fox'!$E$6:$E$300="",""," : "&amp;'Fox'!$E$6:$E$300)&amp;" ["&amp;'Fox'!$F$6:$F$300&amp;"]",""),IF('Bruna'!$B$6:$B$300=$A287,"Bruna"&amp;IF('Bruna'!$E$6:$E$300="",""," : "&amp;'Bruna'!$E$6:$E$300)&amp;" ["&amp;'Bruna'!$F$6:$F$300&amp;"]",""),IF('Stella'!$B$6:$B$300=$A287,"Stella"&amp;IF('Stella'!$E$6:$E$300="",""," : "&amp;'Stella'!$E$6:$E$300)&amp;" ["&amp;'Stella'!$F$6:$F$300&amp;"]",""),IF('Igor'!$B$6:$B$300=$A287,"Igor"&amp;IF('Igor'!$E$6:$E$300="",""," : "&amp;'Igor'!$E$6:$E$300)&amp;" ["&amp;'Igor'!$F$6:$F$300&amp;"]","")))</f>
        <v/>
      </c>
    </row>
    <row r="288" ht="15.5" customHeight="1">
      <c r="A288" s="13" t="inlineStr">
        <is>
          <t>P4-032</t>
        </is>
      </c>
      <c r="B288" s="14" t="inlineStr"/>
      <c r="C288" s="14" t="inlineStr">
        <is>
          <t>Relatório aplicação das métricas (produto 4)</t>
        </is>
      </c>
      <c r="D288" s="14" t="inlineStr">
        <is>
          <t>Redação do relatório</t>
        </is>
      </c>
      <c r="E288" s="15" t="inlineStr">
        <is>
          <t>Entregar o relatório final para a Petrobras</t>
        </is>
      </c>
      <c r="F288" s="13" t="n"/>
      <c r="G288" s="16">
        <f>IF($A288="","",_xlfn.TEXTJOIN("; ",TRUE,IF(COUNTIF('Clarice'!$B$6:$B$300,$A288)&gt;0,"Clarice",""),IF(COUNTIF('Luisa'!$B$6:$B$300,$A288)&gt;0,"Luisa",""),IF(COUNTIF('Lui'!$B$6:$B$300,$A288)&gt;0,"Lui",""),IF(COUNTIF('Thaís'!$B$6:$B$300,$A288)&gt;0,"Thaís",""),IF(COUNTIF('Daniel'!$B$6:$B$300,$A288)&gt;0,"Daniel",""),IF(COUNTIF('Fernando'!$B$6:$B$300,$A288)&gt;0,"Fernando",""),IF(COUNTIF('Stephanie'!$B$6:$B$300,$A288)&gt;0,"Stephanie",""),IF(COUNTIF('Fox'!$B$6:$B$300,$A288)&gt;0,"Fox",""),IF(COUNTIF('Bruna'!$B$6:$B$300,$A288)&gt;0,"Bruna",""),IF(COUNTIF('Stella'!$B$6:$B$300,$A288)&gt;0,"Stella",""),IF(COUNTIF('Igor'!$B$6:$B$300,$A288)&gt;0,"Igor","")))</f>
        <v/>
      </c>
      <c r="H288" s="13" t="n"/>
      <c r="I288" s="13" t="inlineStr">
        <is>
          <t>Não iniciado</t>
        </is>
      </c>
      <c r="J288" s="17">
        <f>IF(OR($A288="",(COUNTIF('Clarice'!$B$6:$B$300,$A288)+COUNTIF('Luisa'!$B$6:$B$300,$A288)+COUNTIF('Lui'!$B$6:$B$300,$A288)+COUNTIF('Thaís'!$B$6:$B$300,$A288)+COUNTIF('Daniel'!$B$6:$B$300,$A288)+COUNTIF('Fernando'!$B$6:$B$300,$A288)+COUNTIF('Stephanie'!$B$6:$B$300,$A288)+COUNTIF('Fox'!$B$6:$B$300,$A288)+COUNTIF('Bruna'!$B$6:$B$300,$A288)+COUNTIF('Stella'!$B$6:$B$300,$A288)+COUNTIF('Igor'!$B$6:$B$300,$A288))=0),"",(COUNTIFS('Clarice'!$B$6:$B$300,$A288,'Clarice'!$F$6:$F$300,"Concluído")+COUNTIFS('Luisa'!$B$6:$B$300,$A288,'Luisa'!$F$6:$F$300,"Concluído")+COUNTIFS('Lui'!$B$6:$B$300,$A288,'Lui'!$F$6:$F$300,"Concluído")+COUNTIFS('Thaís'!$B$6:$B$300,$A288,'Thaís'!$F$6:$F$300,"Concluído")+COUNTIFS('Daniel'!$B$6:$B$300,$A288,'Daniel'!$F$6:$F$300,"Concluído")+COUNTIFS('Fernando'!$B$6:$B$300,$A288,'Fernando'!$F$6:$F$300,"Concluído")+COUNTIFS('Stephanie'!$B$6:$B$300,$A288,'Stephanie'!$F$6:$F$300,"Concluído")+COUNTIFS('Fox'!$B$6:$B$300,$A288,'Fox'!$F$6:$F$300,"Concluído")+COUNTIFS('Bruna'!$B$6:$B$300,$A288,'Bruna'!$F$6:$F$300,"Concluído")+COUNTIFS('Stella'!$B$6:$B$300,$A288,'Stella'!$F$6:$F$300,"Concluído")+COUNTIFS('Igor'!$B$6:$B$300,$A288,'Igor'!$F$6:$F$300,"Concluído"))&amp;" / "&amp;(COUNTIF('Clarice'!$B$6:$B$300,$A288)+COUNTIF('Luisa'!$B$6:$B$300,$A288)+COUNTIF('Lui'!$B$6:$B$300,$A288)+COUNTIF('Thaís'!$B$6:$B$300,$A288)+COUNTIF('Daniel'!$B$6:$B$300,$A288)+COUNTIF('Fernando'!$B$6:$B$300,$A288)+COUNTIF('Stephanie'!$B$6:$B$300,$A288)+COUNTIF('Fox'!$B$6:$B$300,$A288)+COUNTIF('Bruna'!$B$6:$B$300,$A288)+COUNTIF('Stella'!$B$6:$B$300,$A288)+COUNTIF('Igor'!$B$6:$B$300,$A288)))</f>
        <v/>
      </c>
      <c r="K288" s="19" t="n"/>
      <c r="L288" s="19" t="n"/>
      <c r="M288" s="19" t="n"/>
      <c r="N288" s="19" t="n"/>
      <c r="O288" s="19" t="n"/>
      <c r="P288" s="20">
        <f>IF($A288="","",IF(M288&lt;&gt;"",M288,IF(K288&lt;&gt;"",K288,"")))</f>
        <v/>
      </c>
      <c r="Q288" s="20">
        <f>IF($A288="","",IF(N288&lt;&gt;"",N288,IF(L288&lt;&gt;"",L288,"")))</f>
        <v/>
      </c>
      <c r="R288" s="15" t="n"/>
      <c r="S288" s="16">
        <f t="array" ref="S288">IF($A288="","",_xlfn.TEXTJOIN(CHAR(10),TRUE,IF('Clarice'!$B$6:$B$300=$A288,"Clarice"&amp;IF('Clarice'!$E$6:$E$300="",""," : "&amp;'Clarice'!$E$6:$E$300)&amp;" ["&amp;'Clarice'!$F$6:$F$300&amp;"]",""),IF('Luisa'!$B$6:$B$300=$A288,"Luisa"&amp;IF('Luisa'!$E$6:$E$300="",""," : "&amp;'Luisa'!$E$6:$E$300)&amp;" ["&amp;'Luisa'!$F$6:$F$300&amp;"]",""),IF('Lui'!$B$6:$B$300=$A288,"Lui"&amp;IF('Lui'!$E$6:$E$300="",""," : "&amp;'Lui'!$E$6:$E$300)&amp;" ["&amp;'Lui'!$F$6:$F$300&amp;"]",""),IF('Thaís'!$B$6:$B$300=$A288,"Thaís"&amp;IF('Thaís'!$E$6:$E$300="",""," : "&amp;'Thaís'!$E$6:$E$300)&amp;" ["&amp;'Thaís'!$F$6:$F$300&amp;"]",""),IF('Daniel'!$B$6:$B$300=$A288,"Daniel"&amp;IF('Daniel'!$E$6:$E$300="",""," : "&amp;'Daniel'!$E$6:$E$300)&amp;" ["&amp;'Daniel'!$F$6:$F$300&amp;"]",""),IF('Fernando'!$B$6:$B$300=$A288,"Fernando"&amp;IF('Fernando'!$E$6:$E$300="",""," : "&amp;'Fernando'!$E$6:$E$300)&amp;" ["&amp;'Fernando'!$F$6:$F$300&amp;"]",""),IF('Stephanie'!$B$6:$B$300=$A288,"Stephanie"&amp;IF('Stephanie'!$E$6:$E$300="",""," : "&amp;'Stephanie'!$E$6:$E$300)&amp;" ["&amp;'Stephanie'!$F$6:$F$300&amp;"]",""),IF('Fox'!$B$6:$B$300=$A288,"Fox"&amp;IF('Fox'!$E$6:$E$300="",""," : "&amp;'Fox'!$E$6:$E$300)&amp;" ["&amp;'Fox'!$F$6:$F$300&amp;"]",""),IF('Bruna'!$B$6:$B$300=$A288,"Bruna"&amp;IF('Bruna'!$E$6:$E$300="",""," : "&amp;'Bruna'!$E$6:$E$300)&amp;" ["&amp;'Bruna'!$F$6:$F$300&amp;"]",""),IF('Stella'!$B$6:$B$300=$A288,"Stella"&amp;IF('Stella'!$E$6:$E$300="",""," : "&amp;'Stella'!$E$6:$E$300)&amp;" ["&amp;'Stella'!$F$6:$F$300&amp;"]",""),IF('Igor'!$B$6:$B$300=$A288,"Igor"&amp;IF('Igor'!$E$6:$E$300="",""," : "&amp;'Igor'!$E$6:$E$300)&amp;" ["&amp;'Igor'!$F$6:$F$300&amp;"]","")))</f>
        <v/>
      </c>
    </row>
    <row r="289">
      <c r="G289" s="23">
        <f>IF($A289="","",_xlfn.TEXTJOIN("; ",TRUE,IF(COUNTIF('Clarice'!$B$6:$B$300,$A289)&gt;0,"Clarice",""),IF(COUNTIF('Luisa'!$B$6:$B$300,$A289)&gt;0,"Luisa",""),IF(COUNTIF('Lui'!$B$6:$B$300,$A289)&gt;0,"Lui",""),IF(COUNTIF('Thaís'!$B$6:$B$300,$A289)&gt;0,"Thaís",""),IF(COUNTIF('Daniel'!$B$6:$B$300,$A289)&gt;0,"Daniel",""),IF(COUNTIF('Fernando'!$B$6:$B$300,$A289)&gt;0,"Fernando",""),IF(COUNTIF('Stephanie'!$B$6:$B$300,$A289)&gt;0,"Stephanie",""),IF(COUNTIF('Fox'!$B$6:$B$300,$A289)&gt;0,"Fox",""),IF(COUNTIF('Bruna'!$B$6:$B$300,$A289)&gt;0,"Bruna",""),IF(COUNTIF('Stella'!$B$6:$B$300,$A289)&gt;0,"Stella",""),IF(COUNTIF('Igor'!$B$6:$B$300,$A289)&gt;0,"Igor","")))</f>
        <v/>
      </c>
      <c r="J289" s="24">
        <f>IF(OR($A289="",(COUNTIF('Clarice'!$B$6:$B$300,$A289)+COUNTIF('Luisa'!$B$6:$B$300,$A289)+COUNTIF('Lui'!$B$6:$B$300,$A289)+COUNTIF('Thaís'!$B$6:$B$300,$A289)+COUNTIF('Daniel'!$B$6:$B$300,$A289)+COUNTIF('Fernando'!$B$6:$B$300,$A289)+COUNTIF('Stephanie'!$B$6:$B$300,$A289)+COUNTIF('Fox'!$B$6:$B$300,$A289)+COUNTIF('Bruna'!$B$6:$B$300,$A289)+COUNTIF('Stella'!$B$6:$B$300,$A289)+COUNTIF('Igor'!$B$6:$B$300,$A289))=0),"",(COUNTIFS('Clarice'!$B$6:$B$300,$A289,'Clarice'!$F$6:$F$300,"Concluído")+COUNTIFS('Luisa'!$B$6:$B$300,$A289,'Luisa'!$F$6:$F$300,"Concluído")+COUNTIFS('Lui'!$B$6:$B$300,$A289,'Lui'!$F$6:$F$300,"Concluído")+COUNTIFS('Thaís'!$B$6:$B$300,$A289,'Thaís'!$F$6:$F$300,"Concluído")+COUNTIFS('Daniel'!$B$6:$B$300,$A289,'Daniel'!$F$6:$F$300,"Concluído")+COUNTIFS('Fernando'!$B$6:$B$300,$A289,'Fernando'!$F$6:$F$300,"Concluído")+COUNTIFS('Stephanie'!$B$6:$B$300,$A289,'Stephanie'!$F$6:$F$300,"Concluído")+COUNTIFS('Fox'!$B$6:$B$300,$A289,'Fox'!$F$6:$F$300,"Concluído")+COUNTIFS('Bruna'!$B$6:$B$300,$A289,'Bruna'!$F$6:$F$300,"Concluído")+COUNTIFS('Stella'!$B$6:$B$300,$A289,'Stella'!$F$6:$F$300,"Concluído")+COUNTIFS('Igor'!$B$6:$B$300,$A289,'Igor'!$F$6:$F$300,"Concluído"))&amp;" / "&amp;(COUNTIF('Clarice'!$B$6:$B$300,$A289)+COUNTIF('Luisa'!$B$6:$B$300,$A289)+COUNTIF('Lui'!$B$6:$B$300,$A289)+COUNTIF('Thaís'!$B$6:$B$300,$A289)+COUNTIF('Daniel'!$B$6:$B$300,$A289)+COUNTIF('Fernando'!$B$6:$B$300,$A289)+COUNTIF('Stephanie'!$B$6:$B$300,$A289)+COUNTIF('Fox'!$B$6:$B$300,$A289)+COUNTIF('Bruna'!$B$6:$B$300,$A289)+COUNTIF('Stella'!$B$6:$B$300,$A289)+COUNTIF('Igor'!$B$6:$B$300,$A289)))</f>
        <v/>
      </c>
      <c r="P289" s="25">
        <f>IF($A289="","",IF(M289&lt;&gt;"",M289,IF(K289&lt;&gt;"",K289,"")))</f>
        <v/>
      </c>
      <c r="Q289" s="25">
        <f>IF($A289="","",IF(N289&lt;&gt;"",N289,IF(L289&lt;&gt;"",L289,"")))</f>
        <v/>
      </c>
      <c r="S289" s="23">
        <f t="array" ref="S289">IF($A289="","",_xlfn.TEXTJOIN(CHAR(10),TRUE,IF('Clarice'!$B$6:$B$300=$A289,"Clarice"&amp;IF('Clarice'!$E$6:$E$300="",""," : "&amp;'Clarice'!$E$6:$E$300)&amp;" ["&amp;'Clarice'!$F$6:$F$300&amp;"]",""),IF('Luisa'!$B$6:$B$300=$A289,"Luisa"&amp;IF('Luisa'!$E$6:$E$300="",""," : "&amp;'Luisa'!$E$6:$E$300)&amp;" ["&amp;'Luisa'!$F$6:$F$300&amp;"]",""),IF('Lui'!$B$6:$B$300=$A289,"Lui"&amp;IF('Lui'!$E$6:$E$300="",""," : "&amp;'Lui'!$E$6:$E$300)&amp;" ["&amp;'Lui'!$F$6:$F$300&amp;"]",""),IF('Thaís'!$B$6:$B$300=$A289,"Thaís"&amp;IF('Thaís'!$E$6:$E$300="",""," : "&amp;'Thaís'!$E$6:$E$300)&amp;" ["&amp;'Thaís'!$F$6:$F$300&amp;"]",""),IF('Daniel'!$B$6:$B$300=$A289,"Daniel"&amp;IF('Daniel'!$E$6:$E$300="",""," : "&amp;'Daniel'!$E$6:$E$300)&amp;" ["&amp;'Daniel'!$F$6:$F$300&amp;"]",""),IF('Fernando'!$B$6:$B$300=$A289,"Fernando"&amp;IF('Fernando'!$E$6:$E$300="",""," : "&amp;'Fernando'!$E$6:$E$300)&amp;" ["&amp;'Fernando'!$F$6:$F$300&amp;"]",""),IF('Stephanie'!$B$6:$B$300=$A289,"Stephanie"&amp;IF('Stephanie'!$E$6:$E$300="",""," : "&amp;'Stephanie'!$E$6:$E$300)&amp;" ["&amp;'Stephanie'!$F$6:$F$300&amp;"]",""),IF('Fox'!$B$6:$B$300=$A289,"Fox"&amp;IF('Fox'!$E$6:$E$300="",""," : "&amp;'Fox'!$E$6:$E$300)&amp;" ["&amp;'Fox'!$F$6:$F$300&amp;"]",""),IF('Bruna'!$B$6:$B$300=$A289,"Bruna"&amp;IF('Bruna'!$E$6:$E$300="",""," : "&amp;'Bruna'!$E$6:$E$300)&amp;" ["&amp;'Bruna'!$F$6:$F$300&amp;"]",""),IF('Stella'!$B$6:$B$300=$A289,"Stella"&amp;IF('Stella'!$E$6:$E$300="",""," : "&amp;'Stella'!$E$6:$E$300)&amp;" ["&amp;'Stella'!$F$6:$F$300&amp;"]",""),IF('Igor'!$B$6:$B$300=$A289,"Igor"&amp;IF('Igor'!$E$6:$E$300="",""," : "&amp;'Igor'!$E$6:$E$300)&amp;" ["&amp;'Igor'!$F$6:$F$300&amp;"]","")))</f>
        <v/>
      </c>
    </row>
    <row r="290">
      <c r="G290" s="23">
        <f>IF($A290="","",_xlfn.TEXTJOIN("; ",TRUE,IF(COUNTIF('Clarice'!$B$6:$B$300,$A290)&gt;0,"Clarice",""),IF(COUNTIF('Luisa'!$B$6:$B$300,$A290)&gt;0,"Luisa",""),IF(COUNTIF('Lui'!$B$6:$B$300,$A290)&gt;0,"Lui",""),IF(COUNTIF('Thaís'!$B$6:$B$300,$A290)&gt;0,"Thaís",""),IF(COUNTIF('Daniel'!$B$6:$B$300,$A290)&gt;0,"Daniel",""),IF(COUNTIF('Fernando'!$B$6:$B$300,$A290)&gt;0,"Fernando",""),IF(COUNTIF('Stephanie'!$B$6:$B$300,$A290)&gt;0,"Stephanie",""),IF(COUNTIF('Fox'!$B$6:$B$300,$A290)&gt;0,"Fox",""),IF(COUNTIF('Bruna'!$B$6:$B$300,$A290)&gt;0,"Bruna",""),IF(COUNTIF('Stella'!$B$6:$B$300,$A290)&gt;0,"Stella",""),IF(COUNTIF('Igor'!$B$6:$B$300,$A290)&gt;0,"Igor","")))</f>
        <v/>
      </c>
      <c r="J290" s="24">
        <f>IF(OR($A290="",(COUNTIF('Clarice'!$B$6:$B$300,$A290)+COUNTIF('Luisa'!$B$6:$B$300,$A290)+COUNTIF('Lui'!$B$6:$B$300,$A290)+COUNTIF('Thaís'!$B$6:$B$300,$A290)+COUNTIF('Daniel'!$B$6:$B$300,$A290)+COUNTIF('Fernando'!$B$6:$B$300,$A290)+COUNTIF('Stephanie'!$B$6:$B$300,$A290)+COUNTIF('Fox'!$B$6:$B$300,$A290)+COUNTIF('Bruna'!$B$6:$B$300,$A290)+COUNTIF('Stella'!$B$6:$B$300,$A290)+COUNTIF('Igor'!$B$6:$B$300,$A290))=0),"",(COUNTIFS('Clarice'!$B$6:$B$300,$A290,'Clarice'!$F$6:$F$300,"Concluído")+COUNTIFS('Luisa'!$B$6:$B$300,$A290,'Luisa'!$F$6:$F$300,"Concluído")+COUNTIFS('Lui'!$B$6:$B$300,$A290,'Lui'!$F$6:$F$300,"Concluído")+COUNTIFS('Thaís'!$B$6:$B$300,$A290,'Thaís'!$F$6:$F$300,"Concluído")+COUNTIFS('Daniel'!$B$6:$B$300,$A290,'Daniel'!$F$6:$F$300,"Concluído")+COUNTIFS('Fernando'!$B$6:$B$300,$A290,'Fernando'!$F$6:$F$300,"Concluído")+COUNTIFS('Stephanie'!$B$6:$B$300,$A290,'Stephanie'!$F$6:$F$300,"Concluído")+COUNTIFS('Fox'!$B$6:$B$300,$A290,'Fox'!$F$6:$F$300,"Concluído")+COUNTIFS('Bruna'!$B$6:$B$300,$A290,'Bruna'!$F$6:$F$300,"Concluído")+COUNTIFS('Stella'!$B$6:$B$300,$A290,'Stella'!$F$6:$F$300,"Concluído")+COUNTIFS('Igor'!$B$6:$B$300,$A290,'Igor'!$F$6:$F$300,"Concluído"))&amp;" / "&amp;(COUNTIF('Clarice'!$B$6:$B$300,$A290)+COUNTIF('Luisa'!$B$6:$B$300,$A290)+COUNTIF('Lui'!$B$6:$B$300,$A290)+COUNTIF('Thaís'!$B$6:$B$300,$A290)+COUNTIF('Daniel'!$B$6:$B$300,$A290)+COUNTIF('Fernando'!$B$6:$B$300,$A290)+COUNTIF('Stephanie'!$B$6:$B$300,$A290)+COUNTIF('Fox'!$B$6:$B$300,$A290)+COUNTIF('Bruna'!$B$6:$B$300,$A290)+COUNTIF('Stella'!$B$6:$B$300,$A290)+COUNTIF('Igor'!$B$6:$B$300,$A290)))</f>
        <v/>
      </c>
      <c r="P290" s="25">
        <f>IF($A290="","",IF(M290&lt;&gt;"",M290,IF(K290&lt;&gt;"",K290,"")))</f>
        <v/>
      </c>
      <c r="Q290" s="25">
        <f>IF($A290="","",IF(N290&lt;&gt;"",N290,IF(L290&lt;&gt;"",L290,"")))</f>
        <v/>
      </c>
      <c r="S290" s="23">
        <f t="array" ref="S290">IF($A290="","",_xlfn.TEXTJOIN(CHAR(10),TRUE,IF('Clarice'!$B$6:$B$300=$A290,"Clarice"&amp;IF('Clarice'!$E$6:$E$300="",""," : "&amp;'Clarice'!$E$6:$E$300)&amp;" ["&amp;'Clarice'!$F$6:$F$300&amp;"]",""),IF('Luisa'!$B$6:$B$300=$A290,"Luisa"&amp;IF('Luisa'!$E$6:$E$300="",""," : "&amp;'Luisa'!$E$6:$E$300)&amp;" ["&amp;'Luisa'!$F$6:$F$300&amp;"]",""),IF('Lui'!$B$6:$B$300=$A290,"Lui"&amp;IF('Lui'!$E$6:$E$300="",""," : "&amp;'Lui'!$E$6:$E$300)&amp;" ["&amp;'Lui'!$F$6:$F$300&amp;"]",""),IF('Thaís'!$B$6:$B$300=$A290,"Thaís"&amp;IF('Thaís'!$E$6:$E$300="",""," : "&amp;'Thaís'!$E$6:$E$300)&amp;" ["&amp;'Thaís'!$F$6:$F$300&amp;"]",""),IF('Daniel'!$B$6:$B$300=$A290,"Daniel"&amp;IF('Daniel'!$E$6:$E$300="",""," : "&amp;'Daniel'!$E$6:$E$300)&amp;" ["&amp;'Daniel'!$F$6:$F$300&amp;"]",""),IF('Fernando'!$B$6:$B$300=$A290,"Fernando"&amp;IF('Fernando'!$E$6:$E$300="",""," : "&amp;'Fernando'!$E$6:$E$300)&amp;" ["&amp;'Fernando'!$F$6:$F$300&amp;"]",""),IF('Stephanie'!$B$6:$B$300=$A290,"Stephanie"&amp;IF('Stephanie'!$E$6:$E$300="",""," : "&amp;'Stephanie'!$E$6:$E$300)&amp;" ["&amp;'Stephanie'!$F$6:$F$300&amp;"]",""),IF('Fox'!$B$6:$B$300=$A290,"Fox"&amp;IF('Fox'!$E$6:$E$300="",""," : "&amp;'Fox'!$E$6:$E$300)&amp;" ["&amp;'Fox'!$F$6:$F$300&amp;"]",""),IF('Bruna'!$B$6:$B$300=$A290,"Bruna"&amp;IF('Bruna'!$E$6:$E$300="",""," : "&amp;'Bruna'!$E$6:$E$300)&amp;" ["&amp;'Bruna'!$F$6:$F$300&amp;"]",""),IF('Stella'!$B$6:$B$300=$A290,"Stella"&amp;IF('Stella'!$E$6:$E$300="",""," : "&amp;'Stella'!$E$6:$E$300)&amp;" ["&amp;'Stella'!$F$6:$F$300&amp;"]",""),IF('Igor'!$B$6:$B$300=$A290,"Igor"&amp;IF('Igor'!$E$6:$E$300="",""," : "&amp;'Igor'!$E$6:$E$300)&amp;" ["&amp;'Igor'!$F$6:$F$300&amp;"]","")))</f>
        <v/>
      </c>
    </row>
    <row r="291">
      <c r="G291" s="23">
        <f>IF($A291="","",_xlfn.TEXTJOIN("; ",TRUE,IF(COUNTIF('Clarice'!$B$6:$B$300,$A291)&gt;0,"Clarice",""),IF(COUNTIF('Luisa'!$B$6:$B$300,$A291)&gt;0,"Luisa",""),IF(COUNTIF('Lui'!$B$6:$B$300,$A291)&gt;0,"Lui",""),IF(COUNTIF('Thaís'!$B$6:$B$300,$A291)&gt;0,"Thaís",""),IF(COUNTIF('Daniel'!$B$6:$B$300,$A291)&gt;0,"Daniel",""),IF(COUNTIF('Fernando'!$B$6:$B$300,$A291)&gt;0,"Fernando",""),IF(COUNTIF('Stephanie'!$B$6:$B$300,$A291)&gt;0,"Stephanie",""),IF(COUNTIF('Fox'!$B$6:$B$300,$A291)&gt;0,"Fox",""),IF(COUNTIF('Bruna'!$B$6:$B$300,$A291)&gt;0,"Bruna",""),IF(COUNTIF('Stella'!$B$6:$B$300,$A291)&gt;0,"Stella",""),IF(COUNTIF('Igor'!$B$6:$B$300,$A291)&gt;0,"Igor","")))</f>
        <v/>
      </c>
      <c r="J291" s="24">
        <f>IF(OR($A291="",(COUNTIF('Clarice'!$B$6:$B$300,$A291)+COUNTIF('Luisa'!$B$6:$B$300,$A291)+COUNTIF('Lui'!$B$6:$B$300,$A291)+COUNTIF('Thaís'!$B$6:$B$300,$A291)+COUNTIF('Daniel'!$B$6:$B$300,$A291)+COUNTIF('Fernando'!$B$6:$B$300,$A291)+COUNTIF('Stephanie'!$B$6:$B$300,$A291)+COUNTIF('Fox'!$B$6:$B$300,$A291)+COUNTIF('Bruna'!$B$6:$B$300,$A291)+COUNTIF('Stella'!$B$6:$B$300,$A291)+COUNTIF('Igor'!$B$6:$B$300,$A291))=0),"",(COUNTIFS('Clarice'!$B$6:$B$300,$A291,'Clarice'!$F$6:$F$300,"Concluído")+COUNTIFS('Luisa'!$B$6:$B$300,$A291,'Luisa'!$F$6:$F$300,"Concluído")+COUNTIFS('Lui'!$B$6:$B$300,$A291,'Lui'!$F$6:$F$300,"Concluído")+COUNTIFS('Thaís'!$B$6:$B$300,$A291,'Thaís'!$F$6:$F$300,"Concluído")+COUNTIFS('Daniel'!$B$6:$B$300,$A291,'Daniel'!$F$6:$F$300,"Concluído")+COUNTIFS('Fernando'!$B$6:$B$300,$A291,'Fernando'!$F$6:$F$300,"Concluído")+COUNTIFS('Stephanie'!$B$6:$B$300,$A291,'Stephanie'!$F$6:$F$300,"Concluído")+COUNTIFS('Fox'!$B$6:$B$300,$A291,'Fox'!$F$6:$F$300,"Concluído")+COUNTIFS('Bruna'!$B$6:$B$300,$A291,'Bruna'!$F$6:$F$300,"Concluído")+COUNTIFS('Stella'!$B$6:$B$300,$A291,'Stella'!$F$6:$F$300,"Concluído")+COUNTIFS('Igor'!$B$6:$B$300,$A291,'Igor'!$F$6:$F$300,"Concluído"))&amp;" / "&amp;(COUNTIF('Clarice'!$B$6:$B$300,$A291)+COUNTIF('Luisa'!$B$6:$B$300,$A291)+COUNTIF('Lui'!$B$6:$B$300,$A291)+COUNTIF('Thaís'!$B$6:$B$300,$A291)+COUNTIF('Daniel'!$B$6:$B$300,$A291)+COUNTIF('Fernando'!$B$6:$B$300,$A291)+COUNTIF('Stephanie'!$B$6:$B$300,$A291)+COUNTIF('Fox'!$B$6:$B$300,$A291)+COUNTIF('Bruna'!$B$6:$B$300,$A291)+COUNTIF('Stella'!$B$6:$B$300,$A291)+COUNTIF('Igor'!$B$6:$B$300,$A291)))</f>
        <v/>
      </c>
      <c r="P291" s="25">
        <f>IF($A291="","",IF(M291&lt;&gt;"",M291,IF(K291&lt;&gt;"",K291,"")))</f>
        <v/>
      </c>
      <c r="Q291" s="25">
        <f>IF($A291="","",IF(N291&lt;&gt;"",N291,IF(L291&lt;&gt;"",L291,"")))</f>
        <v/>
      </c>
      <c r="S291" s="23">
        <f t="array" ref="S291">IF($A291="","",_xlfn.TEXTJOIN(CHAR(10),TRUE,IF('Clarice'!$B$6:$B$300=$A291,"Clarice"&amp;IF('Clarice'!$E$6:$E$300="",""," : "&amp;'Clarice'!$E$6:$E$300)&amp;" ["&amp;'Clarice'!$F$6:$F$300&amp;"]",""),IF('Luisa'!$B$6:$B$300=$A291,"Luisa"&amp;IF('Luisa'!$E$6:$E$300="",""," : "&amp;'Luisa'!$E$6:$E$300)&amp;" ["&amp;'Luisa'!$F$6:$F$300&amp;"]",""),IF('Lui'!$B$6:$B$300=$A291,"Lui"&amp;IF('Lui'!$E$6:$E$300="",""," : "&amp;'Lui'!$E$6:$E$300)&amp;" ["&amp;'Lui'!$F$6:$F$300&amp;"]",""),IF('Thaís'!$B$6:$B$300=$A291,"Thaís"&amp;IF('Thaís'!$E$6:$E$300="",""," : "&amp;'Thaís'!$E$6:$E$300)&amp;" ["&amp;'Thaís'!$F$6:$F$300&amp;"]",""),IF('Daniel'!$B$6:$B$300=$A291,"Daniel"&amp;IF('Daniel'!$E$6:$E$300="",""," : "&amp;'Daniel'!$E$6:$E$300)&amp;" ["&amp;'Daniel'!$F$6:$F$300&amp;"]",""),IF('Fernando'!$B$6:$B$300=$A291,"Fernando"&amp;IF('Fernando'!$E$6:$E$300="",""," : "&amp;'Fernando'!$E$6:$E$300)&amp;" ["&amp;'Fernando'!$F$6:$F$300&amp;"]",""),IF('Stephanie'!$B$6:$B$300=$A291,"Stephanie"&amp;IF('Stephanie'!$E$6:$E$300="",""," : "&amp;'Stephanie'!$E$6:$E$300)&amp;" ["&amp;'Stephanie'!$F$6:$F$300&amp;"]",""),IF('Fox'!$B$6:$B$300=$A291,"Fox"&amp;IF('Fox'!$E$6:$E$300="",""," : "&amp;'Fox'!$E$6:$E$300)&amp;" ["&amp;'Fox'!$F$6:$F$300&amp;"]",""),IF('Bruna'!$B$6:$B$300=$A291,"Bruna"&amp;IF('Bruna'!$E$6:$E$300="",""," : "&amp;'Bruna'!$E$6:$E$300)&amp;" ["&amp;'Bruna'!$F$6:$F$300&amp;"]",""),IF('Stella'!$B$6:$B$300=$A291,"Stella"&amp;IF('Stella'!$E$6:$E$300="",""," : "&amp;'Stella'!$E$6:$E$300)&amp;" ["&amp;'Stella'!$F$6:$F$300&amp;"]",""),IF('Igor'!$B$6:$B$300=$A291,"Igor"&amp;IF('Igor'!$E$6:$E$300="",""," : "&amp;'Igor'!$E$6:$E$300)&amp;" ["&amp;'Igor'!$F$6:$F$300&amp;"]","")))</f>
        <v/>
      </c>
    </row>
    <row r="292">
      <c r="G292" s="23">
        <f>IF($A292="","",_xlfn.TEXTJOIN("; ",TRUE,IF(COUNTIF('Clarice'!$B$6:$B$300,$A292)&gt;0,"Clarice",""),IF(COUNTIF('Luisa'!$B$6:$B$300,$A292)&gt;0,"Luisa",""),IF(COUNTIF('Lui'!$B$6:$B$300,$A292)&gt;0,"Lui",""),IF(COUNTIF('Thaís'!$B$6:$B$300,$A292)&gt;0,"Thaís",""),IF(COUNTIF('Daniel'!$B$6:$B$300,$A292)&gt;0,"Daniel",""),IF(COUNTIF('Fernando'!$B$6:$B$300,$A292)&gt;0,"Fernando",""),IF(COUNTIF('Stephanie'!$B$6:$B$300,$A292)&gt;0,"Stephanie",""),IF(COUNTIF('Fox'!$B$6:$B$300,$A292)&gt;0,"Fox",""),IF(COUNTIF('Bruna'!$B$6:$B$300,$A292)&gt;0,"Bruna",""),IF(COUNTIF('Stella'!$B$6:$B$300,$A292)&gt;0,"Stella",""),IF(COUNTIF('Igor'!$B$6:$B$300,$A292)&gt;0,"Igor","")))</f>
        <v/>
      </c>
      <c r="J292" s="24">
        <f>IF(OR($A292="",(COUNTIF('Clarice'!$B$6:$B$300,$A292)+COUNTIF('Luisa'!$B$6:$B$300,$A292)+COUNTIF('Lui'!$B$6:$B$300,$A292)+COUNTIF('Thaís'!$B$6:$B$300,$A292)+COUNTIF('Daniel'!$B$6:$B$300,$A292)+COUNTIF('Fernando'!$B$6:$B$300,$A292)+COUNTIF('Stephanie'!$B$6:$B$300,$A292)+COUNTIF('Fox'!$B$6:$B$300,$A292)+COUNTIF('Bruna'!$B$6:$B$300,$A292)+COUNTIF('Stella'!$B$6:$B$300,$A292)+COUNTIF('Igor'!$B$6:$B$300,$A292))=0),"",(COUNTIFS('Clarice'!$B$6:$B$300,$A292,'Clarice'!$F$6:$F$300,"Concluído")+COUNTIFS('Luisa'!$B$6:$B$300,$A292,'Luisa'!$F$6:$F$300,"Concluído")+COUNTIFS('Lui'!$B$6:$B$300,$A292,'Lui'!$F$6:$F$300,"Concluído")+COUNTIFS('Thaís'!$B$6:$B$300,$A292,'Thaís'!$F$6:$F$300,"Concluído")+COUNTIFS('Daniel'!$B$6:$B$300,$A292,'Daniel'!$F$6:$F$300,"Concluído")+COUNTIFS('Fernando'!$B$6:$B$300,$A292,'Fernando'!$F$6:$F$300,"Concluído")+COUNTIFS('Stephanie'!$B$6:$B$300,$A292,'Stephanie'!$F$6:$F$300,"Concluído")+COUNTIFS('Fox'!$B$6:$B$300,$A292,'Fox'!$F$6:$F$300,"Concluído")+COUNTIFS('Bruna'!$B$6:$B$300,$A292,'Bruna'!$F$6:$F$300,"Concluído")+COUNTIFS('Stella'!$B$6:$B$300,$A292,'Stella'!$F$6:$F$300,"Concluído")+COUNTIFS('Igor'!$B$6:$B$300,$A292,'Igor'!$F$6:$F$300,"Concluído"))&amp;" / "&amp;(COUNTIF('Clarice'!$B$6:$B$300,$A292)+COUNTIF('Luisa'!$B$6:$B$300,$A292)+COUNTIF('Lui'!$B$6:$B$300,$A292)+COUNTIF('Thaís'!$B$6:$B$300,$A292)+COUNTIF('Daniel'!$B$6:$B$300,$A292)+COUNTIF('Fernando'!$B$6:$B$300,$A292)+COUNTIF('Stephanie'!$B$6:$B$300,$A292)+COUNTIF('Fox'!$B$6:$B$300,$A292)+COUNTIF('Bruna'!$B$6:$B$300,$A292)+COUNTIF('Stella'!$B$6:$B$300,$A292)+COUNTIF('Igor'!$B$6:$B$300,$A292)))</f>
        <v/>
      </c>
      <c r="P292" s="25">
        <f>IF($A292="","",IF(M292&lt;&gt;"",M292,IF(K292&lt;&gt;"",K292,"")))</f>
        <v/>
      </c>
      <c r="Q292" s="25">
        <f>IF($A292="","",IF(N292&lt;&gt;"",N292,IF(L292&lt;&gt;"",L292,"")))</f>
        <v/>
      </c>
      <c r="S292" s="23">
        <f t="array" ref="S292">IF($A292="","",_xlfn.TEXTJOIN(CHAR(10),TRUE,IF('Clarice'!$B$6:$B$300=$A292,"Clarice"&amp;IF('Clarice'!$E$6:$E$300="",""," : "&amp;'Clarice'!$E$6:$E$300)&amp;" ["&amp;'Clarice'!$F$6:$F$300&amp;"]",""),IF('Luisa'!$B$6:$B$300=$A292,"Luisa"&amp;IF('Luisa'!$E$6:$E$300="",""," : "&amp;'Luisa'!$E$6:$E$300)&amp;" ["&amp;'Luisa'!$F$6:$F$300&amp;"]",""),IF('Lui'!$B$6:$B$300=$A292,"Lui"&amp;IF('Lui'!$E$6:$E$300="",""," : "&amp;'Lui'!$E$6:$E$300)&amp;" ["&amp;'Lui'!$F$6:$F$300&amp;"]",""),IF('Thaís'!$B$6:$B$300=$A292,"Thaís"&amp;IF('Thaís'!$E$6:$E$300="",""," : "&amp;'Thaís'!$E$6:$E$300)&amp;" ["&amp;'Thaís'!$F$6:$F$300&amp;"]",""),IF('Daniel'!$B$6:$B$300=$A292,"Daniel"&amp;IF('Daniel'!$E$6:$E$300="",""," : "&amp;'Daniel'!$E$6:$E$300)&amp;" ["&amp;'Daniel'!$F$6:$F$300&amp;"]",""),IF('Fernando'!$B$6:$B$300=$A292,"Fernando"&amp;IF('Fernando'!$E$6:$E$300="",""," : "&amp;'Fernando'!$E$6:$E$300)&amp;" ["&amp;'Fernando'!$F$6:$F$300&amp;"]",""),IF('Stephanie'!$B$6:$B$300=$A292,"Stephanie"&amp;IF('Stephanie'!$E$6:$E$300="",""," : "&amp;'Stephanie'!$E$6:$E$300)&amp;" ["&amp;'Stephanie'!$F$6:$F$300&amp;"]",""),IF('Fox'!$B$6:$B$300=$A292,"Fox"&amp;IF('Fox'!$E$6:$E$300="",""," : "&amp;'Fox'!$E$6:$E$300)&amp;" ["&amp;'Fox'!$F$6:$F$300&amp;"]",""),IF('Bruna'!$B$6:$B$300=$A292,"Bruna"&amp;IF('Bruna'!$E$6:$E$300="",""," : "&amp;'Bruna'!$E$6:$E$300)&amp;" ["&amp;'Bruna'!$F$6:$F$300&amp;"]",""),IF('Stella'!$B$6:$B$300=$A292,"Stella"&amp;IF('Stella'!$E$6:$E$300="",""," : "&amp;'Stella'!$E$6:$E$300)&amp;" ["&amp;'Stella'!$F$6:$F$300&amp;"]",""),IF('Igor'!$B$6:$B$300=$A292,"Igor"&amp;IF('Igor'!$E$6:$E$300="",""," : "&amp;'Igor'!$E$6:$E$300)&amp;" ["&amp;'Igor'!$F$6:$F$300&amp;"]","")))</f>
        <v/>
      </c>
    </row>
    <row r="293">
      <c r="G293" s="23">
        <f>IF($A293="","",_xlfn.TEXTJOIN("; ",TRUE,IF(COUNTIF('Clarice'!$B$6:$B$300,$A293)&gt;0,"Clarice",""),IF(COUNTIF('Luisa'!$B$6:$B$300,$A293)&gt;0,"Luisa",""),IF(COUNTIF('Lui'!$B$6:$B$300,$A293)&gt;0,"Lui",""),IF(COUNTIF('Thaís'!$B$6:$B$300,$A293)&gt;0,"Thaís",""),IF(COUNTIF('Daniel'!$B$6:$B$300,$A293)&gt;0,"Daniel",""),IF(COUNTIF('Fernando'!$B$6:$B$300,$A293)&gt;0,"Fernando",""),IF(COUNTIF('Stephanie'!$B$6:$B$300,$A293)&gt;0,"Stephanie",""),IF(COUNTIF('Fox'!$B$6:$B$300,$A293)&gt;0,"Fox",""),IF(COUNTIF('Bruna'!$B$6:$B$300,$A293)&gt;0,"Bruna",""),IF(COUNTIF('Stella'!$B$6:$B$300,$A293)&gt;0,"Stella",""),IF(COUNTIF('Igor'!$B$6:$B$300,$A293)&gt;0,"Igor","")))</f>
        <v/>
      </c>
      <c r="J293" s="24">
        <f>IF(OR($A293="",(COUNTIF('Clarice'!$B$6:$B$300,$A293)+COUNTIF('Luisa'!$B$6:$B$300,$A293)+COUNTIF('Lui'!$B$6:$B$300,$A293)+COUNTIF('Thaís'!$B$6:$B$300,$A293)+COUNTIF('Daniel'!$B$6:$B$300,$A293)+COUNTIF('Fernando'!$B$6:$B$300,$A293)+COUNTIF('Stephanie'!$B$6:$B$300,$A293)+COUNTIF('Fox'!$B$6:$B$300,$A293)+COUNTIF('Bruna'!$B$6:$B$300,$A293)+COUNTIF('Stella'!$B$6:$B$300,$A293)+COUNTIF('Igor'!$B$6:$B$300,$A293))=0),"",(COUNTIFS('Clarice'!$B$6:$B$300,$A293,'Clarice'!$F$6:$F$300,"Concluído")+COUNTIFS('Luisa'!$B$6:$B$300,$A293,'Luisa'!$F$6:$F$300,"Concluído")+COUNTIFS('Lui'!$B$6:$B$300,$A293,'Lui'!$F$6:$F$300,"Concluído")+COUNTIFS('Thaís'!$B$6:$B$300,$A293,'Thaís'!$F$6:$F$300,"Concluído")+COUNTIFS('Daniel'!$B$6:$B$300,$A293,'Daniel'!$F$6:$F$300,"Concluído")+COUNTIFS('Fernando'!$B$6:$B$300,$A293,'Fernando'!$F$6:$F$300,"Concluído")+COUNTIFS('Stephanie'!$B$6:$B$300,$A293,'Stephanie'!$F$6:$F$300,"Concluído")+COUNTIFS('Fox'!$B$6:$B$300,$A293,'Fox'!$F$6:$F$300,"Concluído")+COUNTIFS('Bruna'!$B$6:$B$300,$A293,'Bruna'!$F$6:$F$300,"Concluído")+COUNTIFS('Stella'!$B$6:$B$300,$A293,'Stella'!$F$6:$F$300,"Concluído")+COUNTIFS('Igor'!$B$6:$B$300,$A293,'Igor'!$F$6:$F$300,"Concluído"))&amp;" / "&amp;(COUNTIF('Clarice'!$B$6:$B$300,$A293)+COUNTIF('Luisa'!$B$6:$B$300,$A293)+COUNTIF('Lui'!$B$6:$B$300,$A293)+COUNTIF('Thaís'!$B$6:$B$300,$A293)+COUNTIF('Daniel'!$B$6:$B$300,$A293)+COUNTIF('Fernando'!$B$6:$B$300,$A293)+COUNTIF('Stephanie'!$B$6:$B$300,$A293)+COUNTIF('Fox'!$B$6:$B$300,$A293)+COUNTIF('Bruna'!$B$6:$B$300,$A293)+COUNTIF('Stella'!$B$6:$B$300,$A293)+COUNTIF('Igor'!$B$6:$B$300,$A293)))</f>
        <v/>
      </c>
      <c r="P293" s="25">
        <f>IF($A293="","",IF(M293&lt;&gt;"",M293,IF(K293&lt;&gt;"",K293,"")))</f>
        <v/>
      </c>
      <c r="Q293" s="25">
        <f>IF($A293="","",IF(N293&lt;&gt;"",N293,IF(L293&lt;&gt;"",L293,"")))</f>
        <v/>
      </c>
      <c r="S293" s="23">
        <f t="array" ref="S293">IF($A293="","",_xlfn.TEXTJOIN(CHAR(10),TRUE,IF('Clarice'!$B$6:$B$300=$A293,"Clarice"&amp;IF('Clarice'!$E$6:$E$300="",""," : "&amp;'Clarice'!$E$6:$E$300)&amp;" ["&amp;'Clarice'!$F$6:$F$300&amp;"]",""),IF('Luisa'!$B$6:$B$300=$A293,"Luisa"&amp;IF('Luisa'!$E$6:$E$300="",""," : "&amp;'Luisa'!$E$6:$E$300)&amp;" ["&amp;'Luisa'!$F$6:$F$300&amp;"]",""),IF('Lui'!$B$6:$B$300=$A293,"Lui"&amp;IF('Lui'!$E$6:$E$300="",""," : "&amp;'Lui'!$E$6:$E$300)&amp;" ["&amp;'Lui'!$F$6:$F$300&amp;"]",""),IF('Thaís'!$B$6:$B$300=$A293,"Thaís"&amp;IF('Thaís'!$E$6:$E$300="",""," : "&amp;'Thaís'!$E$6:$E$300)&amp;" ["&amp;'Thaís'!$F$6:$F$300&amp;"]",""),IF('Daniel'!$B$6:$B$300=$A293,"Daniel"&amp;IF('Daniel'!$E$6:$E$300="",""," : "&amp;'Daniel'!$E$6:$E$300)&amp;" ["&amp;'Daniel'!$F$6:$F$300&amp;"]",""),IF('Fernando'!$B$6:$B$300=$A293,"Fernando"&amp;IF('Fernando'!$E$6:$E$300="",""," : "&amp;'Fernando'!$E$6:$E$300)&amp;" ["&amp;'Fernando'!$F$6:$F$300&amp;"]",""),IF('Stephanie'!$B$6:$B$300=$A293,"Stephanie"&amp;IF('Stephanie'!$E$6:$E$300="",""," : "&amp;'Stephanie'!$E$6:$E$300)&amp;" ["&amp;'Stephanie'!$F$6:$F$300&amp;"]",""),IF('Fox'!$B$6:$B$300=$A293,"Fox"&amp;IF('Fox'!$E$6:$E$300="",""," : "&amp;'Fox'!$E$6:$E$300)&amp;" ["&amp;'Fox'!$F$6:$F$300&amp;"]",""),IF('Bruna'!$B$6:$B$300=$A293,"Bruna"&amp;IF('Bruna'!$E$6:$E$300="",""," : "&amp;'Bruna'!$E$6:$E$300)&amp;" ["&amp;'Bruna'!$F$6:$F$300&amp;"]",""),IF('Stella'!$B$6:$B$300=$A293,"Stella"&amp;IF('Stella'!$E$6:$E$300="",""," : "&amp;'Stella'!$E$6:$E$300)&amp;" ["&amp;'Stella'!$F$6:$F$300&amp;"]",""),IF('Igor'!$B$6:$B$300=$A293,"Igor"&amp;IF('Igor'!$E$6:$E$300="",""," : "&amp;'Igor'!$E$6:$E$300)&amp;" ["&amp;'Igor'!$F$6:$F$300&amp;"]","")))</f>
        <v/>
      </c>
    </row>
    <row r="294">
      <c r="G294" s="23">
        <f>IF($A294="","",_xlfn.TEXTJOIN("; ",TRUE,IF(COUNTIF('Clarice'!$B$6:$B$300,$A294)&gt;0,"Clarice",""),IF(COUNTIF('Luisa'!$B$6:$B$300,$A294)&gt;0,"Luisa",""),IF(COUNTIF('Lui'!$B$6:$B$300,$A294)&gt;0,"Lui",""),IF(COUNTIF('Thaís'!$B$6:$B$300,$A294)&gt;0,"Thaís",""),IF(COUNTIF('Daniel'!$B$6:$B$300,$A294)&gt;0,"Daniel",""),IF(COUNTIF('Fernando'!$B$6:$B$300,$A294)&gt;0,"Fernando",""),IF(COUNTIF('Stephanie'!$B$6:$B$300,$A294)&gt;0,"Stephanie",""),IF(COUNTIF('Fox'!$B$6:$B$300,$A294)&gt;0,"Fox",""),IF(COUNTIF('Bruna'!$B$6:$B$300,$A294)&gt;0,"Bruna",""),IF(COUNTIF('Stella'!$B$6:$B$300,$A294)&gt;0,"Stella",""),IF(COUNTIF('Igor'!$B$6:$B$300,$A294)&gt;0,"Igor","")))</f>
        <v/>
      </c>
      <c r="J294" s="24">
        <f>IF(OR($A294="",(COUNTIF('Clarice'!$B$6:$B$300,$A294)+COUNTIF('Luisa'!$B$6:$B$300,$A294)+COUNTIF('Lui'!$B$6:$B$300,$A294)+COUNTIF('Thaís'!$B$6:$B$300,$A294)+COUNTIF('Daniel'!$B$6:$B$300,$A294)+COUNTIF('Fernando'!$B$6:$B$300,$A294)+COUNTIF('Stephanie'!$B$6:$B$300,$A294)+COUNTIF('Fox'!$B$6:$B$300,$A294)+COUNTIF('Bruna'!$B$6:$B$300,$A294)+COUNTIF('Stella'!$B$6:$B$300,$A294)+COUNTIF('Igor'!$B$6:$B$300,$A294))=0),"",(COUNTIFS('Clarice'!$B$6:$B$300,$A294,'Clarice'!$F$6:$F$300,"Concluído")+COUNTIFS('Luisa'!$B$6:$B$300,$A294,'Luisa'!$F$6:$F$300,"Concluído")+COUNTIFS('Lui'!$B$6:$B$300,$A294,'Lui'!$F$6:$F$300,"Concluído")+COUNTIFS('Thaís'!$B$6:$B$300,$A294,'Thaís'!$F$6:$F$300,"Concluído")+COUNTIFS('Daniel'!$B$6:$B$300,$A294,'Daniel'!$F$6:$F$300,"Concluído")+COUNTIFS('Fernando'!$B$6:$B$300,$A294,'Fernando'!$F$6:$F$300,"Concluído")+COUNTIFS('Stephanie'!$B$6:$B$300,$A294,'Stephanie'!$F$6:$F$300,"Concluído")+COUNTIFS('Fox'!$B$6:$B$300,$A294,'Fox'!$F$6:$F$300,"Concluído")+COUNTIFS('Bruna'!$B$6:$B$300,$A294,'Bruna'!$F$6:$F$300,"Concluído")+COUNTIFS('Stella'!$B$6:$B$300,$A294,'Stella'!$F$6:$F$300,"Concluído")+COUNTIFS('Igor'!$B$6:$B$300,$A294,'Igor'!$F$6:$F$300,"Concluído"))&amp;" / "&amp;(COUNTIF('Clarice'!$B$6:$B$300,$A294)+COUNTIF('Luisa'!$B$6:$B$300,$A294)+COUNTIF('Lui'!$B$6:$B$300,$A294)+COUNTIF('Thaís'!$B$6:$B$300,$A294)+COUNTIF('Daniel'!$B$6:$B$300,$A294)+COUNTIF('Fernando'!$B$6:$B$300,$A294)+COUNTIF('Stephanie'!$B$6:$B$300,$A294)+COUNTIF('Fox'!$B$6:$B$300,$A294)+COUNTIF('Bruna'!$B$6:$B$300,$A294)+COUNTIF('Stella'!$B$6:$B$300,$A294)+COUNTIF('Igor'!$B$6:$B$300,$A294)))</f>
        <v/>
      </c>
      <c r="P294" s="25">
        <f>IF($A294="","",IF(M294&lt;&gt;"",M294,IF(K294&lt;&gt;"",K294,"")))</f>
        <v/>
      </c>
      <c r="Q294" s="25">
        <f>IF($A294="","",IF(N294&lt;&gt;"",N294,IF(L294&lt;&gt;"",L294,"")))</f>
        <v/>
      </c>
      <c r="S294" s="23">
        <f t="array" ref="S294">IF($A294="","",_xlfn.TEXTJOIN(CHAR(10),TRUE,IF('Clarice'!$B$6:$B$300=$A294,"Clarice"&amp;IF('Clarice'!$E$6:$E$300="",""," : "&amp;'Clarice'!$E$6:$E$300)&amp;" ["&amp;'Clarice'!$F$6:$F$300&amp;"]",""),IF('Luisa'!$B$6:$B$300=$A294,"Luisa"&amp;IF('Luisa'!$E$6:$E$300="",""," : "&amp;'Luisa'!$E$6:$E$300)&amp;" ["&amp;'Luisa'!$F$6:$F$300&amp;"]",""),IF('Lui'!$B$6:$B$300=$A294,"Lui"&amp;IF('Lui'!$E$6:$E$300="",""," : "&amp;'Lui'!$E$6:$E$300)&amp;" ["&amp;'Lui'!$F$6:$F$300&amp;"]",""),IF('Thaís'!$B$6:$B$300=$A294,"Thaís"&amp;IF('Thaís'!$E$6:$E$300="",""," : "&amp;'Thaís'!$E$6:$E$300)&amp;" ["&amp;'Thaís'!$F$6:$F$300&amp;"]",""),IF('Daniel'!$B$6:$B$300=$A294,"Daniel"&amp;IF('Daniel'!$E$6:$E$300="",""," : "&amp;'Daniel'!$E$6:$E$300)&amp;" ["&amp;'Daniel'!$F$6:$F$300&amp;"]",""),IF('Fernando'!$B$6:$B$300=$A294,"Fernando"&amp;IF('Fernando'!$E$6:$E$300="",""," : "&amp;'Fernando'!$E$6:$E$300)&amp;" ["&amp;'Fernando'!$F$6:$F$300&amp;"]",""),IF('Stephanie'!$B$6:$B$300=$A294,"Stephanie"&amp;IF('Stephanie'!$E$6:$E$300="",""," : "&amp;'Stephanie'!$E$6:$E$300)&amp;" ["&amp;'Stephanie'!$F$6:$F$300&amp;"]",""),IF('Fox'!$B$6:$B$300=$A294,"Fox"&amp;IF('Fox'!$E$6:$E$300="",""," : "&amp;'Fox'!$E$6:$E$300)&amp;" ["&amp;'Fox'!$F$6:$F$300&amp;"]",""),IF('Bruna'!$B$6:$B$300=$A294,"Bruna"&amp;IF('Bruna'!$E$6:$E$300="",""," : "&amp;'Bruna'!$E$6:$E$300)&amp;" ["&amp;'Bruna'!$F$6:$F$300&amp;"]",""),IF('Stella'!$B$6:$B$300=$A294,"Stella"&amp;IF('Stella'!$E$6:$E$300="",""," : "&amp;'Stella'!$E$6:$E$300)&amp;" ["&amp;'Stella'!$F$6:$F$300&amp;"]",""),IF('Igor'!$B$6:$B$300=$A294,"Igor"&amp;IF('Igor'!$E$6:$E$300="",""," : "&amp;'Igor'!$E$6:$E$300)&amp;" ["&amp;'Igor'!$F$6:$F$300&amp;"]","")))</f>
        <v/>
      </c>
    </row>
    <row r="295">
      <c r="G295" s="23">
        <f>IF($A295="","",_xlfn.TEXTJOIN("; ",TRUE,IF(COUNTIF('Clarice'!$B$6:$B$300,$A295)&gt;0,"Clarice",""),IF(COUNTIF('Luisa'!$B$6:$B$300,$A295)&gt;0,"Luisa",""),IF(COUNTIF('Lui'!$B$6:$B$300,$A295)&gt;0,"Lui",""),IF(COUNTIF('Thaís'!$B$6:$B$300,$A295)&gt;0,"Thaís",""),IF(COUNTIF('Daniel'!$B$6:$B$300,$A295)&gt;0,"Daniel",""),IF(COUNTIF('Fernando'!$B$6:$B$300,$A295)&gt;0,"Fernando",""),IF(COUNTIF('Stephanie'!$B$6:$B$300,$A295)&gt;0,"Stephanie",""),IF(COUNTIF('Fox'!$B$6:$B$300,$A295)&gt;0,"Fox",""),IF(COUNTIF('Bruna'!$B$6:$B$300,$A295)&gt;0,"Bruna",""),IF(COUNTIF('Stella'!$B$6:$B$300,$A295)&gt;0,"Stella",""),IF(COUNTIF('Igor'!$B$6:$B$300,$A295)&gt;0,"Igor","")))</f>
        <v/>
      </c>
      <c r="J295" s="24">
        <f>IF(OR($A295="",(COUNTIF('Clarice'!$B$6:$B$300,$A295)+COUNTIF('Luisa'!$B$6:$B$300,$A295)+COUNTIF('Lui'!$B$6:$B$300,$A295)+COUNTIF('Thaís'!$B$6:$B$300,$A295)+COUNTIF('Daniel'!$B$6:$B$300,$A295)+COUNTIF('Fernando'!$B$6:$B$300,$A295)+COUNTIF('Stephanie'!$B$6:$B$300,$A295)+COUNTIF('Fox'!$B$6:$B$300,$A295)+COUNTIF('Bruna'!$B$6:$B$300,$A295)+COUNTIF('Stella'!$B$6:$B$300,$A295)+COUNTIF('Igor'!$B$6:$B$300,$A295))=0),"",(COUNTIFS('Clarice'!$B$6:$B$300,$A295,'Clarice'!$F$6:$F$300,"Concluído")+COUNTIFS('Luisa'!$B$6:$B$300,$A295,'Luisa'!$F$6:$F$300,"Concluído")+COUNTIFS('Lui'!$B$6:$B$300,$A295,'Lui'!$F$6:$F$300,"Concluído")+COUNTIFS('Thaís'!$B$6:$B$300,$A295,'Thaís'!$F$6:$F$300,"Concluído")+COUNTIFS('Daniel'!$B$6:$B$300,$A295,'Daniel'!$F$6:$F$300,"Concluído")+COUNTIFS('Fernando'!$B$6:$B$300,$A295,'Fernando'!$F$6:$F$300,"Concluído")+COUNTIFS('Stephanie'!$B$6:$B$300,$A295,'Stephanie'!$F$6:$F$300,"Concluído")+COUNTIFS('Fox'!$B$6:$B$300,$A295,'Fox'!$F$6:$F$300,"Concluído")+COUNTIFS('Bruna'!$B$6:$B$300,$A295,'Bruna'!$F$6:$F$300,"Concluído")+COUNTIFS('Stella'!$B$6:$B$300,$A295,'Stella'!$F$6:$F$300,"Concluído")+COUNTIFS('Igor'!$B$6:$B$300,$A295,'Igor'!$F$6:$F$300,"Concluído"))&amp;" / "&amp;(COUNTIF('Clarice'!$B$6:$B$300,$A295)+COUNTIF('Luisa'!$B$6:$B$300,$A295)+COUNTIF('Lui'!$B$6:$B$300,$A295)+COUNTIF('Thaís'!$B$6:$B$300,$A295)+COUNTIF('Daniel'!$B$6:$B$300,$A295)+COUNTIF('Fernando'!$B$6:$B$300,$A295)+COUNTIF('Stephanie'!$B$6:$B$300,$A295)+COUNTIF('Fox'!$B$6:$B$300,$A295)+COUNTIF('Bruna'!$B$6:$B$300,$A295)+COUNTIF('Stella'!$B$6:$B$300,$A295)+COUNTIF('Igor'!$B$6:$B$300,$A295)))</f>
        <v/>
      </c>
      <c r="P295" s="25">
        <f>IF($A295="","",IF(M295&lt;&gt;"",M295,IF(K295&lt;&gt;"",K295,"")))</f>
        <v/>
      </c>
      <c r="Q295" s="25">
        <f>IF($A295="","",IF(N295&lt;&gt;"",N295,IF(L295&lt;&gt;"",L295,"")))</f>
        <v/>
      </c>
      <c r="S295" s="23">
        <f t="array" ref="S295">IF($A295="","",_xlfn.TEXTJOIN(CHAR(10),TRUE,IF('Clarice'!$B$6:$B$300=$A295,"Clarice"&amp;IF('Clarice'!$E$6:$E$300="",""," : "&amp;'Clarice'!$E$6:$E$300)&amp;" ["&amp;'Clarice'!$F$6:$F$300&amp;"]",""),IF('Luisa'!$B$6:$B$300=$A295,"Luisa"&amp;IF('Luisa'!$E$6:$E$300="",""," : "&amp;'Luisa'!$E$6:$E$300)&amp;" ["&amp;'Luisa'!$F$6:$F$300&amp;"]",""),IF('Lui'!$B$6:$B$300=$A295,"Lui"&amp;IF('Lui'!$E$6:$E$300="",""," : "&amp;'Lui'!$E$6:$E$300)&amp;" ["&amp;'Lui'!$F$6:$F$300&amp;"]",""),IF('Thaís'!$B$6:$B$300=$A295,"Thaís"&amp;IF('Thaís'!$E$6:$E$300="",""," : "&amp;'Thaís'!$E$6:$E$300)&amp;" ["&amp;'Thaís'!$F$6:$F$300&amp;"]",""),IF('Daniel'!$B$6:$B$300=$A295,"Daniel"&amp;IF('Daniel'!$E$6:$E$300="",""," : "&amp;'Daniel'!$E$6:$E$300)&amp;" ["&amp;'Daniel'!$F$6:$F$300&amp;"]",""),IF('Fernando'!$B$6:$B$300=$A295,"Fernando"&amp;IF('Fernando'!$E$6:$E$300="",""," : "&amp;'Fernando'!$E$6:$E$300)&amp;" ["&amp;'Fernando'!$F$6:$F$300&amp;"]",""),IF('Stephanie'!$B$6:$B$300=$A295,"Stephanie"&amp;IF('Stephanie'!$E$6:$E$300="",""," : "&amp;'Stephanie'!$E$6:$E$300)&amp;" ["&amp;'Stephanie'!$F$6:$F$300&amp;"]",""),IF('Fox'!$B$6:$B$300=$A295,"Fox"&amp;IF('Fox'!$E$6:$E$300="",""," : "&amp;'Fox'!$E$6:$E$300)&amp;" ["&amp;'Fox'!$F$6:$F$300&amp;"]",""),IF('Bruna'!$B$6:$B$300=$A295,"Bruna"&amp;IF('Bruna'!$E$6:$E$300="",""," : "&amp;'Bruna'!$E$6:$E$300)&amp;" ["&amp;'Bruna'!$F$6:$F$300&amp;"]",""),IF('Stella'!$B$6:$B$300=$A295,"Stella"&amp;IF('Stella'!$E$6:$E$300="",""," : "&amp;'Stella'!$E$6:$E$300)&amp;" ["&amp;'Stella'!$F$6:$F$300&amp;"]",""),IF('Igor'!$B$6:$B$300=$A295,"Igor"&amp;IF('Igor'!$E$6:$E$300="",""," : "&amp;'Igor'!$E$6:$E$300)&amp;" ["&amp;'Igor'!$F$6:$F$300&amp;"]","")))</f>
        <v/>
      </c>
    </row>
    <row r="296">
      <c r="G296" s="23">
        <f>IF($A296="","",_xlfn.TEXTJOIN("; ",TRUE,IF(COUNTIF('Clarice'!$B$6:$B$300,$A296)&gt;0,"Clarice",""),IF(COUNTIF('Luisa'!$B$6:$B$300,$A296)&gt;0,"Luisa",""),IF(COUNTIF('Lui'!$B$6:$B$300,$A296)&gt;0,"Lui",""),IF(COUNTIF('Thaís'!$B$6:$B$300,$A296)&gt;0,"Thaís",""),IF(COUNTIF('Daniel'!$B$6:$B$300,$A296)&gt;0,"Daniel",""),IF(COUNTIF('Fernando'!$B$6:$B$300,$A296)&gt;0,"Fernando",""),IF(COUNTIF('Stephanie'!$B$6:$B$300,$A296)&gt;0,"Stephanie",""),IF(COUNTIF('Fox'!$B$6:$B$300,$A296)&gt;0,"Fox",""),IF(COUNTIF('Bruna'!$B$6:$B$300,$A296)&gt;0,"Bruna",""),IF(COUNTIF('Stella'!$B$6:$B$300,$A296)&gt;0,"Stella",""),IF(COUNTIF('Igor'!$B$6:$B$300,$A296)&gt;0,"Igor","")))</f>
        <v/>
      </c>
      <c r="J296" s="24">
        <f>IF(OR($A296="",(COUNTIF('Clarice'!$B$6:$B$300,$A296)+COUNTIF('Luisa'!$B$6:$B$300,$A296)+COUNTIF('Lui'!$B$6:$B$300,$A296)+COUNTIF('Thaís'!$B$6:$B$300,$A296)+COUNTIF('Daniel'!$B$6:$B$300,$A296)+COUNTIF('Fernando'!$B$6:$B$300,$A296)+COUNTIF('Stephanie'!$B$6:$B$300,$A296)+COUNTIF('Fox'!$B$6:$B$300,$A296)+COUNTIF('Bruna'!$B$6:$B$300,$A296)+COUNTIF('Stella'!$B$6:$B$300,$A296)+COUNTIF('Igor'!$B$6:$B$300,$A296))=0),"",(COUNTIFS('Clarice'!$B$6:$B$300,$A296,'Clarice'!$F$6:$F$300,"Concluído")+COUNTIFS('Luisa'!$B$6:$B$300,$A296,'Luisa'!$F$6:$F$300,"Concluído")+COUNTIFS('Lui'!$B$6:$B$300,$A296,'Lui'!$F$6:$F$300,"Concluído")+COUNTIFS('Thaís'!$B$6:$B$300,$A296,'Thaís'!$F$6:$F$300,"Concluído")+COUNTIFS('Daniel'!$B$6:$B$300,$A296,'Daniel'!$F$6:$F$300,"Concluído")+COUNTIFS('Fernando'!$B$6:$B$300,$A296,'Fernando'!$F$6:$F$300,"Concluído")+COUNTIFS('Stephanie'!$B$6:$B$300,$A296,'Stephanie'!$F$6:$F$300,"Concluído")+COUNTIFS('Fox'!$B$6:$B$300,$A296,'Fox'!$F$6:$F$300,"Concluído")+COUNTIFS('Bruna'!$B$6:$B$300,$A296,'Bruna'!$F$6:$F$300,"Concluído")+COUNTIFS('Stella'!$B$6:$B$300,$A296,'Stella'!$F$6:$F$300,"Concluído")+COUNTIFS('Igor'!$B$6:$B$300,$A296,'Igor'!$F$6:$F$300,"Concluído"))&amp;" / "&amp;(COUNTIF('Clarice'!$B$6:$B$300,$A296)+COUNTIF('Luisa'!$B$6:$B$300,$A296)+COUNTIF('Lui'!$B$6:$B$300,$A296)+COUNTIF('Thaís'!$B$6:$B$300,$A296)+COUNTIF('Daniel'!$B$6:$B$300,$A296)+COUNTIF('Fernando'!$B$6:$B$300,$A296)+COUNTIF('Stephanie'!$B$6:$B$300,$A296)+COUNTIF('Fox'!$B$6:$B$300,$A296)+COUNTIF('Bruna'!$B$6:$B$300,$A296)+COUNTIF('Stella'!$B$6:$B$300,$A296)+COUNTIF('Igor'!$B$6:$B$300,$A296)))</f>
        <v/>
      </c>
      <c r="P296" s="25">
        <f>IF($A296="","",IF(M296&lt;&gt;"",M296,IF(K296&lt;&gt;"",K296,"")))</f>
        <v/>
      </c>
      <c r="Q296" s="25">
        <f>IF($A296="","",IF(N296&lt;&gt;"",N296,IF(L296&lt;&gt;"",L296,"")))</f>
        <v/>
      </c>
      <c r="S296" s="23">
        <f t="array" ref="S296">IF($A296="","",_xlfn.TEXTJOIN(CHAR(10),TRUE,IF('Clarice'!$B$6:$B$300=$A296,"Clarice"&amp;IF('Clarice'!$E$6:$E$300="",""," : "&amp;'Clarice'!$E$6:$E$300)&amp;" ["&amp;'Clarice'!$F$6:$F$300&amp;"]",""),IF('Luisa'!$B$6:$B$300=$A296,"Luisa"&amp;IF('Luisa'!$E$6:$E$300="",""," : "&amp;'Luisa'!$E$6:$E$300)&amp;" ["&amp;'Luisa'!$F$6:$F$300&amp;"]",""),IF('Lui'!$B$6:$B$300=$A296,"Lui"&amp;IF('Lui'!$E$6:$E$300="",""," : "&amp;'Lui'!$E$6:$E$300)&amp;" ["&amp;'Lui'!$F$6:$F$300&amp;"]",""),IF('Thaís'!$B$6:$B$300=$A296,"Thaís"&amp;IF('Thaís'!$E$6:$E$300="",""," : "&amp;'Thaís'!$E$6:$E$300)&amp;" ["&amp;'Thaís'!$F$6:$F$300&amp;"]",""),IF('Daniel'!$B$6:$B$300=$A296,"Daniel"&amp;IF('Daniel'!$E$6:$E$300="",""," : "&amp;'Daniel'!$E$6:$E$300)&amp;" ["&amp;'Daniel'!$F$6:$F$300&amp;"]",""),IF('Fernando'!$B$6:$B$300=$A296,"Fernando"&amp;IF('Fernando'!$E$6:$E$300="",""," : "&amp;'Fernando'!$E$6:$E$300)&amp;" ["&amp;'Fernando'!$F$6:$F$300&amp;"]",""),IF('Stephanie'!$B$6:$B$300=$A296,"Stephanie"&amp;IF('Stephanie'!$E$6:$E$300="",""," : "&amp;'Stephanie'!$E$6:$E$300)&amp;" ["&amp;'Stephanie'!$F$6:$F$300&amp;"]",""),IF('Fox'!$B$6:$B$300=$A296,"Fox"&amp;IF('Fox'!$E$6:$E$300="",""," : "&amp;'Fox'!$E$6:$E$300)&amp;" ["&amp;'Fox'!$F$6:$F$300&amp;"]",""),IF('Bruna'!$B$6:$B$300=$A296,"Bruna"&amp;IF('Bruna'!$E$6:$E$300="",""," : "&amp;'Bruna'!$E$6:$E$300)&amp;" ["&amp;'Bruna'!$F$6:$F$300&amp;"]",""),IF('Stella'!$B$6:$B$300=$A296,"Stella"&amp;IF('Stella'!$E$6:$E$300="",""," : "&amp;'Stella'!$E$6:$E$300)&amp;" ["&amp;'Stella'!$F$6:$F$300&amp;"]",""),IF('Igor'!$B$6:$B$300=$A296,"Igor"&amp;IF('Igor'!$E$6:$E$300="",""," : "&amp;'Igor'!$E$6:$E$300)&amp;" ["&amp;'Igor'!$F$6:$F$300&amp;"]","")))</f>
        <v/>
      </c>
    </row>
    <row r="297">
      <c r="G297" s="23">
        <f>IF($A297="","",_xlfn.TEXTJOIN("; ",TRUE,IF(COUNTIF('Clarice'!$B$6:$B$300,$A297)&gt;0,"Clarice",""),IF(COUNTIF('Luisa'!$B$6:$B$300,$A297)&gt;0,"Luisa",""),IF(COUNTIF('Lui'!$B$6:$B$300,$A297)&gt;0,"Lui",""),IF(COUNTIF('Thaís'!$B$6:$B$300,$A297)&gt;0,"Thaís",""),IF(COUNTIF('Daniel'!$B$6:$B$300,$A297)&gt;0,"Daniel",""),IF(COUNTIF('Fernando'!$B$6:$B$300,$A297)&gt;0,"Fernando",""),IF(COUNTIF('Stephanie'!$B$6:$B$300,$A297)&gt;0,"Stephanie",""),IF(COUNTIF('Fox'!$B$6:$B$300,$A297)&gt;0,"Fox",""),IF(COUNTIF('Bruna'!$B$6:$B$300,$A297)&gt;0,"Bruna",""),IF(COUNTIF('Stella'!$B$6:$B$300,$A297)&gt;0,"Stella",""),IF(COUNTIF('Igor'!$B$6:$B$300,$A297)&gt;0,"Igor","")))</f>
        <v/>
      </c>
      <c r="J297" s="24">
        <f>IF(OR($A297="",(COUNTIF('Clarice'!$B$6:$B$300,$A297)+COUNTIF('Luisa'!$B$6:$B$300,$A297)+COUNTIF('Lui'!$B$6:$B$300,$A297)+COUNTIF('Thaís'!$B$6:$B$300,$A297)+COUNTIF('Daniel'!$B$6:$B$300,$A297)+COUNTIF('Fernando'!$B$6:$B$300,$A297)+COUNTIF('Stephanie'!$B$6:$B$300,$A297)+COUNTIF('Fox'!$B$6:$B$300,$A297)+COUNTIF('Bruna'!$B$6:$B$300,$A297)+COUNTIF('Stella'!$B$6:$B$300,$A297)+COUNTIF('Igor'!$B$6:$B$300,$A297))=0),"",(COUNTIFS('Clarice'!$B$6:$B$300,$A297,'Clarice'!$F$6:$F$300,"Concluído")+COUNTIFS('Luisa'!$B$6:$B$300,$A297,'Luisa'!$F$6:$F$300,"Concluído")+COUNTIFS('Lui'!$B$6:$B$300,$A297,'Lui'!$F$6:$F$300,"Concluído")+COUNTIFS('Thaís'!$B$6:$B$300,$A297,'Thaís'!$F$6:$F$300,"Concluído")+COUNTIFS('Daniel'!$B$6:$B$300,$A297,'Daniel'!$F$6:$F$300,"Concluído")+COUNTIFS('Fernando'!$B$6:$B$300,$A297,'Fernando'!$F$6:$F$300,"Concluído")+COUNTIFS('Stephanie'!$B$6:$B$300,$A297,'Stephanie'!$F$6:$F$300,"Concluído")+COUNTIFS('Fox'!$B$6:$B$300,$A297,'Fox'!$F$6:$F$300,"Concluído")+COUNTIFS('Bruna'!$B$6:$B$300,$A297,'Bruna'!$F$6:$F$300,"Concluído")+COUNTIFS('Stella'!$B$6:$B$300,$A297,'Stella'!$F$6:$F$300,"Concluído")+COUNTIFS('Igor'!$B$6:$B$300,$A297,'Igor'!$F$6:$F$300,"Concluído"))&amp;" / "&amp;(COUNTIF('Clarice'!$B$6:$B$300,$A297)+COUNTIF('Luisa'!$B$6:$B$300,$A297)+COUNTIF('Lui'!$B$6:$B$300,$A297)+COUNTIF('Thaís'!$B$6:$B$300,$A297)+COUNTIF('Daniel'!$B$6:$B$300,$A297)+COUNTIF('Fernando'!$B$6:$B$300,$A297)+COUNTIF('Stephanie'!$B$6:$B$300,$A297)+COUNTIF('Fox'!$B$6:$B$300,$A297)+COUNTIF('Bruna'!$B$6:$B$300,$A297)+COUNTIF('Stella'!$B$6:$B$300,$A297)+COUNTIF('Igor'!$B$6:$B$300,$A297)))</f>
        <v/>
      </c>
      <c r="P297" s="25">
        <f>IF($A297="","",IF(M297&lt;&gt;"",M297,IF(K297&lt;&gt;"",K297,"")))</f>
        <v/>
      </c>
      <c r="Q297" s="25">
        <f>IF($A297="","",IF(N297&lt;&gt;"",N297,IF(L297&lt;&gt;"",L297,"")))</f>
        <v/>
      </c>
      <c r="S297" s="23">
        <f t="array" ref="S297">IF($A297="","",_xlfn.TEXTJOIN(CHAR(10),TRUE,IF('Clarice'!$B$6:$B$300=$A297,"Clarice"&amp;IF('Clarice'!$E$6:$E$300="",""," : "&amp;'Clarice'!$E$6:$E$300)&amp;" ["&amp;'Clarice'!$F$6:$F$300&amp;"]",""),IF('Luisa'!$B$6:$B$300=$A297,"Luisa"&amp;IF('Luisa'!$E$6:$E$300="",""," : "&amp;'Luisa'!$E$6:$E$300)&amp;" ["&amp;'Luisa'!$F$6:$F$300&amp;"]",""),IF('Lui'!$B$6:$B$300=$A297,"Lui"&amp;IF('Lui'!$E$6:$E$300="",""," : "&amp;'Lui'!$E$6:$E$300)&amp;" ["&amp;'Lui'!$F$6:$F$300&amp;"]",""),IF('Thaís'!$B$6:$B$300=$A297,"Thaís"&amp;IF('Thaís'!$E$6:$E$300="",""," : "&amp;'Thaís'!$E$6:$E$300)&amp;" ["&amp;'Thaís'!$F$6:$F$300&amp;"]",""),IF('Daniel'!$B$6:$B$300=$A297,"Daniel"&amp;IF('Daniel'!$E$6:$E$300="",""," : "&amp;'Daniel'!$E$6:$E$300)&amp;" ["&amp;'Daniel'!$F$6:$F$300&amp;"]",""),IF('Fernando'!$B$6:$B$300=$A297,"Fernando"&amp;IF('Fernando'!$E$6:$E$300="",""," : "&amp;'Fernando'!$E$6:$E$300)&amp;" ["&amp;'Fernando'!$F$6:$F$300&amp;"]",""),IF('Stephanie'!$B$6:$B$300=$A297,"Stephanie"&amp;IF('Stephanie'!$E$6:$E$300="",""," : "&amp;'Stephanie'!$E$6:$E$300)&amp;" ["&amp;'Stephanie'!$F$6:$F$300&amp;"]",""),IF('Fox'!$B$6:$B$300=$A297,"Fox"&amp;IF('Fox'!$E$6:$E$300="",""," : "&amp;'Fox'!$E$6:$E$300)&amp;" ["&amp;'Fox'!$F$6:$F$300&amp;"]",""),IF('Bruna'!$B$6:$B$300=$A297,"Bruna"&amp;IF('Bruna'!$E$6:$E$300="",""," : "&amp;'Bruna'!$E$6:$E$300)&amp;" ["&amp;'Bruna'!$F$6:$F$300&amp;"]",""),IF('Stella'!$B$6:$B$300=$A297,"Stella"&amp;IF('Stella'!$E$6:$E$300="",""," : "&amp;'Stella'!$E$6:$E$300)&amp;" ["&amp;'Stella'!$F$6:$F$300&amp;"]",""),IF('Igor'!$B$6:$B$300=$A297,"Igor"&amp;IF('Igor'!$E$6:$E$300="",""," : "&amp;'Igor'!$E$6:$E$300)&amp;" ["&amp;'Igor'!$F$6:$F$300&amp;"]","")))</f>
        <v/>
      </c>
    </row>
    <row r="298">
      <c r="G298" s="23">
        <f>IF($A298="","",_xlfn.TEXTJOIN("; ",TRUE,IF(COUNTIF('Clarice'!$B$6:$B$300,$A298)&gt;0,"Clarice",""),IF(COUNTIF('Luisa'!$B$6:$B$300,$A298)&gt;0,"Luisa",""),IF(COUNTIF('Lui'!$B$6:$B$300,$A298)&gt;0,"Lui",""),IF(COUNTIF('Thaís'!$B$6:$B$300,$A298)&gt;0,"Thaís",""),IF(COUNTIF('Daniel'!$B$6:$B$300,$A298)&gt;0,"Daniel",""),IF(COUNTIF('Fernando'!$B$6:$B$300,$A298)&gt;0,"Fernando",""),IF(COUNTIF('Stephanie'!$B$6:$B$300,$A298)&gt;0,"Stephanie",""),IF(COUNTIF('Fox'!$B$6:$B$300,$A298)&gt;0,"Fox",""),IF(COUNTIF('Bruna'!$B$6:$B$300,$A298)&gt;0,"Bruna",""),IF(COUNTIF('Stella'!$B$6:$B$300,$A298)&gt;0,"Stella",""),IF(COUNTIF('Igor'!$B$6:$B$300,$A298)&gt;0,"Igor","")))</f>
        <v/>
      </c>
      <c r="J298" s="24">
        <f>IF(OR($A298="",(COUNTIF('Clarice'!$B$6:$B$300,$A298)+COUNTIF('Luisa'!$B$6:$B$300,$A298)+COUNTIF('Lui'!$B$6:$B$300,$A298)+COUNTIF('Thaís'!$B$6:$B$300,$A298)+COUNTIF('Daniel'!$B$6:$B$300,$A298)+COUNTIF('Fernando'!$B$6:$B$300,$A298)+COUNTIF('Stephanie'!$B$6:$B$300,$A298)+COUNTIF('Fox'!$B$6:$B$300,$A298)+COUNTIF('Bruna'!$B$6:$B$300,$A298)+COUNTIF('Stella'!$B$6:$B$300,$A298)+COUNTIF('Igor'!$B$6:$B$300,$A298))=0),"",(COUNTIFS('Clarice'!$B$6:$B$300,$A298,'Clarice'!$F$6:$F$300,"Concluído")+COUNTIFS('Luisa'!$B$6:$B$300,$A298,'Luisa'!$F$6:$F$300,"Concluído")+COUNTIFS('Lui'!$B$6:$B$300,$A298,'Lui'!$F$6:$F$300,"Concluído")+COUNTIFS('Thaís'!$B$6:$B$300,$A298,'Thaís'!$F$6:$F$300,"Concluído")+COUNTIFS('Daniel'!$B$6:$B$300,$A298,'Daniel'!$F$6:$F$300,"Concluído")+COUNTIFS('Fernando'!$B$6:$B$300,$A298,'Fernando'!$F$6:$F$300,"Concluído")+COUNTIFS('Stephanie'!$B$6:$B$300,$A298,'Stephanie'!$F$6:$F$300,"Concluído")+COUNTIFS('Fox'!$B$6:$B$300,$A298,'Fox'!$F$6:$F$300,"Concluído")+COUNTIFS('Bruna'!$B$6:$B$300,$A298,'Bruna'!$F$6:$F$300,"Concluído")+COUNTIFS('Stella'!$B$6:$B$300,$A298,'Stella'!$F$6:$F$300,"Concluído")+COUNTIFS('Igor'!$B$6:$B$300,$A298,'Igor'!$F$6:$F$300,"Concluído"))&amp;" / "&amp;(COUNTIF('Clarice'!$B$6:$B$300,$A298)+COUNTIF('Luisa'!$B$6:$B$300,$A298)+COUNTIF('Lui'!$B$6:$B$300,$A298)+COUNTIF('Thaís'!$B$6:$B$300,$A298)+COUNTIF('Daniel'!$B$6:$B$300,$A298)+COUNTIF('Fernando'!$B$6:$B$300,$A298)+COUNTIF('Stephanie'!$B$6:$B$300,$A298)+COUNTIF('Fox'!$B$6:$B$300,$A298)+COUNTIF('Bruna'!$B$6:$B$300,$A298)+COUNTIF('Stella'!$B$6:$B$300,$A298)+COUNTIF('Igor'!$B$6:$B$300,$A298)))</f>
        <v/>
      </c>
      <c r="P298" s="25">
        <f>IF($A298="","",IF(M298&lt;&gt;"",M298,IF(K298&lt;&gt;"",K298,"")))</f>
        <v/>
      </c>
      <c r="Q298" s="25">
        <f>IF($A298="","",IF(N298&lt;&gt;"",N298,IF(L298&lt;&gt;"",L298,"")))</f>
        <v/>
      </c>
      <c r="S298" s="23">
        <f t="array" ref="S298">IF($A298="","",_xlfn.TEXTJOIN(CHAR(10),TRUE,IF('Clarice'!$B$6:$B$300=$A298,"Clarice"&amp;IF('Clarice'!$E$6:$E$300="",""," : "&amp;'Clarice'!$E$6:$E$300)&amp;" ["&amp;'Clarice'!$F$6:$F$300&amp;"]",""),IF('Luisa'!$B$6:$B$300=$A298,"Luisa"&amp;IF('Luisa'!$E$6:$E$300="",""," : "&amp;'Luisa'!$E$6:$E$300)&amp;" ["&amp;'Luisa'!$F$6:$F$300&amp;"]",""),IF('Lui'!$B$6:$B$300=$A298,"Lui"&amp;IF('Lui'!$E$6:$E$300="",""," : "&amp;'Lui'!$E$6:$E$300)&amp;" ["&amp;'Lui'!$F$6:$F$300&amp;"]",""),IF('Thaís'!$B$6:$B$300=$A298,"Thaís"&amp;IF('Thaís'!$E$6:$E$300="",""," : "&amp;'Thaís'!$E$6:$E$300)&amp;" ["&amp;'Thaís'!$F$6:$F$300&amp;"]",""),IF('Daniel'!$B$6:$B$300=$A298,"Daniel"&amp;IF('Daniel'!$E$6:$E$300="",""," : "&amp;'Daniel'!$E$6:$E$300)&amp;" ["&amp;'Daniel'!$F$6:$F$300&amp;"]",""),IF('Fernando'!$B$6:$B$300=$A298,"Fernando"&amp;IF('Fernando'!$E$6:$E$300="",""," : "&amp;'Fernando'!$E$6:$E$300)&amp;" ["&amp;'Fernando'!$F$6:$F$300&amp;"]",""),IF('Stephanie'!$B$6:$B$300=$A298,"Stephanie"&amp;IF('Stephanie'!$E$6:$E$300="",""," : "&amp;'Stephanie'!$E$6:$E$300)&amp;" ["&amp;'Stephanie'!$F$6:$F$300&amp;"]",""),IF('Fox'!$B$6:$B$300=$A298,"Fox"&amp;IF('Fox'!$E$6:$E$300="",""," : "&amp;'Fox'!$E$6:$E$300)&amp;" ["&amp;'Fox'!$F$6:$F$300&amp;"]",""),IF('Bruna'!$B$6:$B$300=$A298,"Bruna"&amp;IF('Bruna'!$E$6:$E$300="",""," : "&amp;'Bruna'!$E$6:$E$300)&amp;" ["&amp;'Bruna'!$F$6:$F$300&amp;"]",""),IF('Stella'!$B$6:$B$300=$A298,"Stella"&amp;IF('Stella'!$E$6:$E$300="",""," : "&amp;'Stella'!$E$6:$E$300)&amp;" ["&amp;'Stella'!$F$6:$F$300&amp;"]",""),IF('Igor'!$B$6:$B$300=$A298,"Igor"&amp;IF('Igor'!$E$6:$E$300="",""," : "&amp;'Igor'!$E$6:$E$300)&amp;" ["&amp;'Igor'!$F$6:$F$300&amp;"]","")))</f>
        <v/>
      </c>
    </row>
    <row r="299">
      <c r="G299" s="23">
        <f>IF($A299="","",_xlfn.TEXTJOIN("; ",TRUE,IF(COUNTIF('Clarice'!$B$6:$B$300,$A299)&gt;0,"Clarice",""),IF(COUNTIF('Luisa'!$B$6:$B$300,$A299)&gt;0,"Luisa",""),IF(COUNTIF('Lui'!$B$6:$B$300,$A299)&gt;0,"Lui",""),IF(COUNTIF('Thaís'!$B$6:$B$300,$A299)&gt;0,"Thaís",""),IF(COUNTIF('Daniel'!$B$6:$B$300,$A299)&gt;0,"Daniel",""),IF(COUNTIF('Fernando'!$B$6:$B$300,$A299)&gt;0,"Fernando",""),IF(COUNTIF('Stephanie'!$B$6:$B$300,$A299)&gt;0,"Stephanie",""),IF(COUNTIF('Fox'!$B$6:$B$300,$A299)&gt;0,"Fox",""),IF(COUNTIF('Bruna'!$B$6:$B$300,$A299)&gt;0,"Bruna",""),IF(COUNTIF('Stella'!$B$6:$B$300,$A299)&gt;0,"Stella",""),IF(COUNTIF('Igor'!$B$6:$B$300,$A299)&gt;0,"Igor","")))</f>
        <v/>
      </c>
      <c r="J299" s="24">
        <f>IF(OR($A299="",(COUNTIF('Clarice'!$B$6:$B$300,$A299)+COUNTIF('Luisa'!$B$6:$B$300,$A299)+COUNTIF('Lui'!$B$6:$B$300,$A299)+COUNTIF('Thaís'!$B$6:$B$300,$A299)+COUNTIF('Daniel'!$B$6:$B$300,$A299)+COUNTIF('Fernando'!$B$6:$B$300,$A299)+COUNTIF('Stephanie'!$B$6:$B$300,$A299)+COUNTIF('Fox'!$B$6:$B$300,$A299)+COUNTIF('Bruna'!$B$6:$B$300,$A299)+COUNTIF('Stella'!$B$6:$B$300,$A299)+COUNTIF('Igor'!$B$6:$B$300,$A299))=0),"",(COUNTIFS('Clarice'!$B$6:$B$300,$A299,'Clarice'!$F$6:$F$300,"Concluído")+COUNTIFS('Luisa'!$B$6:$B$300,$A299,'Luisa'!$F$6:$F$300,"Concluído")+COUNTIFS('Lui'!$B$6:$B$300,$A299,'Lui'!$F$6:$F$300,"Concluído")+COUNTIFS('Thaís'!$B$6:$B$300,$A299,'Thaís'!$F$6:$F$300,"Concluído")+COUNTIFS('Daniel'!$B$6:$B$300,$A299,'Daniel'!$F$6:$F$300,"Concluído")+COUNTIFS('Fernando'!$B$6:$B$300,$A299,'Fernando'!$F$6:$F$300,"Concluído")+COUNTIFS('Stephanie'!$B$6:$B$300,$A299,'Stephanie'!$F$6:$F$300,"Concluído")+COUNTIFS('Fox'!$B$6:$B$300,$A299,'Fox'!$F$6:$F$300,"Concluído")+COUNTIFS('Bruna'!$B$6:$B$300,$A299,'Bruna'!$F$6:$F$300,"Concluído")+COUNTIFS('Stella'!$B$6:$B$300,$A299,'Stella'!$F$6:$F$300,"Concluído")+COUNTIFS('Igor'!$B$6:$B$300,$A299,'Igor'!$F$6:$F$300,"Concluído"))&amp;" / "&amp;(COUNTIF('Clarice'!$B$6:$B$300,$A299)+COUNTIF('Luisa'!$B$6:$B$300,$A299)+COUNTIF('Lui'!$B$6:$B$300,$A299)+COUNTIF('Thaís'!$B$6:$B$300,$A299)+COUNTIF('Daniel'!$B$6:$B$300,$A299)+COUNTIF('Fernando'!$B$6:$B$300,$A299)+COUNTIF('Stephanie'!$B$6:$B$300,$A299)+COUNTIF('Fox'!$B$6:$B$300,$A299)+COUNTIF('Bruna'!$B$6:$B$300,$A299)+COUNTIF('Stella'!$B$6:$B$300,$A299)+COUNTIF('Igor'!$B$6:$B$300,$A299)))</f>
        <v/>
      </c>
      <c r="P299" s="25">
        <f>IF($A299="","",IF(M299&lt;&gt;"",M299,IF(K299&lt;&gt;"",K299,"")))</f>
        <v/>
      </c>
      <c r="Q299" s="25">
        <f>IF($A299="","",IF(N299&lt;&gt;"",N299,IF(L299&lt;&gt;"",L299,"")))</f>
        <v/>
      </c>
      <c r="S299" s="23">
        <f t="array" ref="S299">IF($A299="","",_xlfn.TEXTJOIN(CHAR(10),TRUE,IF('Clarice'!$B$6:$B$300=$A299,"Clarice"&amp;IF('Clarice'!$E$6:$E$300="",""," : "&amp;'Clarice'!$E$6:$E$300)&amp;" ["&amp;'Clarice'!$F$6:$F$300&amp;"]",""),IF('Luisa'!$B$6:$B$300=$A299,"Luisa"&amp;IF('Luisa'!$E$6:$E$300="",""," : "&amp;'Luisa'!$E$6:$E$300)&amp;" ["&amp;'Luisa'!$F$6:$F$300&amp;"]",""),IF('Lui'!$B$6:$B$300=$A299,"Lui"&amp;IF('Lui'!$E$6:$E$300="",""," : "&amp;'Lui'!$E$6:$E$300)&amp;" ["&amp;'Lui'!$F$6:$F$300&amp;"]",""),IF('Thaís'!$B$6:$B$300=$A299,"Thaís"&amp;IF('Thaís'!$E$6:$E$300="",""," : "&amp;'Thaís'!$E$6:$E$300)&amp;" ["&amp;'Thaís'!$F$6:$F$300&amp;"]",""),IF('Daniel'!$B$6:$B$300=$A299,"Daniel"&amp;IF('Daniel'!$E$6:$E$300="",""," : "&amp;'Daniel'!$E$6:$E$300)&amp;" ["&amp;'Daniel'!$F$6:$F$300&amp;"]",""),IF('Fernando'!$B$6:$B$300=$A299,"Fernando"&amp;IF('Fernando'!$E$6:$E$300="",""," : "&amp;'Fernando'!$E$6:$E$300)&amp;" ["&amp;'Fernando'!$F$6:$F$300&amp;"]",""),IF('Stephanie'!$B$6:$B$300=$A299,"Stephanie"&amp;IF('Stephanie'!$E$6:$E$300="",""," : "&amp;'Stephanie'!$E$6:$E$300)&amp;" ["&amp;'Stephanie'!$F$6:$F$300&amp;"]",""),IF('Fox'!$B$6:$B$300=$A299,"Fox"&amp;IF('Fox'!$E$6:$E$300="",""," : "&amp;'Fox'!$E$6:$E$300)&amp;" ["&amp;'Fox'!$F$6:$F$300&amp;"]",""),IF('Bruna'!$B$6:$B$300=$A299,"Bruna"&amp;IF('Bruna'!$E$6:$E$300="",""," : "&amp;'Bruna'!$E$6:$E$300)&amp;" ["&amp;'Bruna'!$F$6:$F$300&amp;"]",""),IF('Stella'!$B$6:$B$300=$A299,"Stella"&amp;IF('Stella'!$E$6:$E$300="",""," : "&amp;'Stella'!$E$6:$E$300)&amp;" ["&amp;'Stella'!$F$6:$F$300&amp;"]",""),IF('Igor'!$B$6:$B$300=$A299,"Igor"&amp;IF('Igor'!$E$6:$E$300="",""," : "&amp;'Igor'!$E$6:$E$300)&amp;" ["&amp;'Igor'!$F$6:$F$300&amp;"]","")))</f>
        <v/>
      </c>
    </row>
    <row r="300">
      <c r="G300" s="23">
        <f>IF($A300="","",_xlfn.TEXTJOIN("; ",TRUE,IF(COUNTIF('Clarice'!$B$6:$B$300,$A300)&gt;0,"Clarice",""),IF(COUNTIF('Luisa'!$B$6:$B$300,$A300)&gt;0,"Luisa",""),IF(COUNTIF('Lui'!$B$6:$B$300,$A300)&gt;0,"Lui",""),IF(COUNTIF('Thaís'!$B$6:$B$300,$A300)&gt;0,"Thaís",""),IF(COUNTIF('Daniel'!$B$6:$B$300,$A300)&gt;0,"Daniel",""),IF(COUNTIF('Fernando'!$B$6:$B$300,$A300)&gt;0,"Fernando",""),IF(COUNTIF('Stephanie'!$B$6:$B$300,$A300)&gt;0,"Stephanie",""),IF(COUNTIF('Fox'!$B$6:$B$300,$A300)&gt;0,"Fox",""),IF(COUNTIF('Bruna'!$B$6:$B$300,$A300)&gt;0,"Bruna",""),IF(COUNTIF('Stella'!$B$6:$B$300,$A300)&gt;0,"Stella",""),IF(COUNTIF('Igor'!$B$6:$B$300,$A300)&gt;0,"Igor","")))</f>
        <v/>
      </c>
      <c r="J300" s="24">
        <f>IF(OR($A300="",(COUNTIF('Clarice'!$B$6:$B$300,$A300)+COUNTIF('Luisa'!$B$6:$B$300,$A300)+COUNTIF('Lui'!$B$6:$B$300,$A300)+COUNTIF('Thaís'!$B$6:$B$300,$A300)+COUNTIF('Daniel'!$B$6:$B$300,$A300)+COUNTIF('Fernando'!$B$6:$B$300,$A300)+COUNTIF('Stephanie'!$B$6:$B$300,$A300)+COUNTIF('Fox'!$B$6:$B$300,$A300)+COUNTIF('Bruna'!$B$6:$B$300,$A300)+COUNTIF('Stella'!$B$6:$B$300,$A300)+COUNTIF('Igor'!$B$6:$B$300,$A300))=0),"",(COUNTIFS('Clarice'!$B$6:$B$300,$A300,'Clarice'!$F$6:$F$300,"Concluído")+COUNTIFS('Luisa'!$B$6:$B$300,$A300,'Luisa'!$F$6:$F$300,"Concluído")+COUNTIFS('Lui'!$B$6:$B$300,$A300,'Lui'!$F$6:$F$300,"Concluído")+COUNTIFS('Thaís'!$B$6:$B$300,$A300,'Thaís'!$F$6:$F$300,"Concluído")+COUNTIFS('Daniel'!$B$6:$B$300,$A300,'Daniel'!$F$6:$F$300,"Concluído")+COUNTIFS('Fernando'!$B$6:$B$300,$A300,'Fernando'!$F$6:$F$300,"Concluído")+COUNTIFS('Stephanie'!$B$6:$B$300,$A300,'Stephanie'!$F$6:$F$300,"Concluído")+COUNTIFS('Fox'!$B$6:$B$300,$A300,'Fox'!$F$6:$F$300,"Concluído")+COUNTIFS('Bruna'!$B$6:$B$300,$A300,'Bruna'!$F$6:$F$300,"Concluído")+COUNTIFS('Stella'!$B$6:$B$300,$A300,'Stella'!$F$6:$F$300,"Concluído")+COUNTIFS('Igor'!$B$6:$B$300,$A300,'Igor'!$F$6:$F$300,"Concluído"))&amp;" / "&amp;(COUNTIF('Clarice'!$B$6:$B$300,$A300)+COUNTIF('Luisa'!$B$6:$B$300,$A300)+COUNTIF('Lui'!$B$6:$B$300,$A300)+COUNTIF('Thaís'!$B$6:$B$300,$A300)+COUNTIF('Daniel'!$B$6:$B$300,$A300)+COUNTIF('Fernando'!$B$6:$B$300,$A300)+COUNTIF('Stephanie'!$B$6:$B$300,$A300)+COUNTIF('Fox'!$B$6:$B$300,$A300)+COUNTIF('Bruna'!$B$6:$B$300,$A300)+COUNTIF('Stella'!$B$6:$B$300,$A300)+COUNTIF('Igor'!$B$6:$B$300,$A300)))</f>
        <v/>
      </c>
      <c r="P300" s="25">
        <f>IF($A300="","",IF(M300&lt;&gt;"",M300,IF(K300&lt;&gt;"",K300,"")))</f>
        <v/>
      </c>
      <c r="Q300" s="25">
        <f>IF($A300="","",IF(N300&lt;&gt;"",N300,IF(L300&lt;&gt;"",L300,"")))</f>
        <v/>
      </c>
      <c r="S300" s="23">
        <f t="array" ref="S300">IF($A300="","",_xlfn.TEXTJOIN(CHAR(10),TRUE,IF('Clarice'!$B$6:$B$300=$A300,"Clarice"&amp;IF('Clarice'!$E$6:$E$300="",""," : "&amp;'Clarice'!$E$6:$E$300)&amp;" ["&amp;'Clarice'!$F$6:$F$300&amp;"]",""),IF('Luisa'!$B$6:$B$300=$A300,"Luisa"&amp;IF('Luisa'!$E$6:$E$300="",""," : "&amp;'Luisa'!$E$6:$E$300)&amp;" ["&amp;'Luisa'!$F$6:$F$300&amp;"]",""),IF('Lui'!$B$6:$B$300=$A300,"Lui"&amp;IF('Lui'!$E$6:$E$300="",""," : "&amp;'Lui'!$E$6:$E$300)&amp;" ["&amp;'Lui'!$F$6:$F$300&amp;"]",""),IF('Thaís'!$B$6:$B$300=$A300,"Thaís"&amp;IF('Thaís'!$E$6:$E$300="",""," : "&amp;'Thaís'!$E$6:$E$300)&amp;" ["&amp;'Thaís'!$F$6:$F$300&amp;"]",""),IF('Daniel'!$B$6:$B$300=$A300,"Daniel"&amp;IF('Daniel'!$E$6:$E$300="",""," : "&amp;'Daniel'!$E$6:$E$300)&amp;" ["&amp;'Daniel'!$F$6:$F$300&amp;"]",""),IF('Fernando'!$B$6:$B$300=$A300,"Fernando"&amp;IF('Fernando'!$E$6:$E$300="",""," : "&amp;'Fernando'!$E$6:$E$300)&amp;" ["&amp;'Fernando'!$F$6:$F$300&amp;"]",""),IF('Stephanie'!$B$6:$B$300=$A300,"Stephanie"&amp;IF('Stephanie'!$E$6:$E$300="",""," : "&amp;'Stephanie'!$E$6:$E$300)&amp;" ["&amp;'Stephanie'!$F$6:$F$300&amp;"]",""),IF('Fox'!$B$6:$B$300=$A300,"Fox"&amp;IF('Fox'!$E$6:$E$300="",""," : "&amp;'Fox'!$E$6:$E$300)&amp;" ["&amp;'Fox'!$F$6:$F$300&amp;"]",""),IF('Bruna'!$B$6:$B$300=$A300,"Bruna"&amp;IF('Bruna'!$E$6:$E$300="",""," : "&amp;'Bruna'!$E$6:$E$300)&amp;" ["&amp;'Bruna'!$F$6:$F$300&amp;"]",""),IF('Stella'!$B$6:$B$300=$A300,"Stella"&amp;IF('Stella'!$E$6:$E$300="",""," : "&amp;'Stella'!$E$6:$E$300)&amp;" ["&amp;'Stella'!$F$6:$F$300&amp;"]",""),IF('Igor'!$B$6:$B$300=$A300,"Igor"&amp;IF('Igor'!$E$6:$E$300="",""," : "&amp;'Igor'!$E$6:$E$300)&amp;" ["&amp;'Igor'!$F$6:$F$300&amp;"]","")))</f>
        <v/>
      </c>
    </row>
    <row r="301">
      <c r="G301" s="23">
        <f>IF($A301="","",_xlfn.TEXTJOIN("; ",TRUE,IF(COUNTIF('Clarice'!$B$6:$B$300,$A301)&gt;0,"Clarice",""),IF(COUNTIF('Luisa'!$B$6:$B$300,$A301)&gt;0,"Luisa",""),IF(COUNTIF('Lui'!$B$6:$B$300,$A301)&gt;0,"Lui",""),IF(COUNTIF('Thaís'!$B$6:$B$300,$A301)&gt;0,"Thaís",""),IF(COUNTIF('Daniel'!$B$6:$B$300,$A301)&gt;0,"Daniel",""),IF(COUNTIF('Fernando'!$B$6:$B$300,$A301)&gt;0,"Fernando",""),IF(COUNTIF('Stephanie'!$B$6:$B$300,$A301)&gt;0,"Stephanie",""),IF(COUNTIF('Fox'!$B$6:$B$300,$A301)&gt;0,"Fox",""),IF(COUNTIF('Bruna'!$B$6:$B$300,$A301)&gt;0,"Bruna",""),IF(COUNTIF('Stella'!$B$6:$B$300,$A301)&gt;0,"Stella",""),IF(COUNTIF('Igor'!$B$6:$B$300,$A301)&gt;0,"Igor","")))</f>
        <v/>
      </c>
      <c r="J301" s="24">
        <f>IF(OR($A301="",(COUNTIF('Clarice'!$B$6:$B$300,$A301)+COUNTIF('Luisa'!$B$6:$B$300,$A301)+COUNTIF('Lui'!$B$6:$B$300,$A301)+COUNTIF('Thaís'!$B$6:$B$300,$A301)+COUNTIF('Daniel'!$B$6:$B$300,$A301)+COUNTIF('Fernando'!$B$6:$B$300,$A301)+COUNTIF('Stephanie'!$B$6:$B$300,$A301)+COUNTIF('Fox'!$B$6:$B$300,$A301)+COUNTIF('Bruna'!$B$6:$B$300,$A301)+COUNTIF('Stella'!$B$6:$B$300,$A301)+COUNTIF('Igor'!$B$6:$B$300,$A301))=0),"",(COUNTIFS('Clarice'!$B$6:$B$300,$A301,'Clarice'!$F$6:$F$300,"Concluído")+COUNTIFS('Luisa'!$B$6:$B$300,$A301,'Luisa'!$F$6:$F$300,"Concluído")+COUNTIFS('Lui'!$B$6:$B$300,$A301,'Lui'!$F$6:$F$300,"Concluído")+COUNTIFS('Thaís'!$B$6:$B$300,$A301,'Thaís'!$F$6:$F$300,"Concluído")+COUNTIFS('Daniel'!$B$6:$B$300,$A301,'Daniel'!$F$6:$F$300,"Concluído")+COUNTIFS('Fernando'!$B$6:$B$300,$A301,'Fernando'!$F$6:$F$300,"Concluído")+COUNTIFS('Stephanie'!$B$6:$B$300,$A301,'Stephanie'!$F$6:$F$300,"Concluído")+COUNTIFS('Fox'!$B$6:$B$300,$A301,'Fox'!$F$6:$F$300,"Concluído")+COUNTIFS('Bruna'!$B$6:$B$300,$A301,'Bruna'!$F$6:$F$300,"Concluído")+COUNTIFS('Stella'!$B$6:$B$300,$A301,'Stella'!$F$6:$F$300,"Concluído")+COUNTIFS('Igor'!$B$6:$B$300,$A301,'Igor'!$F$6:$F$300,"Concluído"))&amp;" / "&amp;(COUNTIF('Clarice'!$B$6:$B$300,$A301)+COUNTIF('Luisa'!$B$6:$B$300,$A301)+COUNTIF('Lui'!$B$6:$B$300,$A301)+COUNTIF('Thaís'!$B$6:$B$300,$A301)+COUNTIF('Daniel'!$B$6:$B$300,$A301)+COUNTIF('Fernando'!$B$6:$B$300,$A301)+COUNTIF('Stephanie'!$B$6:$B$300,$A301)+COUNTIF('Fox'!$B$6:$B$300,$A301)+COUNTIF('Bruna'!$B$6:$B$300,$A301)+COUNTIF('Stella'!$B$6:$B$300,$A301)+COUNTIF('Igor'!$B$6:$B$300,$A301)))</f>
        <v/>
      </c>
      <c r="P301" s="25">
        <f>IF($A301="","",IF(M301&lt;&gt;"",M301,IF(K301&lt;&gt;"",K301,"")))</f>
        <v/>
      </c>
      <c r="Q301" s="25">
        <f>IF($A301="","",IF(N301&lt;&gt;"",N301,IF(L301&lt;&gt;"",L301,"")))</f>
        <v/>
      </c>
      <c r="S301" s="23">
        <f t="array" ref="S301">IF($A301="","",_xlfn.TEXTJOIN(CHAR(10),TRUE,IF('Clarice'!$B$6:$B$300=$A301,"Clarice"&amp;IF('Clarice'!$E$6:$E$300="",""," : "&amp;'Clarice'!$E$6:$E$300)&amp;" ["&amp;'Clarice'!$F$6:$F$300&amp;"]",""),IF('Luisa'!$B$6:$B$300=$A301,"Luisa"&amp;IF('Luisa'!$E$6:$E$300="",""," : "&amp;'Luisa'!$E$6:$E$300)&amp;" ["&amp;'Luisa'!$F$6:$F$300&amp;"]",""),IF('Lui'!$B$6:$B$300=$A301,"Lui"&amp;IF('Lui'!$E$6:$E$300="",""," : "&amp;'Lui'!$E$6:$E$300)&amp;" ["&amp;'Lui'!$F$6:$F$300&amp;"]",""),IF('Thaís'!$B$6:$B$300=$A301,"Thaís"&amp;IF('Thaís'!$E$6:$E$300="",""," : "&amp;'Thaís'!$E$6:$E$300)&amp;" ["&amp;'Thaís'!$F$6:$F$300&amp;"]",""),IF('Daniel'!$B$6:$B$300=$A301,"Daniel"&amp;IF('Daniel'!$E$6:$E$300="",""," : "&amp;'Daniel'!$E$6:$E$300)&amp;" ["&amp;'Daniel'!$F$6:$F$300&amp;"]",""),IF('Fernando'!$B$6:$B$300=$A301,"Fernando"&amp;IF('Fernando'!$E$6:$E$300="",""," : "&amp;'Fernando'!$E$6:$E$300)&amp;" ["&amp;'Fernando'!$F$6:$F$300&amp;"]",""),IF('Stephanie'!$B$6:$B$300=$A301,"Stephanie"&amp;IF('Stephanie'!$E$6:$E$300="",""," : "&amp;'Stephanie'!$E$6:$E$300)&amp;" ["&amp;'Stephanie'!$F$6:$F$300&amp;"]",""),IF('Fox'!$B$6:$B$300=$A301,"Fox"&amp;IF('Fox'!$E$6:$E$300="",""," : "&amp;'Fox'!$E$6:$E$300)&amp;" ["&amp;'Fox'!$F$6:$F$300&amp;"]",""),IF('Bruna'!$B$6:$B$300=$A301,"Bruna"&amp;IF('Bruna'!$E$6:$E$300="",""," : "&amp;'Bruna'!$E$6:$E$300)&amp;" ["&amp;'Bruna'!$F$6:$F$300&amp;"]",""),IF('Stella'!$B$6:$B$300=$A301,"Stella"&amp;IF('Stella'!$E$6:$E$300="",""," : "&amp;'Stella'!$E$6:$E$300)&amp;" ["&amp;'Stella'!$F$6:$F$300&amp;"]",""),IF('Igor'!$B$6:$B$300=$A301,"Igor"&amp;IF('Igor'!$E$6:$E$300="",""," : "&amp;'Igor'!$E$6:$E$300)&amp;" ["&amp;'Igor'!$F$6:$F$300&amp;"]","")))</f>
        <v/>
      </c>
    </row>
    <row r="302">
      <c r="G302" s="23">
        <f>IF($A302="","",_xlfn.TEXTJOIN("; ",TRUE,IF(COUNTIF('Clarice'!$B$6:$B$300,$A302)&gt;0,"Clarice",""),IF(COUNTIF('Luisa'!$B$6:$B$300,$A302)&gt;0,"Luisa",""),IF(COUNTIF('Lui'!$B$6:$B$300,$A302)&gt;0,"Lui",""),IF(COUNTIF('Thaís'!$B$6:$B$300,$A302)&gt;0,"Thaís",""),IF(COUNTIF('Daniel'!$B$6:$B$300,$A302)&gt;0,"Daniel",""),IF(COUNTIF('Fernando'!$B$6:$B$300,$A302)&gt;0,"Fernando",""),IF(COUNTIF('Stephanie'!$B$6:$B$300,$A302)&gt;0,"Stephanie",""),IF(COUNTIF('Fox'!$B$6:$B$300,$A302)&gt;0,"Fox",""),IF(COUNTIF('Bruna'!$B$6:$B$300,$A302)&gt;0,"Bruna",""),IF(COUNTIF('Stella'!$B$6:$B$300,$A302)&gt;0,"Stella",""),IF(COUNTIF('Igor'!$B$6:$B$300,$A302)&gt;0,"Igor","")))</f>
        <v/>
      </c>
      <c r="J302" s="24">
        <f>IF(OR($A302="",(COUNTIF('Clarice'!$B$6:$B$300,$A302)+COUNTIF('Luisa'!$B$6:$B$300,$A302)+COUNTIF('Lui'!$B$6:$B$300,$A302)+COUNTIF('Thaís'!$B$6:$B$300,$A302)+COUNTIF('Daniel'!$B$6:$B$300,$A302)+COUNTIF('Fernando'!$B$6:$B$300,$A302)+COUNTIF('Stephanie'!$B$6:$B$300,$A302)+COUNTIF('Fox'!$B$6:$B$300,$A302)+COUNTIF('Bruna'!$B$6:$B$300,$A302)+COUNTIF('Stella'!$B$6:$B$300,$A302)+COUNTIF('Igor'!$B$6:$B$300,$A302))=0),"",(COUNTIFS('Clarice'!$B$6:$B$300,$A302,'Clarice'!$F$6:$F$300,"Concluído")+COUNTIFS('Luisa'!$B$6:$B$300,$A302,'Luisa'!$F$6:$F$300,"Concluído")+COUNTIFS('Lui'!$B$6:$B$300,$A302,'Lui'!$F$6:$F$300,"Concluído")+COUNTIFS('Thaís'!$B$6:$B$300,$A302,'Thaís'!$F$6:$F$300,"Concluído")+COUNTIFS('Daniel'!$B$6:$B$300,$A302,'Daniel'!$F$6:$F$300,"Concluído")+COUNTIFS('Fernando'!$B$6:$B$300,$A302,'Fernando'!$F$6:$F$300,"Concluído")+COUNTIFS('Stephanie'!$B$6:$B$300,$A302,'Stephanie'!$F$6:$F$300,"Concluído")+COUNTIFS('Fox'!$B$6:$B$300,$A302,'Fox'!$F$6:$F$300,"Concluído")+COUNTIFS('Bruna'!$B$6:$B$300,$A302,'Bruna'!$F$6:$F$300,"Concluído")+COUNTIFS('Stella'!$B$6:$B$300,$A302,'Stella'!$F$6:$F$300,"Concluído")+COUNTIFS('Igor'!$B$6:$B$300,$A302,'Igor'!$F$6:$F$300,"Concluído"))&amp;" / "&amp;(COUNTIF('Clarice'!$B$6:$B$300,$A302)+COUNTIF('Luisa'!$B$6:$B$300,$A302)+COUNTIF('Lui'!$B$6:$B$300,$A302)+COUNTIF('Thaís'!$B$6:$B$300,$A302)+COUNTIF('Daniel'!$B$6:$B$300,$A302)+COUNTIF('Fernando'!$B$6:$B$300,$A302)+COUNTIF('Stephanie'!$B$6:$B$300,$A302)+COUNTIF('Fox'!$B$6:$B$300,$A302)+COUNTIF('Bruna'!$B$6:$B$300,$A302)+COUNTIF('Stella'!$B$6:$B$300,$A302)+COUNTIF('Igor'!$B$6:$B$300,$A302)))</f>
        <v/>
      </c>
      <c r="P302" s="25">
        <f>IF($A302="","",IF(M302&lt;&gt;"",M302,IF(K302&lt;&gt;"",K302,"")))</f>
        <v/>
      </c>
      <c r="Q302" s="25">
        <f>IF($A302="","",IF(N302&lt;&gt;"",N302,IF(L302&lt;&gt;"",L302,"")))</f>
        <v/>
      </c>
      <c r="S302" s="23">
        <f t="array" ref="S302">IF($A302="","",_xlfn.TEXTJOIN(CHAR(10),TRUE,IF('Clarice'!$B$6:$B$300=$A302,"Clarice"&amp;IF('Clarice'!$E$6:$E$300="",""," : "&amp;'Clarice'!$E$6:$E$300)&amp;" ["&amp;'Clarice'!$F$6:$F$300&amp;"]",""),IF('Luisa'!$B$6:$B$300=$A302,"Luisa"&amp;IF('Luisa'!$E$6:$E$300="",""," : "&amp;'Luisa'!$E$6:$E$300)&amp;" ["&amp;'Luisa'!$F$6:$F$300&amp;"]",""),IF('Lui'!$B$6:$B$300=$A302,"Lui"&amp;IF('Lui'!$E$6:$E$300="",""," : "&amp;'Lui'!$E$6:$E$300)&amp;" ["&amp;'Lui'!$F$6:$F$300&amp;"]",""),IF('Thaís'!$B$6:$B$300=$A302,"Thaís"&amp;IF('Thaís'!$E$6:$E$300="",""," : "&amp;'Thaís'!$E$6:$E$300)&amp;" ["&amp;'Thaís'!$F$6:$F$300&amp;"]",""),IF('Daniel'!$B$6:$B$300=$A302,"Daniel"&amp;IF('Daniel'!$E$6:$E$300="",""," : "&amp;'Daniel'!$E$6:$E$300)&amp;" ["&amp;'Daniel'!$F$6:$F$300&amp;"]",""),IF('Fernando'!$B$6:$B$300=$A302,"Fernando"&amp;IF('Fernando'!$E$6:$E$300="",""," : "&amp;'Fernando'!$E$6:$E$300)&amp;" ["&amp;'Fernando'!$F$6:$F$300&amp;"]",""),IF('Stephanie'!$B$6:$B$300=$A302,"Stephanie"&amp;IF('Stephanie'!$E$6:$E$300="",""," : "&amp;'Stephanie'!$E$6:$E$300)&amp;" ["&amp;'Stephanie'!$F$6:$F$300&amp;"]",""),IF('Fox'!$B$6:$B$300=$A302,"Fox"&amp;IF('Fox'!$E$6:$E$300="",""," : "&amp;'Fox'!$E$6:$E$300)&amp;" ["&amp;'Fox'!$F$6:$F$300&amp;"]",""),IF('Bruna'!$B$6:$B$300=$A302,"Bruna"&amp;IF('Bruna'!$E$6:$E$300="",""," : "&amp;'Bruna'!$E$6:$E$300)&amp;" ["&amp;'Bruna'!$F$6:$F$300&amp;"]",""),IF('Stella'!$B$6:$B$300=$A302,"Stella"&amp;IF('Stella'!$E$6:$E$300="",""," : "&amp;'Stella'!$E$6:$E$300)&amp;" ["&amp;'Stella'!$F$6:$F$300&amp;"]",""),IF('Igor'!$B$6:$B$300=$A302,"Igor"&amp;IF('Igor'!$E$6:$E$300="",""," : "&amp;'Igor'!$E$6:$E$300)&amp;" ["&amp;'Igor'!$F$6:$F$300&amp;"]","")))</f>
        <v/>
      </c>
    </row>
    <row r="303">
      <c r="G303" s="23">
        <f>IF($A303="","",_xlfn.TEXTJOIN("; ",TRUE,IF(COUNTIF('Clarice'!$B$6:$B$300,$A303)&gt;0,"Clarice",""),IF(COUNTIF('Luisa'!$B$6:$B$300,$A303)&gt;0,"Luisa",""),IF(COUNTIF('Lui'!$B$6:$B$300,$A303)&gt;0,"Lui",""),IF(COUNTIF('Thaís'!$B$6:$B$300,$A303)&gt;0,"Thaís",""),IF(COUNTIF('Daniel'!$B$6:$B$300,$A303)&gt;0,"Daniel",""),IF(COUNTIF('Fernando'!$B$6:$B$300,$A303)&gt;0,"Fernando",""),IF(COUNTIF('Stephanie'!$B$6:$B$300,$A303)&gt;0,"Stephanie",""),IF(COUNTIF('Fox'!$B$6:$B$300,$A303)&gt;0,"Fox",""),IF(COUNTIF('Bruna'!$B$6:$B$300,$A303)&gt;0,"Bruna",""),IF(COUNTIF('Stella'!$B$6:$B$300,$A303)&gt;0,"Stella",""),IF(COUNTIF('Igor'!$B$6:$B$300,$A303)&gt;0,"Igor","")))</f>
        <v/>
      </c>
      <c r="J303" s="24">
        <f>IF(OR($A303="",(COUNTIF('Clarice'!$B$6:$B$300,$A303)+COUNTIF('Luisa'!$B$6:$B$300,$A303)+COUNTIF('Lui'!$B$6:$B$300,$A303)+COUNTIF('Thaís'!$B$6:$B$300,$A303)+COUNTIF('Daniel'!$B$6:$B$300,$A303)+COUNTIF('Fernando'!$B$6:$B$300,$A303)+COUNTIF('Stephanie'!$B$6:$B$300,$A303)+COUNTIF('Fox'!$B$6:$B$300,$A303)+COUNTIF('Bruna'!$B$6:$B$300,$A303)+COUNTIF('Stella'!$B$6:$B$300,$A303)+COUNTIF('Igor'!$B$6:$B$300,$A303))=0),"",(COUNTIFS('Clarice'!$B$6:$B$300,$A303,'Clarice'!$F$6:$F$300,"Concluído")+COUNTIFS('Luisa'!$B$6:$B$300,$A303,'Luisa'!$F$6:$F$300,"Concluído")+COUNTIFS('Lui'!$B$6:$B$300,$A303,'Lui'!$F$6:$F$300,"Concluído")+COUNTIFS('Thaís'!$B$6:$B$300,$A303,'Thaís'!$F$6:$F$300,"Concluído")+COUNTIFS('Daniel'!$B$6:$B$300,$A303,'Daniel'!$F$6:$F$300,"Concluído")+COUNTIFS('Fernando'!$B$6:$B$300,$A303,'Fernando'!$F$6:$F$300,"Concluído")+COUNTIFS('Stephanie'!$B$6:$B$300,$A303,'Stephanie'!$F$6:$F$300,"Concluído")+COUNTIFS('Fox'!$B$6:$B$300,$A303,'Fox'!$F$6:$F$300,"Concluído")+COUNTIFS('Bruna'!$B$6:$B$300,$A303,'Bruna'!$F$6:$F$300,"Concluído")+COUNTIFS('Stella'!$B$6:$B$300,$A303,'Stella'!$F$6:$F$300,"Concluído")+COUNTIFS('Igor'!$B$6:$B$300,$A303,'Igor'!$F$6:$F$300,"Concluído"))&amp;" / "&amp;(COUNTIF('Clarice'!$B$6:$B$300,$A303)+COUNTIF('Luisa'!$B$6:$B$300,$A303)+COUNTIF('Lui'!$B$6:$B$300,$A303)+COUNTIF('Thaís'!$B$6:$B$300,$A303)+COUNTIF('Daniel'!$B$6:$B$300,$A303)+COUNTIF('Fernando'!$B$6:$B$300,$A303)+COUNTIF('Stephanie'!$B$6:$B$300,$A303)+COUNTIF('Fox'!$B$6:$B$300,$A303)+COUNTIF('Bruna'!$B$6:$B$300,$A303)+COUNTIF('Stella'!$B$6:$B$300,$A303)+COUNTIF('Igor'!$B$6:$B$300,$A303)))</f>
        <v/>
      </c>
      <c r="P303" s="25">
        <f>IF($A303="","",IF(M303&lt;&gt;"",M303,IF(K303&lt;&gt;"",K303,"")))</f>
        <v/>
      </c>
      <c r="Q303" s="25">
        <f>IF($A303="","",IF(N303&lt;&gt;"",N303,IF(L303&lt;&gt;"",L303,"")))</f>
        <v/>
      </c>
      <c r="S303" s="23">
        <f t="array" ref="S303">IF($A303="","",_xlfn.TEXTJOIN(CHAR(10),TRUE,IF('Clarice'!$B$6:$B$300=$A303,"Clarice"&amp;IF('Clarice'!$E$6:$E$300="",""," : "&amp;'Clarice'!$E$6:$E$300)&amp;" ["&amp;'Clarice'!$F$6:$F$300&amp;"]",""),IF('Luisa'!$B$6:$B$300=$A303,"Luisa"&amp;IF('Luisa'!$E$6:$E$300="",""," : "&amp;'Luisa'!$E$6:$E$300)&amp;" ["&amp;'Luisa'!$F$6:$F$300&amp;"]",""),IF('Lui'!$B$6:$B$300=$A303,"Lui"&amp;IF('Lui'!$E$6:$E$300="",""," : "&amp;'Lui'!$E$6:$E$300)&amp;" ["&amp;'Lui'!$F$6:$F$300&amp;"]",""),IF('Thaís'!$B$6:$B$300=$A303,"Thaís"&amp;IF('Thaís'!$E$6:$E$300="",""," : "&amp;'Thaís'!$E$6:$E$300)&amp;" ["&amp;'Thaís'!$F$6:$F$300&amp;"]",""),IF('Daniel'!$B$6:$B$300=$A303,"Daniel"&amp;IF('Daniel'!$E$6:$E$300="",""," : "&amp;'Daniel'!$E$6:$E$300)&amp;" ["&amp;'Daniel'!$F$6:$F$300&amp;"]",""),IF('Fernando'!$B$6:$B$300=$A303,"Fernando"&amp;IF('Fernando'!$E$6:$E$300="",""," : "&amp;'Fernando'!$E$6:$E$300)&amp;" ["&amp;'Fernando'!$F$6:$F$300&amp;"]",""),IF('Stephanie'!$B$6:$B$300=$A303,"Stephanie"&amp;IF('Stephanie'!$E$6:$E$300="",""," : "&amp;'Stephanie'!$E$6:$E$300)&amp;" ["&amp;'Stephanie'!$F$6:$F$300&amp;"]",""),IF('Fox'!$B$6:$B$300=$A303,"Fox"&amp;IF('Fox'!$E$6:$E$300="",""," : "&amp;'Fox'!$E$6:$E$300)&amp;" ["&amp;'Fox'!$F$6:$F$300&amp;"]",""),IF('Bruna'!$B$6:$B$300=$A303,"Bruna"&amp;IF('Bruna'!$E$6:$E$300="",""," : "&amp;'Bruna'!$E$6:$E$300)&amp;" ["&amp;'Bruna'!$F$6:$F$300&amp;"]",""),IF('Stella'!$B$6:$B$300=$A303,"Stella"&amp;IF('Stella'!$E$6:$E$300="",""," : "&amp;'Stella'!$E$6:$E$300)&amp;" ["&amp;'Stella'!$F$6:$F$300&amp;"]",""),IF('Igor'!$B$6:$B$300=$A303,"Igor"&amp;IF('Igor'!$E$6:$E$300="",""," : "&amp;'Igor'!$E$6:$E$300)&amp;" ["&amp;'Igor'!$F$6:$F$300&amp;"]","")))</f>
        <v/>
      </c>
    </row>
    <row r="304">
      <c r="G304" s="23">
        <f>IF($A304="","",_xlfn.TEXTJOIN("; ",TRUE,IF(COUNTIF('Clarice'!$B$6:$B$300,$A304)&gt;0,"Clarice",""),IF(COUNTIF('Luisa'!$B$6:$B$300,$A304)&gt;0,"Luisa",""),IF(COUNTIF('Lui'!$B$6:$B$300,$A304)&gt;0,"Lui",""),IF(COUNTIF('Thaís'!$B$6:$B$300,$A304)&gt;0,"Thaís",""),IF(COUNTIF('Daniel'!$B$6:$B$300,$A304)&gt;0,"Daniel",""),IF(COUNTIF('Fernando'!$B$6:$B$300,$A304)&gt;0,"Fernando",""),IF(COUNTIF('Stephanie'!$B$6:$B$300,$A304)&gt;0,"Stephanie",""),IF(COUNTIF('Fox'!$B$6:$B$300,$A304)&gt;0,"Fox",""),IF(COUNTIF('Bruna'!$B$6:$B$300,$A304)&gt;0,"Bruna",""),IF(COUNTIF('Stella'!$B$6:$B$300,$A304)&gt;0,"Stella",""),IF(COUNTIF('Igor'!$B$6:$B$300,$A304)&gt;0,"Igor","")))</f>
        <v/>
      </c>
      <c r="J304" s="24">
        <f>IF(OR($A304="",(COUNTIF('Clarice'!$B$6:$B$300,$A304)+COUNTIF('Luisa'!$B$6:$B$300,$A304)+COUNTIF('Lui'!$B$6:$B$300,$A304)+COUNTIF('Thaís'!$B$6:$B$300,$A304)+COUNTIF('Daniel'!$B$6:$B$300,$A304)+COUNTIF('Fernando'!$B$6:$B$300,$A304)+COUNTIF('Stephanie'!$B$6:$B$300,$A304)+COUNTIF('Fox'!$B$6:$B$300,$A304)+COUNTIF('Bruna'!$B$6:$B$300,$A304)+COUNTIF('Stella'!$B$6:$B$300,$A304)+COUNTIF('Igor'!$B$6:$B$300,$A304))=0),"",(COUNTIFS('Clarice'!$B$6:$B$300,$A304,'Clarice'!$F$6:$F$300,"Concluído")+COUNTIFS('Luisa'!$B$6:$B$300,$A304,'Luisa'!$F$6:$F$300,"Concluído")+COUNTIFS('Lui'!$B$6:$B$300,$A304,'Lui'!$F$6:$F$300,"Concluído")+COUNTIFS('Thaís'!$B$6:$B$300,$A304,'Thaís'!$F$6:$F$300,"Concluído")+COUNTIFS('Daniel'!$B$6:$B$300,$A304,'Daniel'!$F$6:$F$300,"Concluído")+COUNTIFS('Fernando'!$B$6:$B$300,$A304,'Fernando'!$F$6:$F$300,"Concluído")+COUNTIFS('Stephanie'!$B$6:$B$300,$A304,'Stephanie'!$F$6:$F$300,"Concluído")+COUNTIFS('Fox'!$B$6:$B$300,$A304,'Fox'!$F$6:$F$300,"Concluído")+COUNTIFS('Bruna'!$B$6:$B$300,$A304,'Bruna'!$F$6:$F$300,"Concluído")+COUNTIFS('Stella'!$B$6:$B$300,$A304,'Stella'!$F$6:$F$300,"Concluído")+COUNTIFS('Igor'!$B$6:$B$300,$A304,'Igor'!$F$6:$F$300,"Concluído"))&amp;" / "&amp;(COUNTIF('Clarice'!$B$6:$B$300,$A304)+COUNTIF('Luisa'!$B$6:$B$300,$A304)+COUNTIF('Lui'!$B$6:$B$300,$A304)+COUNTIF('Thaís'!$B$6:$B$300,$A304)+COUNTIF('Daniel'!$B$6:$B$300,$A304)+COUNTIF('Fernando'!$B$6:$B$300,$A304)+COUNTIF('Stephanie'!$B$6:$B$300,$A304)+COUNTIF('Fox'!$B$6:$B$300,$A304)+COUNTIF('Bruna'!$B$6:$B$300,$A304)+COUNTIF('Stella'!$B$6:$B$300,$A304)+COUNTIF('Igor'!$B$6:$B$300,$A304)))</f>
        <v/>
      </c>
      <c r="P304" s="25">
        <f>IF($A304="","",IF(M304&lt;&gt;"",M304,IF(K304&lt;&gt;"",K304,"")))</f>
        <v/>
      </c>
      <c r="Q304" s="25">
        <f>IF($A304="","",IF(N304&lt;&gt;"",N304,IF(L304&lt;&gt;"",L304,"")))</f>
        <v/>
      </c>
      <c r="S304" s="23">
        <f t="array" ref="S304">IF($A304="","",_xlfn.TEXTJOIN(CHAR(10),TRUE,IF('Clarice'!$B$6:$B$300=$A304,"Clarice"&amp;IF('Clarice'!$E$6:$E$300="",""," : "&amp;'Clarice'!$E$6:$E$300)&amp;" ["&amp;'Clarice'!$F$6:$F$300&amp;"]",""),IF('Luisa'!$B$6:$B$300=$A304,"Luisa"&amp;IF('Luisa'!$E$6:$E$300="",""," : "&amp;'Luisa'!$E$6:$E$300)&amp;" ["&amp;'Luisa'!$F$6:$F$300&amp;"]",""),IF('Lui'!$B$6:$B$300=$A304,"Lui"&amp;IF('Lui'!$E$6:$E$300="",""," : "&amp;'Lui'!$E$6:$E$300)&amp;" ["&amp;'Lui'!$F$6:$F$300&amp;"]",""),IF('Thaís'!$B$6:$B$300=$A304,"Thaís"&amp;IF('Thaís'!$E$6:$E$300="",""," : "&amp;'Thaís'!$E$6:$E$300)&amp;" ["&amp;'Thaís'!$F$6:$F$300&amp;"]",""),IF('Daniel'!$B$6:$B$300=$A304,"Daniel"&amp;IF('Daniel'!$E$6:$E$300="",""," : "&amp;'Daniel'!$E$6:$E$300)&amp;" ["&amp;'Daniel'!$F$6:$F$300&amp;"]",""),IF('Fernando'!$B$6:$B$300=$A304,"Fernando"&amp;IF('Fernando'!$E$6:$E$300="",""," : "&amp;'Fernando'!$E$6:$E$300)&amp;" ["&amp;'Fernando'!$F$6:$F$300&amp;"]",""),IF('Stephanie'!$B$6:$B$300=$A304,"Stephanie"&amp;IF('Stephanie'!$E$6:$E$300="",""," : "&amp;'Stephanie'!$E$6:$E$300)&amp;" ["&amp;'Stephanie'!$F$6:$F$300&amp;"]",""),IF('Fox'!$B$6:$B$300=$A304,"Fox"&amp;IF('Fox'!$E$6:$E$300="",""," : "&amp;'Fox'!$E$6:$E$300)&amp;" ["&amp;'Fox'!$F$6:$F$300&amp;"]",""),IF('Bruna'!$B$6:$B$300=$A304,"Bruna"&amp;IF('Bruna'!$E$6:$E$300="",""," : "&amp;'Bruna'!$E$6:$E$300)&amp;" ["&amp;'Bruna'!$F$6:$F$300&amp;"]",""),IF('Stella'!$B$6:$B$300=$A304,"Stella"&amp;IF('Stella'!$E$6:$E$300="",""," : "&amp;'Stella'!$E$6:$E$300)&amp;" ["&amp;'Stella'!$F$6:$F$300&amp;"]",""),IF('Igor'!$B$6:$B$300=$A304,"Igor"&amp;IF('Igor'!$E$6:$E$300="",""," : "&amp;'Igor'!$E$6:$E$300)&amp;" ["&amp;'Igor'!$F$6:$F$300&amp;"]","")))</f>
        <v/>
      </c>
    </row>
    <row r="305">
      <c r="G305" s="23">
        <f>IF($A305="","",_xlfn.TEXTJOIN("; ",TRUE,IF(COUNTIF('Clarice'!$B$6:$B$300,$A305)&gt;0,"Clarice",""),IF(COUNTIF('Luisa'!$B$6:$B$300,$A305)&gt;0,"Luisa",""),IF(COUNTIF('Lui'!$B$6:$B$300,$A305)&gt;0,"Lui",""),IF(COUNTIF('Thaís'!$B$6:$B$300,$A305)&gt;0,"Thaís",""),IF(COUNTIF('Daniel'!$B$6:$B$300,$A305)&gt;0,"Daniel",""),IF(COUNTIF('Fernando'!$B$6:$B$300,$A305)&gt;0,"Fernando",""),IF(COUNTIF('Stephanie'!$B$6:$B$300,$A305)&gt;0,"Stephanie",""),IF(COUNTIF('Fox'!$B$6:$B$300,$A305)&gt;0,"Fox",""),IF(COUNTIF('Bruna'!$B$6:$B$300,$A305)&gt;0,"Bruna",""),IF(COUNTIF('Stella'!$B$6:$B$300,$A305)&gt;0,"Stella",""),IF(COUNTIF('Igor'!$B$6:$B$300,$A305)&gt;0,"Igor","")))</f>
        <v/>
      </c>
      <c r="J305" s="24">
        <f>IF(OR($A305="",(COUNTIF('Clarice'!$B$6:$B$300,$A305)+COUNTIF('Luisa'!$B$6:$B$300,$A305)+COUNTIF('Lui'!$B$6:$B$300,$A305)+COUNTIF('Thaís'!$B$6:$B$300,$A305)+COUNTIF('Daniel'!$B$6:$B$300,$A305)+COUNTIF('Fernando'!$B$6:$B$300,$A305)+COUNTIF('Stephanie'!$B$6:$B$300,$A305)+COUNTIF('Fox'!$B$6:$B$300,$A305)+COUNTIF('Bruna'!$B$6:$B$300,$A305)+COUNTIF('Stella'!$B$6:$B$300,$A305)+COUNTIF('Igor'!$B$6:$B$300,$A305))=0),"",(COUNTIFS('Clarice'!$B$6:$B$300,$A305,'Clarice'!$F$6:$F$300,"Concluído")+COUNTIFS('Luisa'!$B$6:$B$300,$A305,'Luisa'!$F$6:$F$300,"Concluído")+COUNTIFS('Lui'!$B$6:$B$300,$A305,'Lui'!$F$6:$F$300,"Concluído")+COUNTIFS('Thaís'!$B$6:$B$300,$A305,'Thaís'!$F$6:$F$300,"Concluído")+COUNTIFS('Daniel'!$B$6:$B$300,$A305,'Daniel'!$F$6:$F$300,"Concluído")+COUNTIFS('Fernando'!$B$6:$B$300,$A305,'Fernando'!$F$6:$F$300,"Concluído")+COUNTIFS('Stephanie'!$B$6:$B$300,$A305,'Stephanie'!$F$6:$F$300,"Concluído")+COUNTIFS('Fox'!$B$6:$B$300,$A305,'Fox'!$F$6:$F$300,"Concluído")+COUNTIFS('Bruna'!$B$6:$B$300,$A305,'Bruna'!$F$6:$F$300,"Concluído")+COUNTIFS('Stella'!$B$6:$B$300,$A305,'Stella'!$F$6:$F$300,"Concluído")+COUNTIFS('Igor'!$B$6:$B$300,$A305,'Igor'!$F$6:$F$300,"Concluído"))&amp;" / "&amp;(COUNTIF('Clarice'!$B$6:$B$300,$A305)+COUNTIF('Luisa'!$B$6:$B$300,$A305)+COUNTIF('Lui'!$B$6:$B$300,$A305)+COUNTIF('Thaís'!$B$6:$B$300,$A305)+COUNTIF('Daniel'!$B$6:$B$300,$A305)+COUNTIF('Fernando'!$B$6:$B$300,$A305)+COUNTIF('Stephanie'!$B$6:$B$300,$A305)+COUNTIF('Fox'!$B$6:$B$300,$A305)+COUNTIF('Bruna'!$B$6:$B$300,$A305)+COUNTIF('Stella'!$B$6:$B$300,$A305)+COUNTIF('Igor'!$B$6:$B$300,$A305)))</f>
        <v/>
      </c>
      <c r="P305" s="25">
        <f>IF($A305="","",IF(M305&lt;&gt;"",M305,IF(K305&lt;&gt;"",K305,"")))</f>
        <v/>
      </c>
      <c r="Q305" s="25">
        <f>IF($A305="","",IF(N305&lt;&gt;"",N305,IF(L305&lt;&gt;"",L305,"")))</f>
        <v/>
      </c>
      <c r="S305" s="23">
        <f t="array" ref="S305">IF($A305="","",_xlfn.TEXTJOIN(CHAR(10),TRUE,IF('Clarice'!$B$6:$B$300=$A305,"Clarice"&amp;IF('Clarice'!$E$6:$E$300="",""," : "&amp;'Clarice'!$E$6:$E$300)&amp;" ["&amp;'Clarice'!$F$6:$F$300&amp;"]",""),IF('Luisa'!$B$6:$B$300=$A305,"Luisa"&amp;IF('Luisa'!$E$6:$E$300="",""," : "&amp;'Luisa'!$E$6:$E$300)&amp;" ["&amp;'Luisa'!$F$6:$F$300&amp;"]",""),IF('Lui'!$B$6:$B$300=$A305,"Lui"&amp;IF('Lui'!$E$6:$E$300="",""," : "&amp;'Lui'!$E$6:$E$300)&amp;" ["&amp;'Lui'!$F$6:$F$300&amp;"]",""),IF('Thaís'!$B$6:$B$300=$A305,"Thaís"&amp;IF('Thaís'!$E$6:$E$300="",""," : "&amp;'Thaís'!$E$6:$E$300)&amp;" ["&amp;'Thaís'!$F$6:$F$300&amp;"]",""),IF('Daniel'!$B$6:$B$300=$A305,"Daniel"&amp;IF('Daniel'!$E$6:$E$300="",""," : "&amp;'Daniel'!$E$6:$E$300)&amp;" ["&amp;'Daniel'!$F$6:$F$300&amp;"]",""),IF('Fernando'!$B$6:$B$300=$A305,"Fernando"&amp;IF('Fernando'!$E$6:$E$300="",""," : "&amp;'Fernando'!$E$6:$E$300)&amp;" ["&amp;'Fernando'!$F$6:$F$300&amp;"]",""),IF('Stephanie'!$B$6:$B$300=$A305,"Stephanie"&amp;IF('Stephanie'!$E$6:$E$300="",""," : "&amp;'Stephanie'!$E$6:$E$300)&amp;" ["&amp;'Stephanie'!$F$6:$F$300&amp;"]",""),IF('Fox'!$B$6:$B$300=$A305,"Fox"&amp;IF('Fox'!$E$6:$E$300="",""," : "&amp;'Fox'!$E$6:$E$300)&amp;" ["&amp;'Fox'!$F$6:$F$300&amp;"]",""),IF('Bruna'!$B$6:$B$300=$A305,"Bruna"&amp;IF('Bruna'!$E$6:$E$300="",""," : "&amp;'Bruna'!$E$6:$E$300)&amp;" ["&amp;'Bruna'!$F$6:$F$300&amp;"]",""),IF('Stella'!$B$6:$B$300=$A305,"Stella"&amp;IF('Stella'!$E$6:$E$300="",""," : "&amp;'Stella'!$E$6:$E$300)&amp;" ["&amp;'Stella'!$F$6:$F$300&amp;"]",""),IF('Igor'!$B$6:$B$300=$A305,"Igor"&amp;IF('Igor'!$E$6:$E$300="",""," : "&amp;'Igor'!$E$6:$E$300)&amp;" ["&amp;'Igor'!$F$6:$F$300&amp;"]","")))</f>
        <v/>
      </c>
    </row>
    <row r="306">
      <c r="G306" s="23">
        <f>IF($A306="","",_xlfn.TEXTJOIN("; ",TRUE,IF(COUNTIF('Clarice'!$B$6:$B$300,$A306)&gt;0,"Clarice",""),IF(COUNTIF('Luisa'!$B$6:$B$300,$A306)&gt;0,"Luisa",""),IF(COUNTIF('Lui'!$B$6:$B$300,$A306)&gt;0,"Lui",""),IF(COUNTIF('Thaís'!$B$6:$B$300,$A306)&gt;0,"Thaís",""),IF(COUNTIF('Daniel'!$B$6:$B$300,$A306)&gt;0,"Daniel",""),IF(COUNTIF('Fernando'!$B$6:$B$300,$A306)&gt;0,"Fernando",""),IF(COUNTIF('Stephanie'!$B$6:$B$300,$A306)&gt;0,"Stephanie",""),IF(COUNTIF('Fox'!$B$6:$B$300,$A306)&gt;0,"Fox",""),IF(COUNTIF('Bruna'!$B$6:$B$300,$A306)&gt;0,"Bruna",""),IF(COUNTIF('Stella'!$B$6:$B$300,$A306)&gt;0,"Stella",""),IF(COUNTIF('Igor'!$B$6:$B$300,$A306)&gt;0,"Igor","")))</f>
        <v/>
      </c>
      <c r="J306" s="24">
        <f>IF(OR($A306="",(COUNTIF('Clarice'!$B$6:$B$300,$A306)+COUNTIF('Luisa'!$B$6:$B$300,$A306)+COUNTIF('Lui'!$B$6:$B$300,$A306)+COUNTIF('Thaís'!$B$6:$B$300,$A306)+COUNTIF('Daniel'!$B$6:$B$300,$A306)+COUNTIF('Fernando'!$B$6:$B$300,$A306)+COUNTIF('Stephanie'!$B$6:$B$300,$A306)+COUNTIF('Fox'!$B$6:$B$300,$A306)+COUNTIF('Bruna'!$B$6:$B$300,$A306)+COUNTIF('Stella'!$B$6:$B$300,$A306)+COUNTIF('Igor'!$B$6:$B$300,$A306))=0),"",(COUNTIFS('Clarice'!$B$6:$B$300,$A306,'Clarice'!$F$6:$F$300,"Concluído")+COUNTIFS('Luisa'!$B$6:$B$300,$A306,'Luisa'!$F$6:$F$300,"Concluído")+COUNTIFS('Lui'!$B$6:$B$300,$A306,'Lui'!$F$6:$F$300,"Concluído")+COUNTIFS('Thaís'!$B$6:$B$300,$A306,'Thaís'!$F$6:$F$300,"Concluído")+COUNTIFS('Daniel'!$B$6:$B$300,$A306,'Daniel'!$F$6:$F$300,"Concluído")+COUNTIFS('Fernando'!$B$6:$B$300,$A306,'Fernando'!$F$6:$F$300,"Concluído")+COUNTIFS('Stephanie'!$B$6:$B$300,$A306,'Stephanie'!$F$6:$F$300,"Concluído")+COUNTIFS('Fox'!$B$6:$B$300,$A306,'Fox'!$F$6:$F$300,"Concluído")+COUNTIFS('Bruna'!$B$6:$B$300,$A306,'Bruna'!$F$6:$F$300,"Concluído")+COUNTIFS('Stella'!$B$6:$B$300,$A306,'Stella'!$F$6:$F$300,"Concluído")+COUNTIFS('Igor'!$B$6:$B$300,$A306,'Igor'!$F$6:$F$300,"Concluído"))&amp;" / "&amp;(COUNTIF('Clarice'!$B$6:$B$300,$A306)+COUNTIF('Luisa'!$B$6:$B$300,$A306)+COUNTIF('Lui'!$B$6:$B$300,$A306)+COUNTIF('Thaís'!$B$6:$B$300,$A306)+COUNTIF('Daniel'!$B$6:$B$300,$A306)+COUNTIF('Fernando'!$B$6:$B$300,$A306)+COUNTIF('Stephanie'!$B$6:$B$300,$A306)+COUNTIF('Fox'!$B$6:$B$300,$A306)+COUNTIF('Bruna'!$B$6:$B$300,$A306)+COUNTIF('Stella'!$B$6:$B$300,$A306)+COUNTIF('Igor'!$B$6:$B$300,$A306)))</f>
        <v/>
      </c>
      <c r="P306" s="25">
        <f>IF($A306="","",IF(M306&lt;&gt;"",M306,IF(K306&lt;&gt;"",K306,"")))</f>
        <v/>
      </c>
      <c r="Q306" s="25">
        <f>IF($A306="","",IF(N306&lt;&gt;"",N306,IF(L306&lt;&gt;"",L306,"")))</f>
        <v/>
      </c>
      <c r="S306" s="23">
        <f t="array" ref="S306">IF($A306="","",_xlfn.TEXTJOIN(CHAR(10),TRUE,IF('Clarice'!$B$6:$B$300=$A306,"Clarice"&amp;IF('Clarice'!$E$6:$E$300="",""," : "&amp;'Clarice'!$E$6:$E$300)&amp;" ["&amp;'Clarice'!$F$6:$F$300&amp;"]",""),IF('Luisa'!$B$6:$B$300=$A306,"Luisa"&amp;IF('Luisa'!$E$6:$E$300="",""," : "&amp;'Luisa'!$E$6:$E$300)&amp;" ["&amp;'Luisa'!$F$6:$F$300&amp;"]",""),IF('Lui'!$B$6:$B$300=$A306,"Lui"&amp;IF('Lui'!$E$6:$E$300="",""," : "&amp;'Lui'!$E$6:$E$300)&amp;" ["&amp;'Lui'!$F$6:$F$300&amp;"]",""),IF('Thaís'!$B$6:$B$300=$A306,"Thaís"&amp;IF('Thaís'!$E$6:$E$300="",""," : "&amp;'Thaís'!$E$6:$E$300)&amp;" ["&amp;'Thaís'!$F$6:$F$300&amp;"]",""),IF('Daniel'!$B$6:$B$300=$A306,"Daniel"&amp;IF('Daniel'!$E$6:$E$300="",""," : "&amp;'Daniel'!$E$6:$E$300)&amp;" ["&amp;'Daniel'!$F$6:$F$300&amp;"]",""),IF('Fernando'!$B$6:$B$300=$A306,"Fernando"&amp;IF('Fernando'!$E$6:$E$300="",""," : "&amp;'Fernando'!$E$6:$E$300)&amp;" ["&amp;'Fernando'!$F$6:$F$300&amp;"]",""),IF('Stephanie'!$B$6:$B$300=$A306,"Stephanie"&amp;IF('Stephanie'!$E$6:$E$300="",""," : "&amp;'Stephanie'!$E$6:$E$300)&amp;" ["&amp;'Stephanie'!$F$6:$F$300&amp;"]",""),IF('Fox'!$B$6:$B$300=$A306,"Fox"&amp;IF('Fox'!$E$6:$E$300="",""," : "&amp;'Fox'!$E$6:$E$300)&amp;" ["&amp;'Fox'!$F$6:$F$300&amp;"]",""),IF('Bruna'!$B$6:$B$300=$A306,"Bruna"&amp;IF('Bruna'!$E$6:$E$300="",""," : "&amp;'Bruna'!$E$6:$E$300)&amp;" ["&amp;'Bruna'!$F$6:$F$300&amp;"]",""),IF('Stella'!$B$6:$B$300=$A306,"Stella"&amp;IF('Stella'!$E$6:$E$300="",""," : "&amp;'Stella'!$E$6:$E$300)&amp;" ["&amp;'Stella'!$F$6:$F$300&amp;"]",""),IF('Igor'!$B$6:$B$300=$A306,"Igor"&amp;IF('Igor'!$E$6:$E$300="",""," : "&amp;'Igor'!$E$6:$E$300)&amp;" ["&amp;'Igor'!$F$6:$F$300&amp;"]","")))</f>
        <v/>
      </c>
    </row>
    <row r="307">
      <c r="G307" s="23">
        <f>IF($A307="","",_xlfn.TEXTJOIN("; ",TRUE,IF(COUNTIF('Clarice'!$B$6:$B$300,$A307)&gt;0,"Clarice",""),IF(COUNTIF('Luisa'!$B$6:$B$300,$A307)&gt;0,"Luisa",""),IF(COUNTIF('Lui'!$B$6:$B$300,$A307)&gt;0,"Lui",""),IF(COUNTIF('Thaís'!$B$6:$B$300,$A307)&gt;0,"Thaís",""),IF(COUNTIF('Daniel'!$B$6:$B$300,$A307)&gt;0,"Daniel",""),IF(COUNTIF('Fernando'!$B$6:$B$300,$A307)&gt;0,"Fernando",""),IF(COUNTIF('Stephanie'!$B$6:$B$300,$A307)&gt;0,"Stephanie",""),IF(COUNTIF('Fox'!$B$6:$B$300,$A307)&gt;0,"Fox",""),IF(COUNTIF('Bruna'!$B$6:$B$300,$A307)&gt;0,"Bruna",""),IF(COUNTIF('Stella'!$B$6:$B$300,$A307)&gt;0,"Stella",""),IF(COUNTIF('Igor'!$B$6:$B$300,$A307)&gt;0,"Igor","")))</f>
        <v/>
      </c>
      <c r="J307" s="24">
        <f>IF(OR($A307="",(COUNTIF('Clarice'!$B$6:$B$300,$A307)+COUNTIF('Luisa'!$B$6:$B$300,$A307)+COUNTIF('Lui'!$B$6:$B$300,$A307)+COUNTIF('Thaís'!$B$6:$B$300,$A307)+COUNTIF('Daniel'!$B$6:$B$300,$A307)+COUNTIF('Fernando'!$B$6:$B$300,$A307)+COUNTIF('Stephanie'!$B$6:$B$300,$A307)+COUNTIF('Fox'!$B$6:$B$300,$A307)+COUNTIF('Bruna'!$B$6:$B$300,$A307)+COUNTIF('Stella'!$B$6:$B$300,$A307)+COUNTIF('Igor'!$B$6:$B$300,$A307))=0),"",(COUNTIFS('Clarice'!$B$6:$B$300,$A307,'Clarice'!$F$6:$F$300,"Concluído")+COUNTIFS('Luisa'!$B$6:$B$300,$A307,'Luisa'!$F$6:$F$300,"Concluído")+COUNTIFS('Lui'!$B$6:$B$300,$A307,'Lui'!$F$6:$F$300,"Concluído")+COUNTIFS('Thaís'!$B$6:$B$300,$A307,'Thaís'!$F$6:$F$300,"Concluído")+COUNTIFS('Daniel'!$B$6:$B$300,$A307,'Daniel'!$F$6:$F$300,"Concluído")+COUNTIFS('Fernando'!$B$6:$B$300,$A307,'Fernando'!$F$6:$F$300,"Concluído")+COUNTIFS('Stephanie'!$B$6:$B$300,$A307,'Stephanie'!$F$6:$F$300,"Concluído")+COUNTIFS('Fox'!$B$6:$B$300,$A307,'Fox'!$F$6:$F$300,"Concluído")+COUNTIFS('Bruna'!$B$6:$B$300,$A307,'Bruna'!$F$6:$F$300,"Concluído")+COUNTIFS('Stella'!$B$6:$B$300,$A307,'Stella'!$F$6:$F$300,"Concluído")+COUNTIFS('Igor'!$B$6:$B$300,$A307,'Igor'!$F$6:$F$300,"Concluído"))&amp;" / "&amp;(COUNTIF('Clarice'!$B$6:$B$300,$A307)+COUNTIF('Luisa'!$B$6:$B$300,$A307)+COUNTIF('Lui'!$B$6:$B$300,$A307)+COUNTIF('Thaís'!$B$6:$B$300,$A307)+COUNTIF('Daniel'!$B$6:$B$300,$A307)+COUNTIF('Fernando'!$B$6:$B$300,$A307)+COUNTIF('Stephanie'!$B$6:$B$300,$A307)+COUNTIF('Fox'!$B$6:$B$300,$A307)+COUNTIF('Bruna'!$B$6:$B$300,$A307)+COUNTIF('Stella'!$B$6:$B$300,$A307)+COUNTIF('Igor'!$B$6:$B$300,$A307)))</f>
        <v/>
      </c>
      <c r="P307" s="25">
        <f>IF($A307="","",IF(M307&lt;&gt;"",M307,IF(K307&lt;&gt;"",K307,"")))</f>
        <v/>
      </c>
      <c r="Q307" s="25">
        <f>IF($A307="","",IF(N307&lt;&gt;"",N307,IF(L307&lt;&gt;"",L307,"")))</f>
        <v/>
      </c>
      <c r="S307" s="23">
        <f t="array" ref="S307">IF($A307="","",_xlfn.TEXTJOIN(CHAR(10),TRUE,IF('Clarice'!$B$6:$B$300=$A307,"Clarice"&amp;IF('Clarice'!$E$6:$E$300="",""," : "&amp;'Clarice'!$E$6:$E$300)&amp;" ["&amp;'Clarice'!$F$6:$F$300&amp;"]",""),IF('Luisa'!$B$6:$B$300=$A307,"Luisa"&amp;IF('Luisa'!$E$6:$E$300="",""," : "&amp;'Luisa'!$E$6:$E$300)&amp;" ["&amp;'Luisa'!$F$6:$F$300&amp;"]",""),IF('Lui'!$B$6:$B$300=$A307,"Lui"&amp;IF('Lui'!$E$6:$E$300="",""," : "&amp;'Lui'!$E$6:$E$300)&amp;" ["&amp;'Lui'!$F$6:$F$300&amp;"]",""),IF('Thaís'!$B$6:$B$300=$A307,"Thaís"&amp;IF('Thaís'!$E$6:$E$300="",""," : "&amp;'Thaís'!$E$6:$E$300)&amp;" ["&amp;'Thaís'!$F$6:$F$300&amp;"]",""),IF('Daniel'!$B$6:$B$300=$A307,"Daniel"&amp;IF('Daniel'!$E$6:$E$300="",""," : "&amp;'Daniel'!$E$6:$E$300)&amp;" ["&amp;'Daniel'!$F$6:$F$300&amp;"]",""),IF('Fernando'!$B$6:$B$300=$A307,"Fernando"&amp;IF('Fernando'!$E$6:$E$300="",""," : "&amp;'Fernando'!$E$6:$E$300)&amp;" ["&amp;'Fernando'!$F$6:$F$300&amp;"]",""),IF('Stephanie'!$B$6:$B$300=$A307,"Stephanie"&amp;IF('Stephanie'!$E$6:$E$300="",""," : "&amp;'Stephanie'!$E$6:$E$300)&amp;" ["&amp;'Stephanie'!$F$6:$F$300&amp;"]",""),IF('Fox'!$B$6:$B$300=$A307,"Fox"&amp;IF('Fox'!$E$6:$E$300="",""," : "&amp;'Fox'!$E$6:$E$300)&amp;" ["&amp;'Fox'!$F$6:$F$300&amp;"]",""),IF('Bruna'!$B$6:$B$300=$A307,"Bruna"&amp;IF('Bruna'!$E$6:$E$300="",""," : "&amp;'Bruna'!$E$6:$E$300)&amp;" ["&amp;'Bruna'!$F$6:$F$300&amp;"]",""),IF('Stella'!$B$6:$B$300=$A307,"Stella"&amp;IF('Stella'!$E$6:$E$300="",""," : "&amp;'Stella'!$E$6:$E$300)&amp;" ["&amp;'Stella'!$F$6:$F$300&amp;"]",""),IF('Igor'!$B$6:$B$300=$A307,"Igor"&amp;IF('Igor'!$E$6:$E$300="",""," : "&amp;'Igor'!$E$6:$E$300)&amp;" ["&amp;'Igor'!$F$6:$F$300&amp;"]","")))</f>
        <v/>
      </c>
    </row>
    <row r="308">
      <c r="G308" s="23">
        <f>IF($A308="","",_xlfn.TEXTJOIN("; ",TRUE,IF(COUNTIF('Clarice'!$B$6:$B$300,$A308)&gt;0,"Clarice",""),IF(COUNTIF('Luisa'!$B$6:$B$300,$A308)&gt;0,"Luisa",""),IF(COUNTIF('Lui'!$B$6:$B$300,$A308)&gt;0,"Lui",""),IF(COUNTIF('Thaís'!$B$6:$B$300,$A308)&gt;0,"Thaís",""),IF(COUNTIF('Daniel'!$B$6:$B$300,$A308)&gt;0,"Daniel",""),IF(COUNTIF('Fernando'!$B$6:$B$300,$A308)&gt;0,"Fernando",""),IF(COUNTIF('Stephanie'!$B$6:$B$300,$A308)&gt;0,"Stephanie",""),IF(COUNTIF('Fox'!$B$6:$B$300,$A308)&gt;0,"Fox",""),IF(COUNTIF('Bruna'!$B$6:$B$300,$A308)&gt;0,"Bruna",""),IF(COUNTIF('Stella'!$B$6:$B$300,$A308)&gt;0,"Stella",""),IF(COUNTIF('Igor'!$B$6:$B$300,$A308)&gt;0,"Igor","")))</f>
        <v/>
      </c>
      <c r="J308" s="24">
        <f>IF(OR($A308="",(COUNTIF('Clarice'!$B$6:$B$300,$A308)+COUNTIF('Luisa'!$B$6:$B$300,$A308)+COUNTIF('Lui'!$B$6:$B$300,$A308)+COUNTIF('Thaís'!$B$6:$B$300,$A308)+COUNTIF('Daniel'!$B$6:$B$300,$A308)+COUNTIF('Fernando'!$B$6:$B$300,$A308)+COUNTIF('Stephanie'!$B$6:$B$300,$A308)+COUNTIF('Fox'!$B$6:$B$300,$A308)+COUNTIF('Bruna'!$B$6:$B$300,$A308)+COUNTIF('Stella'!$B$6:$B$300,$A308)+COUNTIF('Igor'!$B$6:$B$300,$A308))=0),"",(COUNTIFS('Clarice'!$B$6:$B$300,$A308,'Clarice'!$F$6:$F$300,"Concluído")+COUNTIFS('Luisa'!$B$6:$B$300,$A308,'Luisa'!$F$6:$F$300,"Concluído")+COUNTIFS('Lui'!$B$6:$B$300,$A308,'Lui'!$F$6:$F$300,"Concluído")+COUNTIFS('Thaís'!$B$6:$B$300,$A308,'Thaís'!$F$6:$F$300,"Concluído")+COUNTIFS('Daniel'!$B$6:$B$300,$A308,'Daniel'!$F$6:$F$300,"Concluído")+COUNTIFS('Fernando'!$B$6:$B$300,$A308,'Fernando'!$F$6:$F$300,"Concluído")+COUNTIFS('Stephanie'!$B$6:$B$300,$A308,'Stephanie'!$F$6:$F$300,"Concluído")+COUNTIFS('Fox'!$B$6:$B$300,$A308,'Fox'!$F$6:$F$300,"Concluído")+COUNTIFS('Bruna'!$B$6:$B$300,$A308,'Bruna'!$F$6:$F$300,"Concluído")+COUNTIFS('Stella'!$B$6:$B$300,$A308,'Stella'!$F$6:$F$300,"Concluído")+COUNTIFS('Igor'!$B$6:$B$300,$A308,'Igor'!$F$6:$F$300,"Concluído"))&amp;" / "&amp;(COUNTIF('Clarice'!$B$6:$B$300,$A308)+COUNTIF('Luisa'!$B$6:$B$300,$A308)+COUNTIF('Lui'!$B$6:$B$300,$A308)+COUNTIF('Thaís'!$B$6:$B$300,$A308)+COUNTIF('Daniel'!$B$6:$B$300,$A308)+COUNTIF('Fernando'!$B$6:$B$300,$A308)+COUNTIF('Stephanie'!$B$6:$B$300,$A308)+COUNTIF('Fox'!$B$6:$B$300,$A308)+COUNTIF('Bruna'!$B$6:$B$300,$A308)+COUNTIF('Stella'!$B$6:$B$300,$A308)+COUNTIF('Igor'!$B$6:$B$300,$A308)))</f>
        <v/>
      </c>
      <c r="P308" s="25">
        <f>IF($A308="","",IF(M308&lt;&gt;"",M308,IF(K308&lt;&gt;"",K308,"")))</f>
        <v/>
      </c>
      <c r="Q308" s="25">
        <f>IF($A308="","",IF(N308&lt;&gt;"",N308,IF(L308&lt;&gt;"",L308,"")))</f>
        <v/>
      </c>
      <c r="S308" s="23">
        <f t="array" ref="S308">IF($A308="","",_xlfn.TEXTJOIN(CHAR(10),TRUE,IF('Clarice'!$B$6:$B$300=$A308,"Clarice"&amp;IF('Clarice'!$E$6:$E$300="",""," : "&amp;'Clarice'!$E$6:$E$300)&amp;" ["&amp;'Clarice'!$F$6:$F$300&amp;"]",""),IF('Luisa'!$B$6:$B$300=$A308,"Luisa"&amp;IF('Luisa'!$E$6:$E$300="",""," : "&amp;'Luisa'!$E$6:$E$300)&amp;" ["&amp;'Luisa'!$F$6:$F$300&amp;"]",""),IF('Lui'!$B$6:$B$300=$A308,"Lui"&amp;IF('Lui'!$E$6:$E$300="",""," : "&amp;'Lui'!$E$6:$E$300)&amp;" ["&amp;'Lui'!$F$6:$F$300&amp;"]",""),IF('Thaís'!$B$6:$B$300=$A308,"Thaís"&amp;IF('Thaís'!$E$6:$E$300="",""," : "&amp;'Thaís'!$E$6:$E$300)&amp;" ["&amp;'Thaís'!$F$6:$F$300&amp;"]",""),IF('Daniel'!$B$6:$B$300=$A308,"Daniel"&amp;IF('Daniel'!$E$6:$E$300="",""," : "&amp;'Daniel'!$E$6:$E$300)&amp;" ["&amp;'Daniel'!$F$6:$F$300&amp;"]",""),IF('Fernando'!$B$6:$B$300=$A308,"Fernando"&amp;IF('Fernando'!$E$6:$E$300="",""," : "&amp;'Fernando'!$E$6:$E$300)&amp;" ["&amp;'Fernando'!$F$6:$F$300&amp;"]",""),IF('Stephanie'!$B$6:$B$300=$A308,"Stephanie"&amp;IF('Stephanie'!$E$6:$E$300="",""," : "&amp;'Stephanie'!$E$6:$E$300)&amp;" ["&amp;'Stephanie'!$F$6:$F$300&amp;"]",""),IF('Fox'!$B$6:$B$300=$A308,"Fox"&amp;IF('Fox'!$E$6:$E$300="",""," : "&amp;'Fox'!$E$6:$E$300)&amp;" ["&amp;'Fox'!$F$6:$F$300&amp;"]",""),IF('Bruna'!$B$6:$B$300=$A308,"Bruna"&amp;IF('Bruna'!$E$6:$E$300="",""," : "&amp;'Bruna'!$E$6:$E$300)&amp;" ["&amp;'Bruna'!$F$6:$F$300&amp;"]",""),IF('Stella'!$B$6:$B$300=$A308,"Stella"&amp;IF('Stella'!$E$6:$E$300="",""," : "&amp;'Stella'!$E$6:$E$300)&amp;" ["&amp;'Stella'!$F$6:$F$300&amp;"]",""),IF('Igor'!$B$6:$B$300=$A308,"Igor"&amp;IF('Igor'!$E$6:$E$300="",""," : "&amp;'Igor'!$E$6:$E$300)&amp;" ["&amp;'Igor'!$F$6:$F$300&amp;"]","")))</f>
        <v/>
      </c>
    </row>
    <row r="309">
      <c r="G309" s="23">
        <f>IF($A309="","",_xlfn.TEXTJOIN("; ",TRUE,IF(COUNTIF('Clarice'!$B$6:$B$300,$A309)&gt;0,"Clarice",""),IF(COUNTIF('Luisa'!$B$6:$B$300,$A309)&gt;0,"Luisa",""),IF(COUNTIF('Lui'!$B$6:$B$300,$A309)&gt;0,"Lui",""),IF(COUNTIF('Thaís'!$B$6:$B$300,$A309)&gt;0,"Thaís",""),IF(COUNTIF('Daniel'!$B$6:$B$300,$A309)&gt;0,"Daniel",""),IF(COUNTIF('Fernando'!$B$6:$B$300,$A309)&gt;0,"Fernando",""),IF(COUNTIF('Stephanie'!$B$6:$B$300,$A309)&gt;0,"Stephanie",""),IF(COUNTIF('Fox'!$B$6:$B$300,$A309)&gt;0,"Fox",""),IF(COUNTIF('Bruna'!$B$6:$B$300,$A309)&gt;0,"Bruna",""),IF(COUNTIF('Stella'!$B$6:$B$300,$A309)&gt;0,"Stella",""),IF(COUNTIF('Igor'!$B$6:$B$300,$A309)&gt;0,"Igor","")))</f>
        <v/>
      </c>
      <c r="J309" s="24">
        <f>IF(OR($A309="",(COUNTIF('Clarice'!$B$6:$B$300,$A309)+COUNTIF('Luisa'!$B$6:$B$300,$A309)+COUNTIF('Lui'!$B$6:$B$300,$A309)+COUNTIF('Thaís'!$B$6:$B$300,$A309)+COUNTIF('Daniel'!$B$6:$B$300,$A309)+COUNTIF('Fernando'!$B$6:$B$300,$A309)+COUNTIF('Stephanie'!$B$6:$B$300,$A309)+COUNTIF('Fox'!$B$6:$B$300,$A309)+COUNTIF('Bruna'!$B$6:$B$300,$A309)+COUNTIF('Stella'!$B$6:$B$300,$A309)+COUNTIF('Igor'!$B$6:$B$300,$A309))=0),"",(COUNTIFS('Clarice'!$B$6:$B$300,$A309,'Clarice'!$F$6:$F$300,"Concluído")+COUNTIFS('Luisa'!$B$6:$B$300,$A309,'Luisa'!$F$6:$F$300,"Concluído")+COUNTIFS('Lui'!$B$6:$B$300,$A309,'Lui'!$F$6:$F$300,"Concluído")+COUNTIFS('Thaís'!$B$6:$B$300,$A309,'Thaís'!$F$6:$F$300,"Concluído")+COUNTIFS('Daniel'!$B$6:$B$300,$A309,'Daniel'!$F$6:$F$300,"Concluído")+COUNTIFS('Fernando'!$B$6:$B$300,$A309,'Fernando'!$F$6:$F$300,"Concluído")+COUNTIFS('Stephanie'!$B$6:$B$300,$A309,'Stephanie'!$F$6:$F$300,"Concluído")+COUNTIFS('Fox'!$B$6:$B$300,$A309,'Fox'!$F$6:$F$300,"Concluído")+COUNTIFS('Bruna'!$B$6:$B$300,$A309,'Bruna'!$F$6:$F$300,"Concluído")+COUNTIFS('Stella'!$B$6:$B$300,$A309,'Stella'!$F$6:$F$300,"Concluído")+COUNTIFS('Igor'!$B$6:$B$300,$A309,'Igor'!$F$6:$F$300,"Concluído"))&amp;" / "&amp;(COUNTIF('Clarice'!$B$6:$B$300,$A309)+COUNTIF('Luisa'!$B$6:$B$300,$A309)+COUNTIF('Lui'!$B$6:$B$300,$A309)+COUNTIF('Thaís'!$B$6:$B$300,$A309)+COUNTIF('Daniel'!$B$6:$B$300,$A309)+COUNTIF('Fernando'!$B$6:$B$300,$A309)+COUNTIF('Stephanie'!$B$6:$B$300,$A309)+COUNTIF('Fox'!$B$6:$B$300,$A309)+COUNTIF('Bruna'!$B$6:$B$300,$A309)+COUNTIF('Stella'!$B$6:$B$300,$A309)+COUNTIF('Igor'!$B$6:$B$300,$A309)))</f>
        <v/>
      </c>
      <c r="P309" s="25">
        <f>IF($A309="","",IF(M309&lt;&gt;"",M309,IF(K309&lt;&gt;"",K309,"")))</f>
        <v/>
      </c>
      <c r="Q309" s="25">
        <f>IF($A309="","",IF(N309&lt;&gt;"",N309,IF(L309&lt;&gt;"",L309,"")))</f>
        <v/>
      </c>
      <c r="S309" s="23">
        <f t="array" ref="S309">IF($A309="","",_xlfn.TEXTJOIN(CHAR(10),TRUE,IF('Clarice'!$B$6:$B$300=$A309,"Clarice"&amp;IF('Clarice'!$E$6:$E$300="",""," : "&amp;'Clarice'!$E$6:$E$300)&amp;" ["&amp;'Clarice'!$F$6:$F$300&amp;"]",""),IF('Luisa'!$B$6:$B$300=$A309,"Luisa"&amp;IF('Luisa'!$E$6:$E$300="",""," : "&amp;'Luisa'!$E$6:$E$300)&amp;" ["&amp;'Luisa'!$F$6:$F$300&amp;"]",""),IF('Lui'!$B$6:$B$300=$A309,"Lui"&amp;IF('Lui'!$E$6:$E$300="",""," : "&amp;'Lui'!$E$6:$E$300)&amp;" ["&amp;'Lui'!$F$6:$F$300&amp;"]",""),IF('Thaís'!$B$6:$B$300=$A309,"Thaís"&amp;IF('Thaís'!$E$6:$E$300="",""," : "&amp;'Thaís'!$E$6:$E$300)&amp;" ["&amp;'Thaís'!$F$6:$F$300&amp;"]",""),IF('Daniel'!$B$6:$B$300=$A309,"Daniel"&amp;IF('Daniel'!$E$6:$E$300="",""," : "&amp;'Daniel'!$E$6:$E$300)&amp;" ["&amp;'Daniel'!$F$6:$F$300&amp;"]",""),IF('Fernando'!$B$6:$B$300=$A309,"Fernando"&amp;IF('Fernando'!$E$6:$E$300="",""," : "&amp;'Fernando'!$E$6:$E$300)&amp;" ["&amp;'Fernando'!$F$6:$F$300&amp;"]",""),IF('Stephanie'!$B$6:$B$300=$A309,"Stephanie"&amp;IF('Stephanie'!$E$6:$E$300="",""," : "&amp;'Stephanie'!$E$6:$E$300)&amp;" ["&amp;'Stephanie'!$F$6:$F$300&amp;"]",""),IF('Fox'!$B$6:$B$300=$A309,"Fox"&amp;IF('Fox'!$E$6:$E$300="",""," : "&amp;'Fox'!$E$6:$E$300)&amp;" ["&amp;'Fox'!$F$6:$F$300&amp;"]",""),IF('Bruna'!$B$6:$B$300=$A309,"Bruna"&amp;IF('Bruna'!$E$6:$E$300="",""," : "&amp;'Bruna'!$E$6:$E$300)&amp;" ["&amp;'Bruna'!$F$6:$F$300&amp;"]",""),IF('Stella'!$B$6:$B$300=$A309,"Stella"&amp;IF('Stella'!$E$6:$E$300="",""," : "&amp;'Stella'!$E$6:$E$300)&amp;" ["&amp;'Stella'!$F$6:$F$300&amp;"]",""),IF('Igor'!$B$6:$B$300=$A309,"Igor"&amp;IF('Igor'!$E$6:$E$300="",""," : "&amp;'Igor'!$E$6:$E$300)&amp;" ["&amp;'Igor'!$F$6:$F$300&amp;"]","")))</f>
        <v/>
      </c>
    </row>
    <row r="310">
      <c r="G310" s="23">
        <f>IF($A310="","",_xlfn.TEXTJOIN("; ",TRUE,IF(COUNTIF('Clarice'!$B$6:$B$300,$A310)&gt;0,"Clarice",""),IF(COUNTIF('Luisa'!$B$6:$B$300,$A310)&gt;0,"Luisa",""),IF(COUNTIF('Lui'!$B$6:$B$300,$A310)&gt;0,"Lui",""),IF(COUNTIF('Thaís'!$B$6:$B$300,$A310)&gt;0,"Thaís",""),IF(COUNTIF('Daniel'!$B$6:$B$300,$A310)&gt;0,"Daniel",""),IF(COUNTIF('Fernando'!$B$6:$B$300,$A310)&gt;0,"Fernando",""),IF(COUNTIF('Stephanie'!$B$6:$B$300,$A310)&gt;0,"Stephanie",""),IF(COUNTIF('Fox'!$B$6:$B$300,$A310)&gt;0,"Fox",""),IF(COUNTIF('Bruna'!$B$6:$B$300,$A310)&gt;0,"Bruna",""),IF(COUNTIF('Stella'!$B$6:$B$300,$A310)&gt;0,"Stella",""),IF(COUNTIF('Igor'!$B$6:$B$300,$A310)&gt;0,"Igor","")))</f>
        <v/>
      </c>
      <c r="J310" s="24">
        <f>IF(OR($A310="",(COUNTIF('Clarice'!$B$6:$B$300,$A310)+COUNTIF('Luisa'!$B$6:$B$300,$A310)+COUNTIF('Lui'!$B$6:$B$300,$A310)+COUNTIF('Thaís'!$B$6:$B$300,$A310)+COUNTIF('Daniel'!$B$6:$B$300,$A310)+COUNTIF('Fernando'!$B$6:$B$300,$A310)+COUNTIF('Stephanie'!$B$6:$B$300,$A310)+COUNTIF('Fox'!$B$6:$B$300,$A310)+COUNTIF('Bruna'!$B$6:$B$300,$A310)+COUNTIF('Stella'!$B$6:$B$300,$A310)+COUNTIF('Igor'!$B$6:$B$300,$A310))=0),"",(COUNTIFS('Clarice'!$B$6:$B$300,$A310,'Clarice'!$F$6:$F$300,"Concluído")+COUNTIFS('Luisa'!$B$6:$B$300,$A310,'Luisa'!$F$6:$F$300,"Concluído")+COUNTIFS('Lui'!$B$6:$B$300,$A310,'Lui'!$F$6:$F$300,"Concluído")+COUNTIFS('Thaís'!$B$6:$B$300,$A310,'Thaís'!$F$6:$F$300,"Concluído")+COUNTIFS('Daniel'!$B$6:$B$300,$A310,'Daniel'!$F$6:$F$300,"Concluído")+COUNTIFS('Fernando'!$B$6:$B$300,$A310,'Fernando'!$F$6:$F$300,"Concluído")+COUNTIFS('Stephanie'!$B$6:$B$300,$A310,'Stephanie'!$F$6:$F$300,"Concluído")+COUNTIFS('Fox'!$B$6:$B$300,$A310,'Fox'!$F$6:$F$300,"Concluído")+COUNTIFS('Bruna'!$B$6:$B$300,$A310,'Bruna'!$F$6:$F$300,"Concluído")+COUNTIFS('Stella'!$B$6:$B$300,$A310,'Stella'!$F$6:$F$300,"Concluído")+COUNTIFS('Igor'!$B$6:$B$300,$A310,'Igor'!$F$6:$F$300,"Concluído"))&amp;" / "&amp;(COUNTIF('Clarice'!$B$6:$B$300,$A310)+COUNTIF('Luisa'!$B$6:$B$300,$A310)+COUNTIF('Lui'!$B$6:$B$300,$A310)+COUNTIF('Thaís'!$B$6:$B$300,$A310)+COUNTIF('Daniel'!$B$6:$B$300,$A310)+COUNTIF('Fernando'!$B$6:$B$300,$A310)+COUNTIF('Stephanie'!$B$6:$B$300,$A310)+COUNTIF('Fox'!$B$6:$B$300,$A310)+COUNTIF('Bruna'!$B$6:$B$300,$A310)+COUNTIF('Stella'!$B$6:$B$300,$A310)+COUNTIF('Igor'!$B$6:$B$300,$A310)))</f>
        <v/>
      </c>
      <c r="P310" s="25">
        <f>IF($A310="","",IF(M310&lt;&gt;"",M310,IF(K310&lt;&gt;"",K310,"")))</f>
        <v/>
      </c>
      <c r="Q310" s="25">
        <f>IF($A310="","",IF(N310&lt;&gt;"",N310,IF(L310&lt;&gt;"",L310,"")))</f>
        <v/>
      </c>
      <c r="S310" s="23">
        <f t="array" ref="S310">IF($A310="","",_xlfn.TEXTJOIN(CHAR(10),TRUE,IF('Clarice'!$B$6:$B$300=$A310,"Clarice"&amp;IF('Clarice'!$E$6:$E$300="",""," : "&amp;'Clarice'!$E$6:$E$300)&amp;" ["&amp;'Clarice'!$F$6:$F$300&amp;"]",""),IF('Luisa'!$B$6:$B$300=$A310,"Luisa"&amp;IF('Luisa'!$E$6:$E$300="",""," : "&amp;'Luisa'!$E$6:$E$300)&amp;" ["&amp;'Luisa'!$F$6:$F$300&amp;"]",""),IF('Lui'!$B$6:$B$300=$A310,"Lui"&amp;IF('Lui'!$E$6:$E$300="",""," : "&amp;'Lui'!$E$6:$E$300)&amp;" ["&amp;'Lui'!$F$6:$F$300&amp;"]",""),IF('Thaís'!$B$6:$B$300=$A310,"Thaís"&amp;IF('Thaís'!$E$6:$E$300="",""," : "&amp;'Thaís'!$E$6:$E$300)&amp;" ["&amp;'Thaís'!$F$6:$F$300&amp;"]",""),IF('Daniel'!$B$6:$B$300=$A310,"Daniel"&amp;IF('Daniel'!$E$6:$E$300="",""," : "&amp;'Daniel'!$E$6:$E$300)&amp;" ["&amp;'Daniel'!$F$6:$F$300&amp;"]",""),IF('Fernando'!$B$6:$B$300=$A310,"Fernando"&amp;IF('Fernando'!$E$6:$E$300="",""," : "&amp;'Fernando'!$E$6:$E$300)&amp;" ["&amp;'Fernando'!$F$6:$F$300&amp;"]",""),IF('Stephanie'!$B$6:$B$300=$A310,"Stephanie"&amp;IF('Stephanie'!$E$6:$E$300="",""," : "&amp;'Stephanie'!$E$6:$E$300)&amp;" ["&amp;'Stephanie'!$F$6:$F$300&amp;"]",""),IF('Fox'!$B$6:$B$300=$A310,"Fox"&amp;IF('Fox'!$E$6:$E$300="",""," : "&amp;'Fox'!$E$6:$E$300)&amp;" ["&amp;'Fox'!$F$6:$F$300&amp;"]",""),IF('Bruna'!$B$6:$B$300=$A310,"Bruna"&amp;IF('Bruna'!$E$6:$E$300="",""," : "&amp;'Bruna'!$E$6:$E$300)&amp;" ["&amp;'Bruna'!$F$6:$F$300&amp;"]",""),IF('Stella'!$B$6:$B$300=$A310,"Stella"&amp;IF('Stella'!$E$6:$E$300="",""," : "&amp;'Stella'!$E$6:$E$300)&amp;" ["&amp;'Stella'!$F$6:$F$300&amp;"]",""),IF('Igor'!$B$6:$B$300=$A310,"Igor"&amp;IF('Igor'!$E$6:$E$300="",""," : "&amp;'Igor'!$E$6:$E$300)&amp;" ["&amp;'Igor'!$F$6:$F$300&amp;"]","")))</f>
        <v/>
      </c>
    </row>
    <row r="311">
      <c r="G311" s="23">
        <f>IF($A311="","",_xlfn.TEXTJOIN("; ",TRUE,IF(COUNTIF('Clarice'!$B$6:$B$300,$A311)&gt;0,"Clarice",""),IF(COUNTIF('Luisa'!$B$6:$B$300,$A311)&gt;0,"Luisa",""),IF(COUNTIF('Lui'!$B$6:$B$300,$A311)&gt;0,"Lui",""),IF(COUNTIF('Thaís'!$B$6:$B$300,$A311)&gt;0,"Thaís",""),IF(COUNTIF('Daniel'!$B$6:$B$300,$A311)&gt;0,"Daniel",""),IF(COUNTIF('Fernando'!$B$6:$B$300,$A311)&gt;0,"Fernando",""),IF(COUNTIF('Stephanie'!$B$6:$B$300,$A311)&gt;0,"Stephanie",""),IF(COUNTIF('Fox'!$B$6:$B$300,$A311)&gt;0,"Fox",""),IF(COUNTIF('Bruna'!$B$6:$B$300,$A311)&gt;0,"Bruna",""),IF(COUNTIF('Stella'!$B$6:$B$300,$A311)&gt;0,"Stella",""),IF(COUNTIF('Igor'!$B$6:$B$300,$A311)&gt;0,"Igor","")))</f>
        <v/>
      </c>
      <c r="J311" s="24">
        <f>IF(OR($A311="",(COUNTIF('Clarice'!$B$6:$B$300,$A311)+COUNTIF('Luisa'!$B$6:$B$300,$A311)+COUNTIF('Lui'!$B$6:$B$300,$A311)+COUNTIF('Thaís'!$B$6:$B$300,$A311)+COUNTIF('Daniel'!$B$6:$B$300,$A311)+COUNTIF('Fernando'!$B$6:$B$300,$A311)+COUNTIF('Stephanie'!$B$6:$B$300,$A311)+COUNTIF('Fox'!$B$6:$B$300,$A311)+COUNTIF('Bruna'!$B$6:$B$300,$A311)+COUNTIF('Stella'!$B$6:$B$300,$A311)+COUNTIF('Igor'!$B$6:$B$300,$A311))=0),"",(COUNTIFS('Clarice'!$B$6:$B$300,$A311,'Clarice'!$F$6:$F$300,"Concluído")+COUNTIFS('Luisa'!$B$6:$B$300,$A311,'Luisa'!$F$6:$F$300,"Concluído")+COUNTIFS('Lui'!$B$6:$B$300,$A311,'Lui'!$F$6:$F$300,"Concluído")+COUNTIFS('Thaís'!$B$6:$B$300,$A311,'Thaís'!$F$6:$F$300,"Concluído")+COUNTIFS('Daniel'!$B$6:$B$300,$A311,'Daniel'!$F$6:$F$300,"Concluído")+COUNTIFS('Fernando'!$B$6:$B$300,$A311,'Fernando'!$F$6:$F$300,"Concluído")+COUNTIFS('Stephanie'!$B$6:$B$300,$A311,'Stephanie'!$F$6:$F$300,"Concluído")+COUNTIFS('Fox'!$B$6:$B$300,$A311,'Fox'!$F$6:$F$300,"Concluído")+COUNTIFS('Bruna'!$B$6:$B$300,$A311,'Bruna'!$F$6:$F$300,"Concluído")+COUNTIFS('Stella'!$B$6:$B$300,$A311,'Stella'!$F$6:$F$300,"Concluído")+COUNTIFS('Igor'!$B$6:$B$300,$A311,'Igor'!$F$6:$F$300,"Concluído"))&amp;" / "&amp;(COUNTIF('Clarice'!$B$6:$B$300,$A311)+COUNTIF('Luisa'!$B$6:$B$300,$A311)+COUNTIF('Lui'!$B$6:$B$300,$A311)+COUNTIF('Thaís'!$B$6:$B$300,$A311)+COUNTIF('Daniel'!$B$6:$B$300,$A311)+COUNTIF('Fernando'!$B$6:$B$300,$A311)+COUNTIF('Stephanie'!$B$6:$B$300,$A311)+COUNTIF('Fox'!$B$6:$B$300,$A311)+COUNTIF('Bruna'!$B$6:$B$300,$A311)+COUNTIF('Stella'!$B$6:$B$300,$A311)+COUNTIF('Igor'!$B$6:$B$300,$A311)))</f>
        <v/>
      </c>
      <c r="P311" s="25">
        <f>IF($A311="","",IF(M311&lt;&gt;"",M311,IF(K311&lt;&gt;"",K311,"")))</f>
        <v/>
      </c>
      <c r="Q311" s="25">
        <f>IF($A311="","",IF(N311&lt;&gt;"",N311,IF(L311&lt;&gt;"",L311,"")))</f>
        <v/>
      </c>
      <c r="S311" s="23">
        <f t="array" ref="S311">IF($A311="","",_xlfn.TEXTJOIN(CHAR(10),TRUE,IF('Clarice'!$B$6:$B$300=$A311,"Clarice"&amp;IF('Clarice'!$E$6:$E$300="",""," : "&amp;'Clarice'!$E$6:$E$300)&amp;" ["&amp;'Clarice'!$F$6:$F$300&amp;"]",""),IF('Luisa'!$B$6:$B$300=$A311,"Luisa"&amp;IF('Luisa'!$E$6:$E$300="",""," : "&amp;'Luisa'!$E$6:$E$300)&amp;" ["&amp;'Luisa'!$F$6:$F$300&amp;"]",""),IF('Lui'!$B$6:$B$300=$A311,"Lui"&amp;IF('Lui'!$E$6:$E$300="",""," : "&amp;'Lui'!$E$6:$E$300)&amp;" ["&amp;'Lui'!$F$6:$F$300&amp;"]",""),IF('Thaís'!$B$6:$B$300=$A311,"Thaís"&amp;IF('Thaís'!$E$6:$E$300="",""," : "&amp;'Thaís'!$E$6:$E$300)&amp;" ["&amp;'Thaís'!$F$6:$F$300&amp;"]",""),IF('Daniel'!$B$6:$B$300=$A311,"Daniel"&amp;IF('Daniel'!$E$6:$E$300="",""," : "&amp;'Daniel'!$E$6:$E$300)&amp;" ["&amp;'Daniel'!$F$6:$F$300&amp;"]",""),IF('Fernando'!$B$6:$B$300=$A311,"Fernando"&amp;IF('Fernando'!$E$6:$E$300="",""," : "&amp;'Fernando'!$E$6:$E$300)&amp;" ["&amp;'Fernando'!$F$6:$F$300&amp;"]",""),IF('Stephanie'!$B$6:$B$300=$A311,"Stephanie"&amp;IF('Stephanie'!$E$6:$E$300="",""," : "&amp;'Stephanie'!$E$6:$E$300)&amp;" ["&amp;'Stephanie'!$F$6:$F$300&amp;"]",""),IF('Fox'!$B$6:$B$300=$A311,"Fox"&amp;IF('Fox'!$E$6:$E$300="",""," : "&amp;'Fox'!$E$6:$E$300)&amp;" ["&amp;'Fox'!$F$6:$F$300&amp;"]",""),IF('Bruna'!$B$6:$B$300=$A311,"Bruna"&amp;IF('Bruna'!$E$6:$E$300="",""," : "&amp;'Bruna'!$E$6:$E$300)&amp;" ["&amp;'Bruna'!$F$6:$F$300&amp;"]",""),IF('Stella'!$B$6:$B$300=$A311,"Stella"&amp;IF('Stella'!$E$6:$E$300="",""," : "&amp;'Stella'!$E$6:$E$300)&amp;" ["&amp;'Stella'!$F$6:$F$300&amp;"]",""),IF('Igor'!$B$6:$B$300=$A311,"Igor"&amp;IF('Igor'!$E$6:$E$300="",""," : "&amp;'Igor'!$E$6:$E$300)&amp;" ["&amp;'Igor'!$F$6:$F$300&amp;"]","")))</f>
        <v/>
      </c>
    </row>
    <row r="312">
      <c r="G312" s="23">
        <f>IF($A312="","",_xlfn.TEXTJOIN("; ",TRUE,IF(COUNTIF('Clarice'!$B$6:$B$300,$A312)&gt;0,"Clarice",""),IF(COUNTIF('Luisa'!$B$6:$B$300,$A312)&gt;0,"Luisa",""),IF(COUNTIF('Lui'!$B$6:$B$300,$A312)&gt;0,"Lui",""),IF(COUNTIF('Thaís'!$B$6:$B$300,$A312)&gt;0,"Thaís",""),IF(COUNTIF('Daniel'!$B$6:$B$300,$A312)&gt;0,"Daniel",""),IF(COUNTIF('Fernando'!$B$6:$B$300,$A312)&gt;0,"Fernando",""),IF(COUNTIF('Stephanie'!$B$6:$B$300,$A312)&gt;0,"Stephanie",""),IF(COUNTIF('Fox'!$B$6:$B$300,$A312)&gt;0,"Fox",""),IF(COUNTIF('Bruna'!$B$6:$B$300,$A312)&gt;0,"Bruna",""),IF(COUNTIF('Stella'!$B$6:$B$300,$A312)&gt;0,"Stella",""),IF(COUNTIF('Igor'!$B$6:$B$300,$A312)&gt;0,"Igor","")))</f>
        <v/>
      </c>
      <c r="J312" s="24">
        <f>IF(OR($A312="",(COUNTIF('Clarice'!$B$6:$B$300,$A312)+COUNTIF('Luisa'!$B$6:$B$300,$A312)+COUNTIF('Lui'!$B$6:$B$300,$A312)+COUNTIF('Thaís'!$B$6:$B$300,$A312)+COUNTIF('Daniel'!$B$6:$B$300,$A312)+COUNTIF('Fernando'!$B$6:$B$300,$A312)+COUNTIF('Stephanie'!$B$6:$B$300,$A312)+COUNTIF('Fox'!$B$6:$B$300,$A312)+COUNTIF('Bruna'!$B$6:$B$300,$A312)+COUNTIF('Stella'!$B$6:$B$300,$A312)+COUNTIF('Igor'!$B$6:$B$300,$A312))=0),"",(COUNTIFS('Clarice'!$B$6:$B$300,$A312,'Clarice'!$F$6:$F$300,"Concluído")+COUNTIFS('Luisa'!$B$6:$B$300,$A312,'Luisa'!$F$6:$F$300,"Concluído")+COUNTIFS('Lui'!$B$6:$B$300,$A312,'Lui'!$F$6:$F$300,"Concluído")+COUNTIFS('Thaís'!$B$6:$B$300,$A312,'Thaís'!$F$6:$F$300,"Concluído")+COUNTIFS('Daniel'!$B$6:$B$300,$A312,'Daniel'!$F$6:$F$300,"Concluído")+COUNTIFS('Fernando'!$B$6:$B$300,$A312,'Fernando'!$F$6:$F$300,"Concluído")+COUNTIFS('Stephanie'!$B$6:$B$300,$A312,'Stephanie'!$F$6:$F$300,"Concluído")+COUNTIFS('Fox'!$B$6:$B$300,$A312,'Fox'!$F$6:$F$300,"Concluído")+COUNTIFS('Bruna'!$B$6:$B$300,$A312,'Bruna'!$F$6:$F$300,"Concluído")+COUNTIFS('Stella'!$B$6:$B$300,$A312,'Stella'!$F$6:$F$300,"Concluído")+COUNTIFS('Igor'!$B$6:$B$300,$A312,'Igor'!$F$6:$F$300,"Concluído"))&amp;" / "&amp;(COUNTIF('Clarice'!$B$6:$B$300,$A312)+COUNTIF('Luisa'!$B$6:$B$300,$A312)+COUNTIF('Lui'!$B$6:$B$300,$A312)+COUNTIF('Thaís'!$B$6:$B$300,$A312)+COUNTIF('Daniel'!$B$6:$B$300,$A312)+COUNTIF('Fernando'!$B$6:$B$300,$A312)+COUNTIF('Stephanie'!$B$6:$B$300,$A312)+COUNTIF('Fox'!$B$6:$B$300,$A312)+COUNTIF('Bruna'!$B$6:$B$300,$A312)+COUNTIF('Stella'!$B$6:$B$300,$A312)+COUNTIF('Igor'!$B$6:$B$300,$A312)))</f>
        <v/>
      </c>
      <c r="P312" s="25">
        <f>IF($A312="","",IF(M312&lt;&gt;"",M312,IF(K312&lt;&gt;"",K312,"")))</f>
        <v/>
      </c>
      <c r="Q312" s="25">
        <f>IF($A312="","",IF(N312&lt;&gt;"",N312,IF(L312&lt;&gt;"",L312,"")))</f>
        <v/>
      </c>
      <c r="S312" s="23">
        <f t="array" ref="S312">IF($A312="","",_xlfn.TEXTJOIN(CHAR(10),TRUE,IF('Clarice'!$B$6:$B$300=$A312,"Clarice"&amp;IF('Clarice'!$E$6:$E$300="",""," : "&amp;'Clarice'!$E$6:$E$300)&amp;" ["&amp;'Clarice'!$F$6:$F$300&amp;"]",""),IF('Luisa'!$B$6:$B$300=$A312,"Luisa"&amp;IF('Luisa'!$E$6:$E$300="",""," : "&amp;'Luisa'!$E$6:$E$300)&amp;" ["&amp;'Luisa'!$F$6:$F$300&amp;"]",""),IF('Lui'!$B$6:$B$300=$A312,"Lui"&amp;IF('Lui'!$E$6:$E$300="",""," : "&amp;'Lui'!$E$6:$E$300)&amp;" ["&amp;'Lui'!$F$6:$F$300&amp;"]",""),IF('Thaís'!$B$6:$B$300=$A312,"Thaís"&amp;IF('Thaís'!$E$6:$E$300="",""," : "&amp;'Thaís'!$E$6:$E$300)&amp;" ["&amp;'Thaís'!$F$6:$F$300&amp;"]",""),IF('Daniel'!$B$6:$B$300=$A312,"Daniel"&amp;IF('Daniel'!$E$6:$E$300="",""," : "&amp;'Daniel'!$E$6:$E$300)&amp;" ["&amp;'Daniel'!$F$6:$F$300&amp;"]",""),IF('Fernando'!$B$6:$B$300=$A312,"Fernando"&amp;IF('Fernando'!$E$6:$E$300="",""," : "&amp;'Fernando'!$E$6:$E$300)&amp;" ["&amp;'Fernando'!$F$6:$F$300&amp;"]",""),IF('Stephanie'!$B$6:$B$300=$A312,"Stephanie"&amp;IF('Stephanie'!$E$6:$E$300="",""," : "&amp;'Stephanie'!$E$6:$E$300)&amp;" ["&amp;'Stephanie'!$F$6:$F$300&amp;"]",""),IF('Fox'!$B$6:$B$300=$A312,"Fox"&amp;IF('Fox'!$E$6:$E$300="",""," : "&amp;'Fox'!$E$6:$E$300)&amp;" ["&amp;'Fox'!$F$6:$F$300&amp;"]",""),IF('Bruna'!$B$6:$B$300=$A312,"Bruna"&amp;IF('Bruna'!$E$6:$E$300="",""," : "&amp;'Bruna'!$E$6:$E$300)&amp;" ["&amp;'Bruna'!$F$6:$F$300&amp;"]",""),IF('Stella'!$B$6:$B$300=$A312,"Stella"&amp;IF('Stella'!$E$6:$E$300="",""," : "&amp;'Stella'!$E$6:$E$300)&amp;" ["&amp;'Stella'!$F$6:$F$300&amp;"]",""),IF('Igor'!$B$6:$B$300=$A312,"Igor"&amp;IF('Igor'!$E$6:$E$300="",""," : "&amp;'Igor'!$E$6:$E$300)&amp;" ["&amp;'Igor'!$F$6:$F$300&amp;"]","")))</f>
        <v/>
      </c>
    </row>
    <row r="313">
      <c r="G313" s="23">
        <f>IF($A313="","",_xlfn.TEXTJOIN("; ",TRUE,IF(COUNTIF('Clarice'!$B$6:$B$300,$A313)&gt;0,"Clarice",""),IF(COUNTIF('Luisa'!$B$6:$B$300,$A313)&gt;0,"Luisa",""),IF(COUNTIF('Lui'!$B$6:$B$300,$A313)&gt;0,"Lui",""),IF(COUNTIF('Thaís'!$B$6:$B$300,$A313)&gt;0,"Thaís",""),IF(COUNTIF('Daniel'!$B$6:$B$300,$A313)&gt;0,"Daniel",""),IF(COUNTIF('Fernando'!$B$6:$B$300,$A313)&gt;0,"Fernando",""),IF(COUNTIF('Stephanie'!$B$6:$B$300,$A313)&gt;0,"Stephanie",""),IF(COUNTIF('Fox'!$B$6:$B$300,$A313)&gt;0,"Fox",""),IF(COUNTIF('Bruna'!$B$6:$B$300,$A313)&gt;0,"Bruna",""),IF(COUNTIF('Stella'!$B$6:$B$300,$A313)&gt;0,"Stella",""),IF(COUNTIF('Igor'!$B$6:$B$300,$A313)&gt;0,"Igor","")))</f>
        <v/>
      </c>
      <c r="J313" s="24">
        <f>IF(OR($A313="",(COUNTIF('Clarice'!$B$6:$B$300,$A313)+COUNTIF('Luisa'!$B$6:$B$300,$A313)+COUNTIF('Lui'!$B$6:$B$300,$A313)+COUNTIF('Thaís'!$B$6:$B$300,$A313)+COUNTIF('Daniel'!$B$6:$B$300,$A313)+COUNTIF('Fernando'!$B$6:$B$300,$A313)+COUNTIF('Stephanie'!$B$6:$B$300,$A313)+COUNTIF('Fox'!$B$6:$B$300,$A313)+COUNTIF('Bruna'!$B$6:$B$300,$A313)+COUNTIF('Stella'!$B$6:$B$300,$A313)+COUNTIF('Igor'!$B$6:$B$300,$A313))=0),"",(COUNTIFS('Clarice'!$B$6:$B$300,$A313,'Clarice'!$F$6:$F$300,"Concluído")+COUNTIFS('Luisa'!$B$6:$B$300,$A313,'Luisa'!$F$6:$F$300,"Concluído")+COUNTIFS('Lui'!$B$6:$B$300,$A313,'Lui'!$F$6:$F$300,"Concluído")+COUNTIFS('Thaís'!$B$6:$B$300,$A313,'Thaís'!$F$6:$F$300,"Concluído")+COUNTIFS('Daniel'!$B$6:$B$300,$A313,'Daniel'!$F$6:$F$300,"Concluído")+COUNTIFS('Fernando'!$B$6:$B$300,$A313,'Fernando'!$F$6:$F$300,"Concluído")+COUNTIFS('Stephanie'!$B$6:$B$300,$A313,'Stephanie'!$F$6:$F$300,"Concluído")+COUNTIFS('Fox'!$B$6:$B$300,$A313,'Fox'!$F$6:$F$300,"Concluído")+COUNTIFS('Bruna'!$B$6:$B$300,$A313,'Bruna'!$F$6:$F$300,"Concluído")+COUNTIFS('Stella'!$B$6:$B$300,$A313,'Stella'!$F$6:$F$300,"Concluído")+COUNTIFS('Igor'!$B$6:$B$300,$A313,'Igor'!$F$6:$F$300,"Concluído"))&amp;" / "&amp;(COUNTIF('Clarice'!$B$6:$B$300,$A313)+COUNTIF('Luisa'!$B$6:$B$300,$A313)+COUNTIF('Lui'!$B$6:$B$300,$A313)+COUNTIF('Thaís'!$B$6:$B$300,$A313)+COUNTIF('Daniel'!$B$6:$B$300,$A313)+COUNTIF('Fernando'!$B$6:$B$300,$A313)+COUNTIF('Stephanie'!$B$6:$B$300,$A313)+COUNTIF('Fox'!$B$6:$B$300,$A313)+COUNTIF('Bruna'!$B$6:$B$300,$A313)+COUNTIF('Stella'!$B$6:$B$300,$A313)+COUNTIF('Igor'!$B$6:$B$300,$A313)))</f>
        <v/>
      </c>
      <c r="P313" s="25">
        <f>IF($A313="","",IF(M313&lt;&gt;"",M313,IF(K313&lt;&gt;"",K313,"")))</f>
        <v/>
      </c>
      <c r="Q313" s="25">
        <f>IF($A313="","",IF(N313&lt;&gt;"",N313,IF(L313&lt;&gt;"",L313,"")))</f>
        <v/>
      </c>
      <c r="S313" s="23">
        <f t="array" ref="S313">IF($A313="","",_xlfn.TEXTJOIN(CHAR(10),TRUE,IF('Clarice'!$B$6:$B$300=$A313,"Clarice"&amp;IF('Clarice'!$E$6:$E$300="",""," : "&amp;'Clarice'!$E$6:$E$300)&amp;" ["&amp;'Clarice'!$F$6:$F$300&amp;"]",""),IF('Luisa'!$B$6:$B$300=$A313,"Luisa"&amp;IF('Luisa'!$E$6:$E$300="",""," : "&amp;'Luisa'!$E$6:$E$300)&amp;" ["&amp;'Luisa'!$F$6:$F$300&amp;"]",""),IF('Lui'!$B$6:$B$300=$A313,"Lui"&amp;IF('Lui'!$E$6:$E$300="",""," : "&amp;'Lui'!$E$6:$E$300)&amp;" ["&amp;'Lui'!$F$6:$F$300&amp;"]",""),IF('Thaís'!$B$6:$B$300=$A313,"Thaís"&amp;IF('Thaís'!$E$6:$E$300="",""," : "&amp;'Thaís'!$E$6:$E$300)&amp;" ["&amp;'Thaís'!$F$6:$F$300&amp;"]",""),IF('Daniel'!$B$6:$B$300=$A313,"Daniel"&amp;IF('Daniel'!$E$6:$E$300="",""," : "&amp;'Daniel'!$E$6:$E$300)&amp;" ["&amp;'Daniel'!$F$6:$F$300&amp;"]",""),IF('Fernando'!$B$6:$B$300=$A313,"Fernando"&amp;IF('Fernando'!$E$6:$E$300="",""," : "&amp;'Fernando'!$E$6:$E$300)&amp;" ["&amp;'Fernando'!$F$6:$F$300&amp;"]",""),IF('Stephanie'!$B$6:$B$300=$A313,"Stephanie"&amp;IF('Stephanie'!$E$6:$E$300="",""," : "&amp;'Stephanie'!$E$6:$E$300)&amp;" ["&amp;'Stephanie'!$F$6:$F$300&amp;"]",""),IF('Fox'!$B$6:$B$300=$A313,"Fox"&amp;IF('Fox'!$E$6:$E$300="",""," : "&amp;'Fox'!$E$6:$E$300)&amp;" ["&amp;'Fox'!$F$6:$F$300&amp;"]",""),IF('Bruna'!$B$6:$B$300=$A313,"Bruna"&amp;IF('Bruna'!$E$6:$E$300="",""," : "&amp;'Bruna'!$E$6:$E$300)&amp;" ["&amp;'Bruna'!$F$6:$F$300&amp;"]",""),IF('Stella'!$B$6:$B$300=$A313,"Stella"&amp;IF('Stella'!$E$6:$E$300="",""," : "&amp;'Stella'!$E$6:$E$300)&amp;" ["&amp;'Stella'!$F$6:$F$300&amp;"]",""),IF('Igor'!$B$6:$B$300=$A313,"Igor"&amp;IF('Igor'!$E$6:$E$300="",""," : "&amp;'Igor'!$E$6:$E$300)&amp;" ["&amp;'Igor'!$F$6:$F$300&amp;"]","")))</f>
        <v/>
      </c>
    </row>
    <row r="314">
      <c r="G314" s="23">
        <f>IF($A314="","",_xlfn.TEXTJOIN("; ",TRUE,IF(COUNTIF('Clarice'!$B$6:$B$300,$A314)&gt;0,"Clarice",""),IF(COUNTIF('Luisa'!$B$6:$B$300,$A314)&gt;0,"Luisa",""),IF(COUNTIF('Lui'!$B$6:$B$300,$A314)&gt;0,"Lui",""),IF(COUNTIF('Thaís'!$B$6:$B$300,$A314)&gt;0,"Thaís",""),IF(COUNTIF('Daniel'!$B$6:$B$300,$A314)&gt;0,"Daniel",""),IF(COUNTIF('Fernando'!$B$6:$B$300,$A314)&gt;0,"Fernando",""),IF(COUNTIF('Stephanie'!$B$6:$B$300,$A314)&gt;0,"Stephanie",""),IF(COUNTIF('Fox'!$B$6:$B$300,$A314)&gt;0,"Fox",""),IF(COUNTIF('Bruna'!$B$6:$B$300,$A314)&gt;0,"Bruna",""),IF(COUNTIF('Stella'!$B$6:$B$300,$A314)&gt;0,"Stella",""),IF(COUNTIF('Igor'!$B$6:$B$300,$A314)&gt;0,"Igor","")))</f>
        <v/>
      </c>
      <c r="J314" s="24">
        <f>IF(OR($A314="",(COUNTIF('Clarice'!$B$6:$B$300,$A314)+COUNTIF('Luisa'!$B$6:$B$300,$A314)+COUNTIF('Lui'!$B$6:$B$300,$A314)+COUNTIF('Thaís'!$B$6:$B$300,$A314)+COUNTIF('Daniel'!$B$6:$B$300,$A314)+COUNTIF('Fernando'!$B$6:$B$300,$A314)+COUNTIF('Stephanie'!$B$6:$B$300,$A314)+COUNTIF('Fox'!$B$6:$B$300,$A314)+COUNTIF('Bruna'!$B$6:$B$300,$A314)+COUNTIF('Stella'!$B$6:$B$300,$A314)+COUNTIF('Igor'!$B$6:$B$300,$A314))=0),"",(COUNTIFS('Clarice'!$B$6:$B$300,$A314,'Clarice'!$F$6:$F$300,"Concluído")+COUNTIFS('Luisa'!$B$6:$B$300,$A314,'Luisa'!$F$6:$F$300,"Concluído")+COUNTIFS('Lui'!$B$6:$B$300,$A314,'Lui'!$F$6:$F$300,"Concluído")+COUNTIFS('Thaís'!$B$6:$B$300,$A314,'Thaís'!$F$6:$F$300,"Concluído")+COUNTIFS('Daniel'!$B$6:$B$300,$A314,'Daniel'!$F$6:$F$300,"Concluído")+COUNTIFS('Fernando'!$B$6:$B$300,$A314,'Fernando'!$F$6:$F$300,"Concluído")+COUNTIFS('Stephanie'!$B$6:$B$300,$A314,'Stephanie'!$F$6:$F$300,"Concluído")+COUNTIFS('Fox'!$B$6:$B$300,$A314,'Fox'!$F$6:$F$300,"Concluído")+COUNTIFS('Bruna'!$B$6:$B$300,$A314,'Bruna'!$F$6:$F$300,"Concluído")+COUNTIFS('Stella'!$B$6:$B$300,$A314,'Stella'!$F$6:$F$300,"Concluído")+COUNTIFS('Igor'!$B$6:$B$300,$A314,'Igor'!$F$6:$F$300,"Concluído"))&amp;" / "&amp;(COUNTIF('Clarice'!$B$6:$B$300,$A314)+COUNTIF('Luisa'!$B$6:$B$300,$A314)+COUNTIF('Lui'!$B$6:$B$300,$A314)+COUNTIF('Thaís'!$B$6:$B$300,$A314)+COUNTIF('Daniel'!$B$6:$B$300,$A314)+COUNTIF('Fernando'!$B$6:$B$300,$A314)+COUNTIF('Stephanie'!$B$6:$B$300,$A314)+COUNTIF('Fox'!$B$6:$B$300,$A314)+COUNTIF('Bruna'!$B$6:$B$300,$A314)+COUNTIF('Stella'!$B$6:$B$300,$A314)+COUNTIF('Igor'!$B$6:$B$300,$A314)))</f>
        <v/>
      </c>
      <c r="P314" s="25">
        <f>IF($A314="","",IF(M314&lt;&gt;"",M314,IF(K314&lt;&gt;"",K314,"")))</f>
        <v/>
      </c>
      <c r="Q314" s="25">
        <f>IF($A314="","",IF(N314&lt;&gt;"",N314,IF(L314&lt;&gt;"",L314,"")))</f>
        <v/>
      </c>
      <c r="S314" s="23">
        <f t="array" ref="S314">IF($A314="","",_xlfn.TEXTJOIN(CHAR(10),TRUE,IF('Clarice'!$B$6:$B$300=$A314,"Clarice"&amp;IF('Clarice'!$E$6:$E$300="",""," : "&amp;'Clarice'!$E$6:$E$300)&amp;" ["&amp;'Clarice'!$F$6:$F$300&amp;"]",""),IF('Luisa'!$B$6:$B$300=$A314,"Luisa"&amp;IF('Luisa'!$E$6:$E$300="",""," : "&amp;'Luisa'!$E$6:$E$300)&amp;" ["&amp;'Luisa'!$F$6:$F$300&amp;"]",""),IF('Lui'!$B$6:$B$300=$A314,"Lui"&amp;IF('Lui'!$E$6:$E$300="",""," : "&amp;'Lui'!$E$6:$E$300)&amp;" ["&amp;'Lui'!$F$6:$F$300&amp;"]",""),IF('Thaís'!$B$6:$B$300=$A314,"Thaís"&amp;IF('Thaís'!$E$6:$E$300="",""," : "&amp;'Thaís'!$E$6:$E$300)&amp;" ["&amp;'Thaís'!$F$6:$F$300&amp;"]",""),IF('Daniel'!$B$6:$B$300=$A314,"Daniel"&amp;IF('Daniel'!$E$6:$E$300="",""," : "&amp;'Daniel'!$E$6:$E$300)&amp;" ["&amp;'Daniel'!$F$6:$F$300&amp;"]",""),IF('Fernando'!$B$6:$B$300=$A314,"Fernando"&amp;IF('Fernando'!$E$6:$E$300="",""," : "&amp;'Fernando'!$E$6:$E$300)&amp;" ["&amp;'Fernando'!$F$6:$F$300&amp;"]",""),IF('Stephanie'!$B$6:$B$300=$A314,"Stephanie"&amp;IF('Stephanie'!$E$6:$E$300="",""," : "&amp;'Stephanie'!$E$6:$E$300)&amp;" ["&amp;'Stephanie'!$F$6:$F$300&amp;"]",""),IF('Fox'!$B$6:$B$300=$A314,"Fox"&amp;IF('Fox'!$E$6:$E$300="",""," : "&amp;'Fox'!$E$6:$E$300)&amp;" ["&amp;'Fox'!$F$6:$F$300&amp;"]",""),IF('Bruna'!$B$6:$B$300=$A314,"Bruna"&amp;IF('Bruna'!$E$6:$E$300="",""," : "&amp;'Bruna'!$E$6:$E$300)&amp;" ["&amp;'Bruna'!$F$6:$F$300&amp;"]",""),IF('Stella'!$B$6:$B$300=$A314,"Stella"&amp;IF('Stella'!$E$6:$E$300="",""," : "&amp;'Stella'!$E$6:$E$300)&amp;" ["&amp;'Stella'!$F$6:$F$300&amp;"]",""),IF('Igor'!$B$6:$B$300=$A314,"Igor"&amp;IF('Igor'!$E$6:$E$300="",""," : "&amp;'Igor'!$E$6:$E$300)&amp;" ["&amp;'Igor'!$F$6:$F$300&amp;"]","")))</f>
        <v/>
      </c>
    </row>
    <row r="315">
      <c r="G315" s="23">
        <f>IF($A315="","",_xlfn.TEXTJOIN("; ",TRUE,IF(COUNTIF('Clarice'!$B$6:$B$300,$A315)&gt;0,"Clarice",""),IF(COUNTIF('Luisa'!$B$6:$B$300,$A315)&gt;0,"Luisa",""),IF(COUNTIF('Lui'!$B$6:$B$300,$A315)&gt;0,"Lui",""),IF(COUNTIF('Thaís'!$B$6:$B$300,$A315)&gt;0,"Thaís",""),IF(COUNTIF('Daniel'!$B$6:$B$300,$A315)&gt;0,"Daniel",""),IF(COUNTIF('Fernando'!$B$6:$B$300,$A315)&gt;0,"Fernando",""),IF(COUNTIF('Stephanie'!$B$6:$B$300,$A315)&gt;0,"Stephanie",""),IF(COUNTIF('Fox'!$B$6:$B$300,$A315)&gt;0,"Fox",""),IF(COUNTIF('Bruna'!$B$6:$B$300,$A315)&gt;0,"Bruna",""),IF(COUNTIF('Stella'!$B$6:$B$300,$A315)&gt;0,"Stella",""),IF(COUNTIF('Igor'!$B$6:$B$300,$A315)&gt;0,"Igor","")))</f>
        <v/>
      </c>
      <c r="J315" s="24">
        <f>IF(OR($A315="",(COUNTIF('Clarice'!$B$6:$B$300,$A315)+COUNTIF('Luisa'!$B$6:$B$300,$A315)+COUNTIF('Lui'!$B$6:$B$300,$A315)+COUNTIF('Thaís'!$B$6:$B$300,$A315)+COUNTIF('Daniel'!$B$6:$B$300,$A315)+COUNTIF('Fernando'!$B$6:$B$300,$A315)+COUNTIF('Stephanie'!$B$6:$B$300,$A315)+COUNTIF('Fox'!$B$6:$B$300,$A315)+COUNTIF('Bruna'!$B$6:$B$300,$A315)+COUNTIF('Stella'!$B$6:$B$300,$A315)+COUNTIF('Igor'!$B$6:$B$300,$A315))=0),"",(COUNTIFS('Clarice'!$B$6:$B$300,$A315,'Clarice'!$F$6:$F$300,"Concluído")+COUNTIFS('Luisa'!$B$6:$B$300,$A315,'Luisa'!$F$6:$F$300,"Concluído")+COUNTIFS('Lui'!$B$6:$B$300,$A315,'Lui'!$F$6:$F$300,"Concluído")+COUNTIFS('Thaís'!$B$6:$B$300,$A315,'Thaís'!$F$6:$F$300,"Concluído")+COUNTIFS('Daniel'!$B$6:$B$300,$A315,'Daniel'!$F$6:$F$300,"Concluído")+COUNTIFS('Fernando'!$B$6:$B$300,$A315,'Fernando'!$F$6:$F$300,"Concluído")+COUNTIFS('Stephanie'!$B$6:$B$300,$A315,'Stephanie'!$F$6:$F$300,"Concluído")+COUNTIFS('Fox'!$B$6:$B$300,$A315,'Fox'!$F$6:$F$300,"Concluído")+COUNTIFS('Bruna'!$B$6:$B$300,$A315,'Bruna'!$F$6:$F$300,"Concluído")+COUNTIFS('Stella'!$B$6:$B$300,$A315,'Stella'!$F$6:$F$300,"Concluído")+COUNTIFS('Igor'!$B$6:$B$300,$A315,'Igor'!$F$6:$F$300,"Concluído"))&amp;" / "&amp;(COUNTIF('Clarice'!$B$6:$B$300,$A315)+COUNTIF('Luisa'!$B$6:$B$300,$A315)+COUNTIF('Lui'!$B$6:$B$300,$A315)+COUNTIF('Thaís'!$B$6:$B$300,$A315)+COUNTIF('Daniel'!$B$6:$B$300,$A315)+COUNTIF('Fernando'!$B$6:$B$300,$A315)+COUNTIF('Stephanie'!$B$6:$B$300,$A315)+COUNTIF('Fox'!$B$6:$B$300,$A315)+COUNTIF('Bruna'!$B$6:$B$300,$A315)+COUNTIF('Stella'!$B$6:$B$300,$A315)+COUNTIF('Igor'!$B$6:$B$300,$A315)))</f>
        <v/>
      </c>
      <c r="P315" s="25">
        <f>IF($A315="","",IF(M315&lt;&gt;"",M315,IF(K315&lt;&gt;"",K315,"")))</f>
        <v/>
      </c>
      <c r="Q315" s="25">
        <f>IF($A315="","",IF(N315&lt;&gt;"",N315,IF(L315&lt;&gt;"",L315,"")))</f>
        <v/>
      </c>
      <c r="S315" s="23">
        <f t="array" ref="S315">IF($A315="","",_xlfn.TEXTJOIN(CHAR(10),TRUE,IF('Clarice'!$B$6:$B$300=$A315,"Clarice"&amp;IF('Clarice'!$E$6:$E$300="",""," : "&amp;'Clarice'!$E$6:$E$300)&amp;" ["&amp;'Clarice'!$F$6:$F$300&amp;"]",""),IF('Luisa'!$B$6:$B$300=$A315,"Luisa"&amp;IF('Luisa'!$E$6:$E$300="",""," : "&amp;'Luisa'!$E$6:$E$300)&amp;" ["&amp;'Luisa'!$F$6:$F$300&amp;"]",""),IF('Lui'!$B$6:$B$300=$A315,"Lui"&amp;IF('Lui'!$E$6:$E$300="",""," : "&amp;'Lui'!$E$6:$E$300)&amp;" ["&amp;'Lui'!$F$6:$F$300&amp;"]",""),IF('Thaís'!$B$6:$B$300=$A315,"Thaís"&amp;IF('Thaís'!$E$6:$E$300="",""," : "&amp;'Thaís'!$E$6:$E$300)&amp;" ["&amp;'Thaís'!$F$6:$F$300&amp;"]",""),IF('Daniel'!$B$6:$B$300=$A315,"Daniel"&amp;IF('Daniel'!$E$6:$E$300="",""," : "&amp;'Daniel'!$E$6:$E$300)&amp;" ["&amp;'Daniel'!$F$6:$F$300&amp;"]",""),IF('Fernando'!$B$6:$B$300=$A315,"Fernando"&amp;IF('Fernando'!$E$6:$E$300="",""," : "&amp;'Fernando'!$E$6:$E$300)&amp;" ["&amp;'Fernando'!$F$6:$F$300&amp;"]",""),IF('Stephanie'!$B$6:$B$300=$A315,"Stephanie"&amp;IF('Stephanie'!$E$6:$E$300="",""," : "&amp;'Stephanie'!$E$6:$E$300)&amp;" ["&amp;'Stephanie'!$F$6:$F$300&amp;"]",""),IF('Fox'!$B$6:$B$300=$A315,"Fox"&amp;IF('Fox'!$E$6:$E$300="",""," : "&amp;'Fox'!$E$6:$E$300)&amp;" ["&amp;'Fox'!$F$6:$F$300&amp;"]",""),IF('Bruna'!$B$6:$B$300=$A315,"Bruna"&amp;IF('Bruna'!$E$6:$E$300="",""," : "&amp;'Bruna'!$E$6:$E$300)&amp;" ["&amp;'Bruna'!$F$6:$F$300&amp;"]",""),IF('Stella'!$B$6:$B$300=$A315,"Stella"&amp;IF('Stella'!$E$6:$E$300="",""," : "&amp;'Stella'!$E$6:$E$300)&amp;" ["&amp;'Stella'!$F$6:$F$300&amp;"]",""),IF('Igor'!$B$6:$B$300=$A315,"Igor"&amp;IF('Igor'!$E$6:$E$300="",""," : "&amp;'Igor'!$E$6:$E$300)&amp;" ["&amp;'Igor'!$F$6:$F$300&amp;"]","")))</f>
        <v/>
      </c>
    </row>
    <row r="316">
      <c r="G316" s="23">
        <f>IF($A316="","",_xlfn.TEXTJOIN("; ",TRUE,IF(COUNTIF('Clarice'!$B$6:$B$300,$A316)&gt;0,"Clarice",""),IF(COUNTIF('Luisa'!$B$6:$B$300,$A316)&gt;0,"Luisa",""),IF(COUNTIF('Lui'!$B$6:$B$300,$A316)&gt;0,"Lui",""),IF(COUNTIF('Thaís'!$B$6:$B$300,$A316)&gt;0,"Thaís",""),IF(COUNTIF('Daniel'!$B$6:$B$300,$A316)&gt;0,"Daniel",""),IF(COUNTIF('Fernando'!$B$6:$B$300,$A316)&gt;0,"Fernando",""),IF(COUNTIF('Stephanie'!$B$6:$B$300,$A316)&gt;0,"Stephanie",""),IF(COUNTIF('Fox'!$B$6:$B$300,$A316)&gt;0,"Fox",""),IF(COUNTIF('Bruna'!$B$6:$B$300,$A316)&gt;0,"Bruna",""),IF(COUNTIF('Stella'!$B$6:$B$300,$A316)&gt;0,"Stella",""),IF(COUNTIF('Igor'!$B$6:$B$300,$A316)&gt;0,"Igor","")))</f>
        <v/>
      </c>
      <c r="J316" s="24">
        <f>IF(OR($A316="",(COUNTIF('Clarice'!$B$6:$B$300,$A316)+COUNTIF('Luisa'!$B$6:$B$300,$A316)+COUNTIF('Lui'!$B$6:$B$300,$A316)+COUNTIF('Thaís'!$B$6:$B$300,$A316)+COUNTIF('Daniel'!$B$6:$B$300,$A316)+COUNTIF('Fernando'!$B$6:$B$300,$A316)+COUNTIF('Stephanie'!$B$6:$B$300,$A316)+COUNTIF('Fox'!$B$6:$B$300,$A316)+COUNTIF('Bruna'!$B$6:$B$300,$A316)+COUNTIF('Stella'!$B$6:$B$300,$A316)+COUNTIF('Igor'!$B$6:$B$300,$A316))=0),"",(COUNTIFS('Clarice'!$B$6:$B$300,$A316,'Clarice'!$F$6:$F$300,"Concluído")+COUNTIFS('Luisa'!$B$6:$B$300,$A316,'Luisa'!$F$6:$F$300,"Concluído")+COUNTIFS('Lui'!$B$6:$B$300,$A316,'Lui'!$F$6:$F$300,"Concluído")+COUNTIFS('Thaís'!$B$6:$B$300,$A316,'Thaís'!$F$6:$F$300,"Concluído")+COUNTIFS('Daniel'!$B$6:$B$300,$A316,'Daniel'!$F$6:$F$300,"Concluído")+COUNTIFS('Fernando'!$B$6:$B$300,$A316,'Fernando'!$F$6:$F$300,"Concluído")+COUNTIFS('Stephanie'!$B$6:$B$300,$A316,'Stephanie'!$F$6:$F$300,"Concluído")+COUNTIFS('Fox'!$B$6:$B$300,$A316,'Fox'!$F$6:$F$300,"Concluído")+COUNTIFS('Bruna'!$B$6:$B$300,$A316,'Bruna'!$F$6:$F$300,"Concluído")+COUNTIFS('Stella'!$B$6:$B$300,$A316,'Stella'!$F$6:$F$300,"Concluído")+COUNTIFS('Igor'!$B$6:$B$300,$A316,'Igor'!$F$6:$F$300,"Concluído"))&amp;" / "&amp;(COUNTIF('Clarice'!$B$6:$B$300,$A316)+COUNTIF('Luisa'!$B$6:$B$300,$A316)+COUNTIF('Lui'!$B$6:$B$300,$A316)+COUNTIF('Thaís'!$B$6:$B$300,$A316)+COUNTIF('Daniel'!$B$6:$B$300,$A316)+COUNTIF('Fernando'!$B$6:$B$300,$A316)+COUNTIF('Stephanie'!$B$6:$B$300,$A316)+COUNTIF('Fox'!$B$6:$B$300,$A316)+COUNTIF('Bruna'!$B$6:$B$300,$A316)+COUNTIF('Stella'!$B$6:$B$300,$A316)+COUNTIF('Igor'!$B$6:$B$300,$A316)))</f>
        <v/>
      </c>
      <c r="P316" s="25">
        <f>IF($A316="","",IF(M316&lt;&gt;"",M316,IF(K316&lt;&gt;"",K316,"")))</f>
        <v/>
      </c>
      <c r="Q316" s="25">
        <f>IF($A316="","",IF(N316&lt;&gt;"",N316,IF(L316&lt;&gt;"",L316,"")))</f>
        <v/>
      </c>
      <c r="S316" s="23">
        <f t="array" ref="S316">IF($A316="","",_xlfn.TEXTJOIN(CHAR(10),TRUE,IF('Clarice'!$B$6:$B$300=$A316,"Clarice"&amp;IF('Clarice'!$E$6:$E$300="",""," : "&amp;'Clarice'!$E$6:$E$300)&amp;" ["&amp;'Clarice'!$F$6:$F$300&amp;"]",""),IF('Luisa'!$B$6:$B$300=$A316,"Luisa"&amp;IF('Luisa'!$E$6:$E$300="",""," : "&amp;'Luisa'!$E$6:$E$300)&amp;" ["&amp;'Luisa'!$F$6:$F$300&amp;"]",""),IF('Lui'!$B$6:$B$300=$A316,"Lui"&amp;IF('Lui'!$E$6:$E$300="",""," : "&amp;'Lui'!$E$6:$E$300)&amp;" ["&amp;'Lui'!$F$6:$F$300&amp;"]",""),IF('Thaís'!$B$6:$B$300=$A316,"Thaís"&amp;IF('Thaís'!$E$6:$E$300="",""," : "&amp;'Thaís'!$E$6:$E$300)&amp;" ["&amp;'Thaís'!$F$6:$F$300&amp;"]",""),IF('Daniel'!$B$6:$B$300=$A316,"Daniel"&amp;IF('Daniel'!$E$6:$E$300="",""," : "&amp;'Daniel'!$E$6:$E$300)&amp;" ["&amp;'Daniel'!$F$6:$F$300&amp;"]",""),IF('Fernando'!$B$6:$B$300=$A316,"Fernando"&amp;IF('Fernando'!$E$6:$E$300="",""," : "&amp;'Fernando'!$E$6:$E$300)&amp;" ["&amp;'Fernando'!$F$6:$F$300&amp;"]",""),IF('Stephanie'!$B$6:$B$300=$A316,"Stephanie"&amp;IF('Stephanie'!$E$6:$E$300="",""," : "&amp;'Stephanie'!$E$6:$E$300)&amp;" ["&amp;'Stephanie'!$F$6:$F$300&amp;"]",""),IF('Fox'!$B$6:$B$300=$A316,"Fox"&amp;IF('Fox'!$E$6:$E$300="",""," : "&amp;'Fox'!$E$6:$E$300)&amp;" ["&amp;'Fox'!$F$6:$F$300&amp;"]",""),IF('Bruna'!$B$6:$B$300=$A316,"Bruna"&amp;IF('Bruna'!$E$6:$E$300="",""," : "&amp;'Bruna'!$E$6:$E$300)&amp;" ["&amp;'Bruna'!$F$6:$F$300&amp;"]",""),IF('Stella'!$B$6:$B$300=$A316,"Stella"&amp;IF('Stella'!$E$6:$E$300="",""," : "&amp;'Stella'!$E$6:$E$300)&amp;" ["&amp;'Stella'!$F$6:$F$300&amp;"]",""),IF('Igor'!$B$6:$B$300=$A316,"Igor"&amp;IF('Igor'!$E$6:$E$300="",""," : "&amp;'Igor'!$E$6:$E$300)&amp;" ["&amp;'Igor'!$F$6:$F$300&amp;"]","")))</f>
        <v/>
      </c>
    </row>
    <row r="317">
      <c r="G317" s="23">
        <f>IF($A317="","",_xlfn.TEXTJOIN("; ",TRUE,IF(COUNTIF('Clarice'!$B$6:$B$300,$A317)&gt;0,"Clarice",""),IF(COUNTIF('Luisa'!$B$6:$B$300,$A317)&gt;0,"Luisa",""),IF(COUNTIF('Lui'!$B$6:$B$300,$A317)&gt;0,"Lui",""),IF(COUNTIF('Thaís'!$B$6:$B$300,$A317)&gt;0,"Thaís",""),IF(COUNTIF('Daniel'!$B$6:$B$300,$A317)&gt;0,"Daniel",""),IF(COUNTIF('Fernando'!$B$6:$B$300,$A317)&gt;0,"Fernando",""),IF(COUNTIF('Stephanie'!$B$6:$B$300,$A317)&gt;0,"Stephanie",""),IF(COUNTIF('Fox'!$B$6:$B$300,$A317)&gt;0,"Fox",""),IF(COUNTIF('Bruna'!$B$6:$B$300,$A317)&gt;0,"Bruna",""),IF(COUNTIF('Stella'!$B$6:$B$300,$A317)&gt;0,"Stella",""),IF(COUNTIF('Igor'!$B$6:$B$300,$A317)&gt;0,"Igor","")))</f>
        <v/>
      </c>
      <c r="J317" s="24">
        <f>IF(OR($A317="",(COUNTIF('Clarice'!$B$6:$B$300,$A317)+COUNTIF('Luisa'!$B$6:$B$300,$A317)+COUNTIF('Lui'!$B$6:$B$300,$A317)+COUNTIF('Thaís'!$B$6:$B$300,$A317)+COUNTIF('Daniel'!$B$6:$B$300,$A317)+COUNTIF('Fernando'!$B$6:$B$300,$A317)+COUNTIF('Stephanie'!$B$6:$B$300,$A317)+COUNTIF('Fox'!$B$6:$B$300,$A317)+COUNTIF('Bruna'!$B$6:$B$300,$A317)+COUNTIF('Stella'!$B$6:$B$300,$A317)+COUNTIF('Igor'!$B$6:$B$300,$A317))=0),"",(COUNTIFS('Clarice'!$B$6:$B$300,$A317,'Clarice'!$F$6:$F$300,"Concluído")+COUNTIFS('Luisa'!$B$6:$B$300,$A317,'Luisa'!$F$6:$F$300,"Concluído")+COUNTIFS('Lui'!$B$6:$B$300,$A317,'Lui'!$F$6:$F$300,"Concluído")+COUNTIFS('Thaís'!$B$6:$B$300,$A317,'Thaís'!$F$6:$F$300,"Concluído")+COUNTIFS('Daniel'!$B$6:$B$300,$A317,'Daniel'!$F$6:$F$300,"Concluído")+COUNTIFS('Fernando'!$B$6:$B$300,$A317,'Fernando'!$F$6:$F$300,"Concluído")+COUNTIFS('Stephanie'!$B$6:$B$300,$A317,'Stephanie'!$F$6:$F$300,"Concluído")+COUNTIFS('Fox'!$B$6:$B$300,$A317,'Fox'!$F$6:$F$300,"Concluído")+COUNTIFS('Bruna'!$B$6:$B$300,$A317,'Bruna'!$F$6:$F$300,"Concluído")+COUNTIFS('Stella'!$B$6:$B$300,$A317,'Stella'!$F$6:$F$300,"Concluído")+COUNTIFS('Igor'!$B$6:$B$300,$A317,'Igor'!$F$6:$F$300,"Concluído"))&amp;" / "&amp;(COUNTIF('Clarice'!$B$6:$B$300,$A317)+COUNTIF('Luisa'!$B$6:$B$300,$A317)+COUNTIF('Lui'!$B$6:$B$300,$A317)+COUNTIF('Thaís'!$B$6:$B$300,$A317)+COUNTIF('Daniel'!$B$6:$B$300,$A317)+COUNTIF('Fernando'!$B$6:$B$300,$A317)+COUNTIF('Stephanie'!$B$6:$B$300,$A317)+COUNTIF('Fox'!$B$6:$B$300,$A317)+COUNTIF('Bruna'!$B$6:$B$300,$A317)+COUNTIF('Stella'!$B$6:$B$300,$A317)+COUNTIF('Igor'!$B$6:$B$300,$A317)))</f>
        <v/>
      </c>
      <c r="P317" s="25">
        <f>IF($A317="","",IF(M317&lt;&gt;"",M317,IF(K317&lt;&gt;"",K317,"")))</f>
        <v/>
      </c>
      <c r="Q317" s="25">
        <f>IF($A317="","",IF(N317&lt;&gt;"",N317,IF(L317&lt;&gt;"",L317,"")))</f>
        <v/>
      </c>
      <c r="S317" s="23">
        <f t="array" ref="S317">IF($A317="","",_xlfn.TEXTJOIN(CHAR(10),TRUE,IF('Clarice'!$B$6:$B$300=$A317,"Clarice"&amp;IF('Clarice'!$E$6:$E$300="",""," : "&amp;'Clarice'!$E$6:$E$300)&amp;" ["&amp;'Clarice'!$F$6:$F$300&amp;"]",""),IF('Luisa'!$B$6:$B$300=$A317,"Luisa"&amp;IF('Luisa'!$E$6:$E$300="",""," : "&amp;'Luisa'!$E$6:$E$300)&amp;" ["&amp;'Luisa'!$F$6:$F$300&amp;"]",""),IF('Lui'!$B$6:$B$300=$A317,"Lui"&amp;IF('Lui'!$E$6:$E$300="",""," : "&amp;'Lui'!$E$6:$E$300)&amp;" ["&amp;'Lui'!$F$6:$F$300&amp;"]",""),IF('Thaís'!$B$6:$B$300=$A317,"Thaís"&amp;IF('Thaís'!$E$6:$E$300="",""," : "&amp;'Thaís'!$E$6:$E$300)&amp;" ["&amp;'Thaís'!$F$6:$F$300&amp;"]",""),IF('Daniel'!$B$6:$B$300=$A317,"Daniel"&amp;IF('Daniel'!$E$6:$E$300="",""," : "&amp;'Daniel'!$E$6:$E$300)&amp;" ["&amp;'Daniel'!$F$6:$F$300&amp;"]",""),IF('Fernando'!$B$6:$B$300=$A317,"Fernando"&amp;IF('Fernando'!$E$6:$E$300="",""," : "&amp;'Fernando'!$E$6:$E$300)&amp;" ["&amp;'Fernando'!$F$6:$F$300&amp;"]",""),IF('Stephanie'!$B$6:$B$300=$A317,"Stephanie"&amp;IF('Stephanie'!$E$6:$E$300="",""," : "&amp;'Stephanie'!$E$6:$E$300)&amp;" ["&amp;'Stephanie'!$F$6:$F$300&amp;"]",""),IF('Fox'!$B$6:$B$300=$A317,"Fox"&amp;IF('Fox'!$E$6:$E$300="",""," : "&amp;'Fox'!$E$6:$E$300)&amp;" ["&amp;'Fox'!$F$6:$F$300&amp;"]",""),IF('Bruna'!$B$6:$B$300=$A317,"Bruna"&amp;IF('Bruna'!$E$6:$E$300="",""," : "&amp;'Bruna'!$E$6:$E$300)&amp;" ["&amp;'Bruna'!$F$6:$F$300&amp;"]",""),IF('Stella'!$B$6:$B$300=$A317,"Stella"&amp;IF('Stella'!$E$6:$E$300="",""," : "&amp;'Stella'!$E$6:$E$300)&amp;" ["&amp;'Stella'!$F$6:$F$300&amp;"]",""),IF('Igor'!$B$6:$B$300=$A317,"Igor"&amp;IF('Igor'!$E$6:$E$300="",""," : "&amp;'Igor'!$E$6:$E$300)&amp;" ["&amp;'Igor'!$F$6:$F$300&amp;"]","")))</f>
        <v/>
      </c>
    </row>
    <row r="318">
      <c r="G318" s="23">
        <f>IF($A318="","",_xlfn.TEXTJOIN("; ",TRUE,IF(COUNTIF('Clarice'!$B$6:$B$300,$A318)&gt;0,"Clarice",""),IF(COUNTIF('Luisa'!$B$6:$B$300,$A318)&gt;0,"Luisa",""),IF(COUNTIF('Lui'!$B$6:$B$300,$A318)&gt;0,"Lui",""),IF(COUNTIF('Thaís'!$B$6:$B$300,$A318)&gt;0,"Thaís",""),IF(COUNTIF('Daniel'!$B$6:$B$300,$A318)&gt;0,"Daniel",""),IF(COUNTIF('Fernando'!$B$6:$B$300,$A318)&gt;0,"Fernando",""),IF(COUNTIF('Stephanie'!$B$6:$B$300,$A318)&gt;0,"Stephanie",""),IF(COUNTIF('Fox'!$B$6:$B$300,$A318)&gt;0,"Fox",""),IF(COUNTIF('Bruna'!$B$6:$B$300,$A318)&gt;0,"Bruna",""),IF(COUNTIF('Stella'!$B$6:$B$300,$A318)&gt;0,"Stella",""),IF(COUNTIF('Igor'!$B$6:$B$300,$A318)&gt;0,"Igor","")))</f>
        <v/>
      </c>
      <c r="J318" s="24">
        <f>IF(OR($A318="",(COUNTIF('Clarice'!$B$6:$B$300,$A318)+COUNTIF('Luisa'!$B$6:$B$300,$A318)+COUNTIF('Lui'!$B$6:$B$300,$A318)+COUNTIF('Thaís'!$B$6:$B$300,$A318)+COUNTIF('Daniel'!$B$6:$B$300,$A318)+COUNTIF('Fernando'!$B$6:$B$300,$A318)+COUNTIF('Stephanie'!$B$6:$B$300,$A318)+COUNTIF('Fox'!$B$6:$B$300,$A318)+COUNTIF('Bruna'!$B$6:$B$300,$A318)+COUNTIF('Stella'!$B$6:$B$300,$A318)+COUNTIF('Igor'!$B$6:$B$300,$A318))=0),"",(COUNTIFS('Clarice'!$B$6:$B$300,$A318,'Clarice'!$F$6:$F$300,"Concluído")+COUNTIFS('Luisa'!$B$6:$B$300,$A318,'Luisa'!$F$6:$F$300,"Concluído")+COUNTIFS('Lui'!$B$6:$B$300,$A318,'Lui'!$F$6:$F$300,"Concluído")+COUNTIFS('Thaís'!$B$6:$B$300,$A318,'Thaís'!$F$6:$F$300,"Concluído")+COUNTIFS('Daniel'!$B$6:$B$300,$A318,'Daniel'!$F$6:$F$300,"Concluído")+COUNTIFS('Fernando'!$B$6:$B$300,$A318,'Fernando'!$F$6:$F$300,"Concluído")+COUNTIFS('Stephanie'!$B$6:$B$300,$A318,'Stephanie'!$F$6:$F$300,"Concluído")+COUNTIFS('Fox'!$B$6:$B$300,$A318,'Fox'!$F$6:$F$300,"Concluído")+COUNTIFS('Bruna'!$B$6:$B$300,$A318,'Bruna'!$F$6:$F$300,"Concluído")+COUNTIFS('Stella'!$B$6:$B$300,$A318,'Stella'!$F$6:$F$300,"Concluído")+COUNTIFS('Igor'!$B$6:$B$300,$A318,'Igor'!$F$6:$F$300,"Concluído"))&amp;" / "&amp;(COUNTIF('Clarice'!$B$6:$B$300,$A318)+COUNTIF('Luisa'!$B$6:$B$300,$A318)+COUNTIF('Lui'!$B$6:$B$300,$A318)+COUNTIF('Thaís'!$B$6:$B$300,$A318)+COUNTIF('Daniel'!$B$6:$B$300,$A318)+COUNTIF('Fernando'!$B$6:$B$300,$A318)+COUNTIF('Stephanie'!$B$6:$B$300,$A318)+COUNTIF('Fox'!$B$6:$B$300,$A318)+COUNTIF('Bruna'!$B$6:$B$300,$A318)+COUNTIF('Stella'!$B$6:$B$300,$A318)+COUNTIF('Igor'!$B$6:$B$300,$A318)))</f>
        <v/>
      </c>
      <c r="P318" s="25">
        <f>IF($A318="","",IF(M318&lt;&gt;"",M318,IF(K318&lt;&gt;"",K318,"")))</f>
        <v/>
      </c>
      <c r="Q318" s="25">
        <f>IF($A318="","",IF(N318&lt;&gt;"",N318,IF(L318&lt;&gt;"",L318,"")))</f>
        <v/>
      </c>
      <c r="S318" s="23">
        <f t="array" ref="S318">IF($A318="","",_xlfn.TEXTJOIN(CHAR(10),TRUE,IF('Clarice'!$B$6:$B$300=$A318,"Clarice"&amp;IF('Clarice'!$E$6:$E$300="",""," : "&amp;'Clarice'!$E$6:$E$300)&amp;" ["&amp;'Clarice'!$F$6:$F$300&amp;"]",""),IF('Luisa'!$B$6:$B$300=$A318,"Luisa"&amp;IF('Luisa'!$E$6:$E$300="",""," : "&amp;'Luisa'!$E$6:$E$300)&amp;" ["&amp;'Luisa'!$F$6:$F$300&amp;"]",""),IF('Lui'!$B$6:$B$300=$A318,"Lui"&amp;IF('Lui'!$E$6:$E$300="",""," : "&amp;'Lui'!$E$6:$E$300)&amp;" ["&amp;'Lui'!$F$6:$F$300&amp;"]",""),IF('Thaís'!$B$6:$B$300=$A318,"Thaís"&amp;IF('Thaís'!$E$6:$E$300="",""," : "&amp;'Thaís'!$E$6:$E$300)&amp;" ["&amp;'Thaís'!$F$6:$F$300&amp;"]",""),IF('Daniel'!$B$6:$B$300=$A318,"Daniel"&amp;IF('Daniel'!$E$6:$E$300="",""," : "&amp;'Daniel'!$E$6:$E$300)&amp;" ["&amp;'Daniel'!$F$6:$F$300&amp;"]",""),IF('Fernando'!$B$6:$B$300=$A318,"Fernando"&amp;IF('Fernando'!$E$6:$E$300="",""," : "&amp;'Fernando'!$E$6:$E$300)&amp;" ["&amp;'Fernando'!$F$6:$F$300&amp;"]",""),IF('Stephanie'!$B$6:$B$300=$A318,"Stephanie"&amp;IF('Stephanie'!$E$6:$E$300="",""," : "&amp;'Stephanie'!$E$6:$E$300)&amp;" ["&amp;'Stephanie'!$F$6:$F$300&amp;"]",""),IF('Fox'!$B$6:$B$300=$A318,"Fox"&amp;IF('Fox'!$E$6:$E$300="",""," : "&amp;'Fox'!$E$6:$E$300)&amp;" ["&amp;'Fox'!$F$6:$F$300&amp;"]",""),IF('Bruna'!$B$6:$B$300=$A318,"Bruna"&amp;IF('Bruna'!$E$6:$E$300="",""," : "&amp;'Bruna'!$E$6:$E$300)&amp;" ["&amp;'Bruna'!$F$6:$F$300&amp;"]",""),IF('Stella'!$B$6:$B$300=$A318,"Stella"&amp;IF('Stella'!$E$6:$E$300="",""," : "&amp;'Stella'!$E$6:$E$300)&amp;" ["&amp;'Stella'!$F$6:$F$300&amp;"]",""),IF('Igor'!$B$6:$B$300=$A318,"Igor"&amp;IF('Igor'!$E$6:$E$300="",""," : "&amp;'Igor'!$E$6:$E$300)&amp;" ["&amp;'Igor'!$F$6:$F$300&amp;"]","")))</f>
        <v/>
      </c>
    </row>
    <row r="319">
      <c r="G319" s="23">
        <f>IF($A319="","",_xlfn.TEXTJOIN("; ",TRUE,IF(COUNTIF('Clarice'!$B$6:$B$300,$A319)&gt;0,"Clarice",""),IF(COUNTIF('Luisa'!$B$6:$B$300,$A319)&gt;0,"Luisa",""),IF(COUNTIF('Lui'!$B$6:$B$300,$A319)&gt;0,"Lui",""),IF(COUNTIF('Thaís'!$B$6:$B$300,$A319)&gt;0,"Thaís",""),IF(COUNTIF('Daniel'!$B$6:$B$300,$A319)&gt;0,"Daniel",""),IF(COUNTIF('Fernando'!$B$6:$B$300,$A319)&gt;0,"Fernando",""),IF(COUNTIF('Stephanie'!$B$6:$B$300,$A319)&gt;0,"Stephanie",""),IF(COUNTIF('Fox'!$B$6:$B$300,$A319)&gt;0,"Fox",""),IF(COUNTIF('Bruna'!$B$6:$B$300,$A319)&gt;0,"Bruna",""),IF(COUNTIF('Stella'!$B$6:$B$300,$A319)&gt;0,"Stella",""),IF(COUNTIF('Igor'!$B$6:$B$300,$A319)&gt;0,"Igor","")))</f>
        <v/>
      </c>
      <c r="J319" s="24">
        <f>IF(OR($A319="",(COUNTIF('Clarice'!$B$6:$B$300,$A319)+COUNTIF('Luisa'!$B$6:$B$300,$A319)+COUNTIF('Lui'!$B$6:$B$300,$A319)+COUNTIF('Thaís'!$B$6:$B$300,$A319)+COUNTIF('Daniel'!$B$6:$B$300,$A319)+COUNTIF('Fernando'!$B$6:$B$300,$A319)+COUNTIF('Stephanie'!$B$6:$B$300,$A319)+COUNTIF('Fox'!$B$6:$B$300,$A319)+COUNTIF('Bruna'!$B$6:$B$300,$A319)+COUNTIF('Stella'!$B$6:$B$300,$A319)+COUNTIF('Igor'!$B$6:$B$300,$A319))=0),"",(COUNTIFS('Clarice'!$B$6:$B$300,$A319,'Clarice'!$F$6:$F$300,"Concluído")+COUNTIFS('Luisa'!$B$6:$B$300,$A319,'Luisa'!$F$6:$F$300,"Concluído")+COUNTIFS('Lui'!$B$6:$B$300,$A319,'Lui'!$F$6:$F$300,"Concluído")+COUNTIFS('Thaís'!$B$6:$B$300,$A319,'Thaís'!$F$6:$F$300,"Concluído")+COUNTIFS('Daniel'!$B$6:$B$300,$A319,'Daniel'!$F$6:$F$300,"Concluído")+COUNTIFS('Fernando'!$B$6:$B$300,$A319,'Fernando'!$F$6:$F$300,"Concluído")+COUNTIFS('Stephanie'!$B$6:$B$300,$A319,'Stephanie'!$F$6:$F$300,"Concluído")+COUNTIFS('Fox'!$B$6:$B$300,$A319,'Fox'!$F$6:$F$300,"Concluído")+COUNTIFS('Bruna'!$B$6:$B$300,$A319,'Bruna'!$F$6:$F$300,"Concluído")+COUNTIFS('Stella'!$B$6:$B$300,$A319,'Stella'!$F$6:$F$300,"Concluído")+COUNTIFS('Igor'!$B$6:$B$300,$A319,'Igor'!$F$6:$F$300,"Concluído"))&amp;" / "&amp;(COUNTIF('Clarice'!$B$6:$B$300,$A319)+COUNTIF('Luisa'!$B$6:$B$300,$A319)+COUNTIF('Lui'!$B$6:$B$300,$A319)+COUNTIF('Thaís'!$B$6:$B$300,$A319)+COUNTIF('Daniel'!$B$6:$B$300,$A319)+COUNTIF('Fernando'!$B$6:$B$300,$A319)+COUNTIF('Stephanie'!$B$6:$B$300,$A319)+COUNTIF('Fox'!$B$6:$B$300,$A319)+COUNTIF('Bruna'!$B$6:$B$300,$A319)+COUNTIF('Stella'!$B$6:$B$300,$A319)+COUNTIF('Igor'!$B$6:$B$300,$A319)))</f>
        <v/>
      </c>
      <c r="P319" s="25">
        <f>IF($A319="","",IF(M319&lt;&gt;"",M319,IF(K319&lt;&gt;"",K319,"")))</f>
        <v/>
      </c>
      <c r="Q319" s="25">
        <f>IF($A319="","",IF(N319&lt;&gt;"",N319,IF(L319&lt;&gt;"",L319,"")))</f>
        <v/>
      </c>
      <c r="S319" s="23">
        <f t="array" ref="S319">IF($A319="","",_xlfn.TEXTJOIN(CHAR(10),TRUE,IF('Clarice'!$B$6:$B$300=$A319,"Clarice"&amp;IF('Clarice'!$E$6:$E$300="",""," : "&amp;'Clarice'!$E$6:$E$300)&amp;" ["&amp;'Clarice'!$F$6:$F$300&amp;"]",""),IF('Luisa'!$B$6:$B$300=$A319,"Luisa"&amp;IF('Luisa'!$E$6:$E$300="",""," : "&amp;'Luisa'!$E$6:$E$300)&amp;" ["&amp;'Luisa'!$F$6:$F$300&amp;"]",""),IF('Lui'!$B$6:$B$300=$A319,"Lui"&amp;IF('Lui'!$E$6:$E$300="",""," : "&amp;'Lui'!$E$6:$E$300)&amp;" ["&amp;'Lui'!$F$6:$F$300&amp;"]",""),IF('Thaís'!$B$6:$B$300=$A319,"Thaís"&amp;IF('Thaís'!$E$6:$E$300="",""," : "&amp;'Thaís'!$E$6:$E$300)&amp;" ["&amp;'Thaís'!$F$6:$F$300&amp;"]",""),IF('Daniel'!$B$6:$B$300=$A319,"Daniel"&amp;IF('Daniel'!$E$6:$E$300="",""," : "&amp;'Daniel'!$E$6:$E$300)&amp;" ["&amp;'Daniel'!$F$6:$F$300&amp;"]",""),IF('Fernando'!$B$6:$B$300=$A319,"Fernando"&amp;IF('Fernando'!$E$6:$E$300="",""," : "&amp;'Fernando'!$E$6:$E$300)&amp;" ["&amp;'Fernando'!$F$6:$F$300&amp;"]",""),IF('Stephanie'!$B$6:$B$300=$A319,"Stephanie"&amp;IF('Stephanie'!$E$6:$E$300="",""," : "&amp;'Stephanie'!$E$6:$E$300)&amp;" ["&amp;'Stephanie'!$F$6:$F$300&amp;"]",""),IF('Fox'!$B$6:$B$300=$A319,"Fox"&amp;IF('Fox'!$E$6:$E$300="",""," : "&amp;'Fox'!$E$6:$E$300)&amp;" ["&amp;'Fox'!$F$6:$F$300&amp;"]",""),IF('Bruna'!$B$6:$B$300=$A319,"Bruna"&amp;IF('Bruna'!$E$6:$E$300="",""," : "&amp;'Bruna'!$E$6:$E$300)&amp;" ["&amp;'Bruna'!$F$6:$F$300&amp;"]",""),IF('Stella'!$B$6:$B$300=$A319,"Stella"&amp;IF('Stella'!$E$6:$E$300="",""," : "&amp;'Stella'!$E$6:$E$300)&amp;" ["&amp;'Stella'!$F$6:$F$300&amp;"]",""),IF('Igor'!$B$6:$B$300=$A319,"Igor"&amp;IF('Igor'!$E$6:$E$300="",""," : "&amp;'Igor'!$E$6:$E$300)&amp;" ["&amp;'Igor'!$F$6:$F$300&amp;"]","")))</f>
        <v/>
      </c>
    </row>
    <row r="320">
      <c r="G320" s="23">
        <f>IF($A320="","",_xlfn.TEXTJOIN("; ",TRUE,IF(COUNTIF('Clarice'!$B$6:$B$300,$A320)&gt;0,"Clarice",""),IF(COUNTIF('Luisa'!$B$6:$B$300,$A320)&gt;0,"Luisa",""),IF(COUNTIF('Lui'!$B$6:$B$300,$A320)&gt;0,"Lui",""),IF(COUNTIF('Thaís'!$B$6:$B$300,$A320)&gt;0,"Thaís",""),IF(COUNTIF('Daniel'!$B$6:$B$300,$A320)&gt;0,"Daniel",""),IF(COUNTIF('Fernando'!$B$6:$B$300,$A320)&gt;0,"Fernando",""),IF(COUNTIF('Stephanie'!$B$6:$B$300,$A320)&gt;0,"Stephanie",""),IF(COUNTIF('Fox'!$B$6:$B$300,$A320)&gt;0,"Fox",""),IF(COUNTIF('Bruna'!$B$6:$B$300,$A320)&gt;0,"Bruna",""),IF(COUNTIF('Stella'!$B$6:$B$300,$A320)&gt;0,"Stella",""),IF(COUNTIF('Igor'!$B$6:$B$300,$A320)&gt;0,"Igor","")))</f>
        <v/>
      </c>
      <c r="J320" s="24">
        <f>IF(OR($A320="",(COUNTIF('Clarice'!$B$6:$B$300,$A320)+COUNTIF('Luisa'!$B$6:$B$300,$A320)+COUNTIF('Lui'!$B$6:$B$300,$A320)+COUNTIF('Thaís'!$B$6:$B$300,$A320)+COUNTIF('Daniel'!$B$6:$B$300,$A320)+COUNTIF('Fernando'!$B$6:$B$300,$A320)+COUNTIF('Stephanie'!$B$6:$B$300,$A320)+COUNTIF('Fox'!$B$6:$B$300,$A320)+COUNTIF('Bruna'!$B$6:$B$300,$A320)+COUNTIF('Stella'!$B$6:$B$300,$A320)+COUNTIF('Igor'!$B$6:$B$300,$A320))=0),"",(COUNTIFS('Clarice'!$B$6:$B$300,$A320,'Clarice'!$F$6:$F$300,"Concluído")+COUNTIFS('Luisa'!$B$6:$B$300,$A320,'Luisa'!$F$6:$F$300,"Concluído")+COUNTIFS('Lui'!$B$6:$B$300,$A320,'Lui'!$F$6:$F$300,"Concluído")+COUNTIFS('Thaís'!$B$6:$B$300,$A320,'Thaís'!$F$6:$F$300,"Concluído")+COUNTIFS('Daniel'!$B$6:$B$300,$A320,'Daniel'!$F$6:$F$300,"Concluído")+COUNTIFS('Fernando'!$B$6:$B$300,$A320,'Fernando'!$F$6:$F$300,"Concluído")+COUNTIFS('Stephanie'!$B$6:$B$300,$A320,'Stephanie'!$F$6:$F$300,"Concluído")+COUNTIFS('Fox'!$B$6:$B$300,$A320,'Fox'!$F$6:$F$300,"Concluído")+COUNTIFS('Bruna'!$B$6:$B$300,$A320,'Bruna'!$F$6:$F$300,"Concluído")+COUNTIFS('Stella'!$B$6:$B$300,$A320,'Stella'!$F$6:$F$300,"Concluído")+COUNTIFS('Igor'!$B$6:$B$300,$A320,'Igor'!$F$6:$F$300,"Concluído"))&amp;" / "&amp;(COUNTIF('Clarice'!$B$6:$B$300,$A320)+COUNTIF('Luisa'!$B$6:$B$300,$A320)+COUNTIF('Lui'!$B$6:$B$300,$A320)+COUNTIF('Thaís'!$B$6:$B$300,$A320)+COUNTIF('Daniel'!$B$6:$B$300,$A320)+COUNTIF('Fernando'!$B$6:$B$300,$A320)+COUNTIF('Stephanie'!$B$6:$B$300,$A320)+COUNTIF('Fox'!$B$6:$B$300,$A320)+COUNTIF('Bruna'!$B$6:$B$300,$A320)+COUNTIF('Stella'!$B$6:$B$300,$A320)+COUNTIF('Igor'!$B$6:$B$300,$A320)))</f>
        <v/>
      </c>
      <c r="P320" s="25">
        <f>IF($A320="","",IF(M320&lt;&gt;"",M320,IF(K320&lt;&gt;"",K320,"")))</f>
        <v/>
      </c>
      <c r="Q320" s="25">
        <f>IF($A320="","",IF(N320&lt;&gt;"",N320,IF(L320&lt;&gt;"",L320,"")))</f>
        <v/>
      </c>
      <c r="S320" s="23">
        <f t="array" ref="S320">IF($A320="","",_xlfn.TEXTJOIN(CHAR(10),TRUE,IF('Clarice'!$B$6:$B$300=$A320,"Clarice"&amp;IF('Clarice'!$E$6:$E$300="",""," : "&amp;'Clarice'!$E$6:$E$300)&amp;" ["&amp;'Clarice'!$F$6:$F$300&amp;"]",""),IF('Luisa'!$B$6:$B$300=$A320,"Luisa"&amp;IF('Luisa'!$E$6:$E$300="",""," : "&amp;'Luisa'!$E$6:$E$300)&amp;" ["&amp;'Luisa'!$F$6:$F$300&amp;"]",""),IF('Lui'!$B$6:$B$300=$A320,"Lui"&amp;IF('Lui'!$E$6:$E$300="",""," : "&amp;'Lui'!$E$6:$E$300)&amp;" ["&amp;'Lui'!$F$6:$F$300&amp;"]",""),IF('Thaís'!$B$6:$B$300=$A320,"Thaís"&amp;IF('Thaís'!$E$6:$E$300="",""," : "&amp;'Thaís'!$E$6:$E$300)&amp;" ["&amp;'Thaís'!$F$6:$F$300&amp;"]",""),IF('Daniel'!$B$6:$B$300=$A320,"Daniel"&amp;IF('Daniel'!$E$6:$E$300="",""," : "&amp;'Daniel'!$E$6:$E$300)&amp;" ["&amp;'Daniel'!$F$6:$F$300&amp;"]",""),IF('Fernando'!$B$6:$B$300=$A320,"Fernando"&amp;IF('Fernando'!$E$6:$E$300="",""," : "&amp;'Fernando'!$E$6:$E$300)&amp;" ["&amp;'Fernando'!$F$6:$F$300&amp;"]",""),IF('Stephanie'!$B$6:$B$300=$A320,"Stephanie"&amp;IF('Stephanie'!$E$6:$E$300="",""," : "&amp;'Stephanie'!$E$6:$E$300)&amp;" ["&amp;'Stephanie'!$F$6:$F$300&amp;"]",""),IF('Fox'!$B$6:$B$300=$A320,"Fox"&amp;IF('Fox'!$E$6:$E$300="",""," : "&amp;'Fox'!$E$6:$E$300)&amp;" ["&amp;'Fox'!$F$6:$F$300&amp;"]",""),IF('Bruna'!$B$6:$B$300=$A320,"Bruna"&amp;IF('Bruna'!$E$6:$E$300="",""," : "&amp;'Bruna'!$E$6:$E$300)&amp;" ["&amp;'Bruna'!$F$6:$F$300&amp;"]",""),IF('Stella'!$B$6:$B$300=$A320,"Stella"&amp;IF('Stella'!$E$6:$E$300="",""," : "&amp;'Stella'!$E$6:$E$300)&amp;" ["&amp;'Stella'!$F$6:$F$300&amp;"]",""),IF('Igor'!$B$6:$B$300=$A320,"Igor"&amp;IF('Igor'!$E$6:$E$300="",""," : "&amp;'Igor'!$E$6:$E$300)&amp;" ["&amp;'Igor'!$F$6:$F$300&amp;"]","")))</f>
        <v/>
      </c>
    </row>
    <row r="321">
      <c r="G321" s="23">
        <f>IF($A321="","",_xlfn.TEXTJOIN("; ",TRUE,IF(COUNTIF('Clarice'!$B$6:$B$300,$A321)&gt;0,"Clarice",""),IF(COUNTIF('Luisa'!$B$6:$B$300,$A321)&gt;0,"Luisa",""),IF(COUNTIF('Lui'!$B$6:$B$300,$A321)&gt;0,"Lui",""),IF(COUNTIF('Thaís'!$B$6:$B$300,$A321)&gt;0,"Thaís",""),IF(COUNTIF('Daniel'!$B$6:$B$300,$A321)&gt;0,"Daniel",""),IF(COUNTIF('Fernando'!$B$6:$B$300,$A321)&gt;0,"Fernando",""),IF(COUNTIF('Stephanie'!$B$6:$B$300,$A321)&gt;0,"Stephanie",""),IF(COUNTIF('Fox'!$B$6:$B$300,$A321)&gt;0,"Fox",""),IF(COUNTIF('Bruna'!$B$6:$B$300,$A321)&gt;0,"Bruna",""),IF(COUNTIF('Stella'!$B$6:$B$300,$A321)&gt;0,"Stella",""),IF(COUNTIF('Igor'!$B$6:$B$300,$A321)&gt;0,"Igor","")))</f>
        <v/>
      </c>
      <c r="J321" s="24">
        <f>IF(OR($A321="",(COUNTIF('Clarice'!$B$6:$B$300,$A321)+COUNTIF('Luisa'!$B$6:$B$300,$A321)+COUNTIF('Lui'!$B$6:$B$300,$A321)+COUNTIF('Thaís'!$B$6:$B$300,$A321)+COUNTIF('Daniel'!$B$6:$B$300,$A321)+COUNTIF('Fernando'!$B$6:$B$300,$A321)+COUNTIF('Stephanie'!$B$6:$B$300,$A321)+COUNTIF('Fox'!$B$6:$B$300,$A321)+COUNTIF('Bruna'!$B$6:$B$300,$A321)+COUNTIF('Stella'!$B$6:$B$300,$A321)+COUNTIF('Igor'!$B$6:$B$300,$A321))=0),"",(COUNTIFS('Clarice'!$B$6:$B$300,$A321,'Clarice'!$F$6:$F$300,"Concluído")+COUNTIFS('Luisa'!$B$6:$B$300,$A321,'Luisa'!$F$6:$F$300,"Concluído")+COUNTIFS('Lui'!$B$6:$B$300,$A321,'Lui'!$F$6:$F$300,"Concluído")+COUNTIFS('Thaís'!$B$6:$B$300,$A321,'Thaís'!$F$6:$F$300,"Concluído")+COUNTIFS('Daniel'!$B$6:$B$300,$A321,'Daniel'!$F$6:$F$300,"Concluído")+COUNTIFS('Fernando'!$B$6:$B$300,$A321,'Fernando'!$F$6:$F$300,"Concluído")+COUNTIFS('Stephanie'!$B$6:$B$300,$A321,'Stephanie'!$F$6:$F$300,"Concluído")+COUNTIFS('Fox'!$B$6:$B$300,$A321,'Fox'!$F$6:$F$300,"Concluído")+COUNTIFS('Bruna'!$B$6:$B$300,$A321,'Bruna'!$F$6:$F$300,"Concluído")+COUNTIFS('Stella'!$B$6:$B$300,$A321,'Stella'!$F$6:$F$300,"Concluído")+COUNTIFS('Igor'!$B$6:$B$300,$A321,'Igor'!$F$6:$F$300,"Concluído"))&amp;" / "&amp;(COUNTIF('Clarice'!$B$6:$B$300,$A321)+COUNTIF('Luisa'!$B$6:$B$300,$A321)+COUNTIF('Lui'!$B$6:$B$300,$A321)+COUNTIF('Thaís'!$B$6:$B$300,$A321)+COUNTIF('Daniel'!$B$6:$B$300,$A321)+COUNTIF('Fernando'!$B$6:$B$300,$A321)+COUNTIF('Stephanie'!$B$6:$B$300,$A321)+COUNTIF('Fox'!$B$6:$B$300,$A321)+COUNTIF('Bruna'!$B$6:$B$300,$A321)+COUNTIF('Stella'!$B$6:$B$300,$A321)+COUNTIF('Igor'!$B$6:$B$300,$A321)))</f>
        <v/>
      </c>
      <c r="P321" s="25">
        <f>IF($A321="","",IF(M321&lt;&gt;"",M321,IF(K321&lt;&gt;"",K321,"")))</f>
        <v/>
      </c>
      <c r="Q321" s="25">
        <f>IF($A321="","",IF(N321&lt;&gt;"",N321,IF(L321&lt;&gt;"",L321,"")))</f>
        <v/>
      </c>
      <c r="S321" s="23">
        <f t="array" ref="S321">IF($A321="","",_xlfn.TEXTJOIN(CHAR(10),TRUE,IF('Clarice'!$B$6:$B$300=$A321,"Clarice"&amp;IF('Clarice'!$E$6:$E$300="",""," : "&amp;'Clarice'!$E$6:$E$300)&amp;" ["&amp;'Clarice'!$F$6:$F$300&amp;"]",""),IF('Luisa'!$B$6:$B$300=$A321,"Luisa"&amp;IF('Luisa'!$E$6:$E$300="",""," : "&amp;'Luisa'!$E$6:$E$300)&amp;" ["&amp;'Luisa'!$F$6:$F$300&amp;"]",""),IF('Lui'!$B$6:$B$300=$A321,"Lui"&amp;IF('Lui'!$E$6:$E$300="",""," : "&amp;'Lui'!$E$6:$E$300)&amp;" ["&amp;'Lui'!$F$6:$F$300&amp;"]",""),IF('Thaís'!$B$6:$B$300=$A321,"Thaís"&amp;IF('Thaís'!$E$6:$E$300="",""," : "&amp;'Thaís'!$E$6:$E$300)&amp;" ["&amp;'Thaís'!$F$6:$F$300&amp;"]",""),IF('Daniel'!$B$6:$B$300=$A321,"Daniel"&amp;IF('Daniel'!$E$6:$E$300="",""," : "&amp;'Daniel'!$E$6:$E$300)&amp;" ["&amp;'Daniel'!$F$6:$F$300&amp;"]",""),IF('Fernando'!$B$6:$B$300=$A321,"Fernando"&amp;IF('Fernando'!$E$6:$E$300="",""," : "&amp;'Fernando'!$E$6:$E$300)&amp;" ["&amp;'Fernando'!$F$6:$F$300&amp;"]",""),IF('Stephanie'!$B$6:$B$300=$A321,"Stephanie"&amp;IF('Stephanie'!$E$6:$E$300="",""," : "&amp;'Stephanie'!$E$6:$E$300)&amp;" ["&amp;'Stephanie'!$F$6:$F$300&amp;"]",""),IF('Fox'!$B$6:$B$300=$A321,"Fox"&amp;IF('Fox'!$E$6:$E$300="",""," : "&amp;'Fox'!$E$6:$E$300)&amp;" ["&amp;'Fox'!$F$6:$F$300&amp;"]",""),IF('Bruna'!$B$6:$B$300=$A321,"Bruna"&amp;IF('Bruna'!$E$6:$E$300="",""," : "&amp;'Bruna'!$E$6:$E$300)&amp;" ["&amp;'Bruna'!$F$6:$F$300&amp;"]",""),IF('Stella'!$B$6:$B$300=$A321,"Stella"&amp;IF('Stella'!$E$6:$E$300="",""," : "&amp;'Stella'!$E$6:$E$300)&amp;" ["&amp;'Stella'!$F$6:$F$300&amp;"]",""),IF('Igor'!$B$6:$B$300=$A321,"Igor"&amp;IF('Igor'!$E$6:$E$300="",""," : "&amp;'Igor'!$E$6:$E$300)&amp;" ["&amp;'Igor'!$F$6:$F$300&amp;"]","")))</f>
        <v/>
      </c>
    </row>
    <row r="322">
      <c r="G322" s="23">
        <f>IF($A322="","",_xlfn.TEXTJOIN("; ",TRUE,IF(COUNTIF('Clarice'!$B$6:$B$300,$A322)&gt;0,"Clarice",""),IF(COUNTIF('Luisa'!$B$6:$B$300,$A322)&gt;0,"Luisa",""),IF(COUNTIF('Lui'!$B$6:$B$300,$A322)&gt;0,"Lui",""),IF(COUNTIF('Thaís'!$B$6:$B$300,$A322)&gt;0,"Thaís",""),IF(COUNTIF('Daniel'!$B$6:$B$300,$A322)&gt;0,"Daniel",""),IF(COUNTIF('Fernando'!$B$6:$B$300,$A322)&gt;0,"Fernando",""),IF(COUNTIF('Stephanie'!$B$6:$B$300,$A322)&gt;0,"Stephanie",""),IF(COUNTIF('Fox'!$B$6:$B$300,$A322)&gt;0,"Fox",""),IF(COUNTIF('Bruna'!$B$6:$B$300,$A322)&gt;0,"Bruna",""),IF(COUNTIF('Stella'!$B$6:$B$300,$A322)&gt;0,"Stella",""),IF(COUNTIF('Igor'!$B$6:$B$300,$A322)&gt;0,"Igor","")))</f>
        <v/>
      </c>
      <c r="J322" s="24">
        <f>IF(OR($A322="",(COUNTIF('Clarice'!$B$6:$B$300,$A322)+COUNTIF('Luisa'!$B$6:$B$300,$A322)+COUNTIF('Lui'!$B$6:$B$300,$A322)+COUNTIF('Thaís'!$B$6:$B$300,$A322)+COUNTIF('Daniel'!$B$6:$B$300,$A322)+COUNTIF('Fernando'!$B$6:$B$300,$A322)+COUNTIF('Stephanie'!$B$6:$B$300,$A322)+COUNTIF('Fox'!$B$6:$B$300,$A322)+COUNTIF('Bruna'!$B$6:$B$300,$A322)+COUNTIF('Stella'!$B$6:$B$300,$A322)+COUNTIF('Igor'!$B$6:$B$300,$A322))=0),"",(COUNTIFS('Clarice'!$B$6:$B$300,$A322,'Clarice'!$F$6:$F$300,"Concluído")+COUNTIFS('Luisa'!$B$6:$B$300,$A322,'Luisa'!$F$6:$F$300,"Concluído")+COUNTIFS('Lui'!$B$6:$B$300,$A322,'Lui'!$F$6:$F$300,"Concluído")+COUNTIFS('Thaís'!$B$6:$B$300,$A322,'Thaís'!$F$6:$F$300,"Concluído")+COUNTIFS('Daniel'!$B$6:$B$300,$A322,'Daniel'!$F$6:$F$300,"Concluído")+COUNTIFS('Fernando'!$B$6:$B$300,$A322,'Fernando'!$F$6:$F$300,"Concluído")+COUNTIFS('Stephanie'!$B$6:$B$300,$A322,'Stephanie'!$F$6:$F$300,"Concluído")+COUNTIFS('Fox'!$B$6:$B$300,$A322,'Fox'!$F$6:$F$300,"Concluído")+COUNTIFS('Bruna'!$B$6:$B$300,$A322,'Bruna'!$F$6:$F$300,"Concluído")+COUNTIFS('Stella'!$B$6:$B$300,$A322,'Stella'!$F$6:$F$300,"Concluído")+COUNTIFS('Igor'!$B$6:$B$300,$A322,'Igor'!$F$6:$F$300,"Concluído"))&amp;" / "&amp;(COUNTIF('Clarice'!$B$6:$B$300,$A322)+COUNTIF('Luisa'!$B$6:$B$300,$A322)+COUNTIF('Lui'!$B$6:$B$300,$A322)+COUNTIF('Thaís'!$B$6:$B$300,$A322)+COUNTIF('Daniel'!$B$6:$B$300,$A322)+COUNTIF('Fernando'!$B$6:$B$300,$A322)+COUNTIF('Stephanie'!$B$6:$B$300,$A322)+COUNTIF('Fox'!$B$6:$B$300,$A322)+COUNTIF('Bruna'!$B$6:$B$300,$A322)+COUNTIF('Stella'!$B$6:$B$300,$A322)+COUNTIF('Igor'!$B$6:$B$300,$A322)))</f>
        <v/>
      </c>
      <c r="P322" s="25">
        <f>IF($A322="","",IF(M322&lt;&gt;"",M322,IF(K322&lt;&gt;"",K322,"")))</f>
        <v/>
      </c>
      <c r="Q322" s="25">
        <f>IF($A322="","",IF(N322&lt;&gt;"",N322,IF(L322&lt;&gt;"",L322,"")))</f>
        <v/>
      </c>
      <c r="S322" s="23">
        <f t="array" ref="S322">IF($A322="","",_xlfn.TEXTJOIN(CHAR(10),TRUE,IF('Clarice'!$B$6:$B$300=$A322,"Clarice"&amp;IF('Clarice'!$E$6:$E$300="",""," : "&amp;'Clarice'!$E$6:$E$300)&amp;" ["&amp;'Clarice'!$F$6:$F$300&amp;"]",""),IF('Luisa'!$B$6:$B$300=$A322,"Luisa"&amp;IF('Luisa'!$E$6:$E$300="",""," : "&amp;'Luisa'!$E$6:$E$300)&amp;" ["&amp;'Luisa'!$F$6:$F$300&amp;"]",""),IF('Lui'!$B$6:$B$300=$A322,"Lui"&amp;IF('Lui'!$E$6:$E$300="",""," : "&amp;'Lui'!$E$6:$E$300)&amp;" ["&amp;'Lui'!$F$6:$F$300&amp;"]",""),IF('Thaís'!$B$6:$B$300=$A322,"Thaís"&amp;IF('Thaís'!$E$6:$E$300="",""," : "&amp;'Thaís'!$E$6:$E$300)&amp;" ["&amp;'Thaís'!$F$6:$F$300&amp;"]",""),IF('Daniel'!$B$6:$B$300=$A322,"Daniel"&amp;IF('Daniel'!$E$6:$E$300="",""," : "&amp;'Daniel'!$E$6:$E$300)&amp;" ["&amp;'Daniel'!$F$6:$F$300&amp;"]",""),IF('Fernando'!$B$6:$B$300=$A322,"Fernando"&amp;IF('Fernando'!$E$6:$E$300="",""," : "&amp;'Fernando'!$E$6:$E$300)&amp;" ["&amp;'Fernando'!$F$6:$F$300&amp;"]",""),IF('Stephanie'!$B$6:$B$300=$A322,"Stephanie"&amp;IF('Stephanie'!$E$6:$E$300="",""," : "&amp;'Stephanie'!$E$6:$E$300)&amp;" ["&amp;'Stephanie'!$F$6:$F$300&amp;"]",""),IF('Fox'!$B$6:$B$300=$A322,"Fox"&amp;IF('Fox'!$E$6:$E$300="",""," : "&amp;'Fox'!$E$6:$E$300)&amp;" ["&amp;'Fox'!$F$6:$F$300&amp;"]",""),IF('Bruna'!$B$6:$B$300=$A322,"Bruna"&amp;IF('Bruna'!$E$6:$E$300="",""," : "&amp;'Bruna'!$E$6:$E$300)&amp;" ["&amp;'Bruna'!$F$6:$F$300&amp;"]",""),IF('Stella'!$B$6:$B$300=$A322,"Stella"&amp;IF('Stella'!$E$6:$E$300="",""," : "&amp;'Stella'!$E$6:$E$300)&amp;" ["&amp;'Stella'!$F$6:$F$300&amp;"]",""),IF('Igor'!$B$6:$B$300=$A322,"Igor"&amp;IF('Igor'!$E$6:$E$300="",""," : "&amp;'Igor'!$E$6:$E$300)&amp;" ["&amp;'Igor'!$F$6:$F$300&amp;"]","")))</f>
        <v/>
      </c>
    </row>
    <row r="323">
      <c r="G323" s="23">
        <f>IF($A323="","",_xlfn.TEXTJOIN("; ",TRUE,IF(COUNTIF('Clarice'!$B$6:$B$300,$A323)&gt;0,"Clarice",""),IF(COUNTIF('Luisa'!$B$6:$B$300,$A323)&gt;0,"Luisa",""),IF(COUNTIF('Lui'!$B$6:$B$300,$A323)&gt;0,"Lui",""),IF(COUNTIF('Thaís'!$B$6:$B$300,$A323)&gt;0,"Thaís",""),IF(COUNTIF('Daniel'!$B$6:$B$300,$A323)&gt;0,"Daniel",""),IF(COUNTIF('Fernando'!$B$6:$B$300,$A323)&gt;0,"Fernando",""),IF(COUNTIF('Stephanie'!$B$6:$B$300,$A323)&gt;0,"Stephanie",""),IF(COUNTIF('Fox'!$B$6:$B$300,$A323)&gt;0,"Fox",""),IF(COUNTIF('Bruna'!$B$6:$B$300,$A323)&gt;0,"Bruna",""),IF(COUNTIF('Stella'!$B$6:$B$300,$A323)&gt;0,"Stella",""),IF(COUNTIF('Igor'!$B$6:$B$300,$A323)&gt;0,"Igor","")))</f>
        <v/>
      </c>
      <c r="J323" s="24">
        <f>IF(OR($A323="",(COUNTIF('Clarice'!$B$6:$B$300,$A323)+COUNTIF('Luisa'!$B$6:$B$300,$A323)+COUNTIF('Lui'!$B$6:$B$300,$A323)+COUNTIF('Thaís'!$B$6:$B$300,$A323)+COUNTIF('Daniel'!$B$6:$B$300,$A323)+COUNTIF('Fernando'!$B$6:$B$300,$A323)+COUNTIF('Stephanie'!$B$6:$B$300,$A323)+COUNTIF('Fox'!$B$6:$B$300,$A323)+COUNTIF('Bruna'!$B$6:$B$300,$A323)+COUNTIF('Stella'!$B$6:$B$300,$A323)+COUNTIF('Igor'!$B$6:$B$300,$A323))=0),"",(COUNTIFS('Clarice'!$B$6:$B$300,$A323,'Clarice'!$F$6:$F$300,"Concluído")+COUNTIFS('Luisa'!$B$6:$B$300,$A323,'Luisa'!$F$6:$F$300,"Concluído")+COUNTIFS('Lui'!$B$6:$B$300,$A323,'Lui'!$F$6:$F$300,"Concluído")+COUNTIFS('Thaís'!$B$6:$B$300,$A323,'Thaís'!$F$6:$F$300,"Concluído")+COUNTIFS('Daniel'!$B$6:$B$300,$A323,'Daniel'!$F$6:$F$300,"Concluído")+COUNTIFS('Fernando'!$B$6:$B$300,$A323,'Fernando'!$F$6:$F$300,"Concluído")+COUNTIFS('Stephanie'!$B$6:$B$300,$A323,'Stephanie'!$F$6:$F$300,"Concluído")+COUNTIFS('Fox'!$B$6:$B$300,$A323,'Fox'!$F$6:$F$300,"Concluído")+COUNTIFS('Bruna'!$B$6:$B$300,$A323,'Bruna'!$F$6:$F$300,"Concluído")+COUNTIFS('Stella'!$B$6:$B$300,$A323,'Stella'!$F$6:$F$300,"Concluído")+COUNTIFS('Igor'!$B$6:$B$300,$A323,'Igor'!$F$6:$F$300,"Concluído"))&amp;" / "&amp;(COUNTIF('Clarice'!$B$6:$B$300,$A323)+COUNTIF('Luisa'!$B$6:$B$300,$A323)+COUNTIF('Lui'!$B$6:$B$300,$A323)+COUNTIF('Thaís'!$B$6:$B$300,$A323)+COUNTIF('Daniel'!$B$6:$B$300,$A323)+COUNTIF('Fernando'!$B$6:$B$300,$A323)+COUNTIF('Stephanie'!$B$6:$B$300,$A323)+COUNTIF('Fox'!$B$6:$B$300,$A323)+COUNTIF('Bruna'!$B$6:$B$300,$A323)+COUNTIF('Stella'!$B$6:$B$300,$A323)+COUNTIF('Igor'!$B$6:$B$300,$A323)))</f>
        <v/>
      </c>
      <c r="P323" s="25">
        <f>IF($A323="","",IF(M323&lt;&gt;"",M323,IF(K323&lt;&gt;"",K323,"")))</f>
        <v/>
      </c>
      <c r="Q323" s="25">
        <f>IF($A323="","",IF(N323&lt;&gt;"",N323,IF(L323&lt;&gt;"",L323,"")))</f>
        <v/>
      </c>
      <c r="S323" s="23">
        <f t="array" ref="S323">IF($A323="","",_xlfn.TEXTJOIN(CHAR(10),TRUE,IF('Clarice'!$B$6:$B$300=$A323,"Clarice"&amp;IF('Clarice'!$E$6:$E$300="",""," : "&amp;'Clarice'!$E$6:$E$300)&amp;" ["&amp;'Clarice'!$F$6:$F$300&amp;"]",""),IF('Luisa'!$B$6:$B$300=$A323,"Luisa"&amp;IF('Luisa'!$E$6:$E$300="",""," : "&amp;'Luisa'!$E$6:$E$300)&amp;" ["&amp;'Luisa'!$F$6:$F$300&amp;"]",""),IF('Lui'!$B$6:$B$300=$A323,"Lui"&amp;IF('Lui'!$E$6:$E$300="",""," : "&amp;'Lui'!$E$6:$E$300)&amp;" ["&amp;'Lui'!$F$6:$F$300&amp;"]",""),IF('Thaís'!$B$6:$B$300=$A323,"Thaís"&amp;IF('Thaís'!$E$6:$E$300="",""," : "&amp;'Thaís'!$E$6:$E$300)&amp;" ["&amp;'Thaís'!$F$6:$F$300&amp;"]",""),IF('Daniel'!$B$6:$B$300=$A323,"Daniel"&amp;IF('Daniel'!$E$6:$E$300="",""," : "&amp;'Daniel'!$E$6:$E$300)&amp;" ["&amp;'Daniel'!$F$6:$F$300&amp;"]",""),IF('Fernando'!$B$6:$B$300=$A323,"Fernando"&amp;IF('Fernando'!$E$6:$E$300="",""," : "&amp;'Fernando'!$E$6:$E$300)&amp;" ["&amp;'Fernando'!$F$6:$F$300&amp;"]",""),IF('Stephanie'!$B$6:$B$300=$A323,"Stephanie"&amp;IF('Stephanie'!$E$6:$E$300="",""," : "&amp;'Stephanie'!$E$6:$E$300)&amp;" ["&amp;'Stephanie'!$F$6:$F$300&amp;"]",""),IF('Fox'!$B$6:$B$300=$A323,"Fox"&amp;IF('Fox'!$E$6:$E$300="",""," : "&amp;'Fox'!$E$6:$E$300)&amp;" ["&amp;'Fox'!$F$6:$F$300&amp;"]",""),IF('Bruna'!$B$6:$B$300=$A323,"Bruna"&amp;IF('Bruna'!$E$6:$E$300="",""," : "&amp;'Bruna'!$E$6:$E$300)&amp;" ["&amp;'Bruna'!$F$6:$F$300&amp;"]",""),IF('Stella'!$B$6:$B$300=$A323,"Stella"&amp;IF('Stella'!$E$6:$E$300="",""," : "&amp;'Stella'!$E$6:$E$300)&amp;" ["&amp;'Stella'!$F$6:$F$300&amp;"]",""),IF('Igor'!$B$6:$B$300=$A323,"Igor"&amp;IF('Igor'!$E$6:$E$300="",""," : "&amp;'Igor'!$E$6:$E$300)&amp;" ["&amp;'Igor'!$F$6:$F$300&amp;"]","")))</f>
        <v/>
      </c>
    </row>
    <row r="324">
      <c r="G324" s="23">
        <f>IF($A324="","",_xlfn.TEXTJOIN("; ",TRUE,IF(COUNTIF('Clarice'!$B$6:$B$300,$A324)&gt;0,"Clarice",""),IF(COUNTIF('Luisa'!$B$6:$B$300,$A324)&gt;0,"Luisa",""),IF(COUNTIF('Lui'!$B$6:$B$300,$A324)&gt;0,"Lui",""),IF(COUNTIF('Thaís'!$B$6:$B$300,$A324)&gt;0,"Thaís",""),IF(COUNTIF('Daniel'!$B$6:$B$300,$A324)&gt;0,"Daniel",""),IF(COUNTIF('Fernando'!$B$6:$B$300,$A324)&gt;0,"Fernando",""),IF(COUNTIF('Stephanie'!$B$6:$B$300,$A324)&gt;0,"Stephanie",""),IF(COUNTIF('Fox'!$B$6:$B$300,$A324)&gt;0,"Fox",""),IF(COUNTIF('Bruna'!$B$6:$B$300,$A324)&gt;0,"Bruna",""),IF(COUNTIF('Stella'!$B$6:$B$300,$A324)&gt;0,"Stella",""),IF(COUNTIF('Igor'!$B$6:$B$300,$A324)&gt;0,"Igor","")))</f>
        <v/>
      </c>
      <c r="J324" s="24">
        <f>IF(OR($A324="",(COUNTIF('Clarice'!$B$6:$B$300,$A324)+COUNTIF('Luisa'!$B$6:$B$300,$A324)+COUNTIF('Lui'!$B$6:$B$300,$A324)+COUNTIF('Thaís'!$B$6:$B$300,$A324)+COUNTIF('Daniel'!$B$6:$B$300,$A324)+COUNTIF('Fernando'!$B$6:$B$300,$A324)+COUNTIF('Stephanie'!$B$6:$B$300,$A324)+COUNTIF('Fox'!$B$6:$B$300,$A324)+COUNTIF('Bruna'!$B$6:$B$300,$A324)+COUNTIF('Stella'!$B$6:$B$300,$A324)+COUNTIF('Igor'!$B$6:$B$300,$A324))=0),"",(COUNTIFS('Clarice'!$B$6:$B$300,$A324,'Clarice'!$F$6:$F$300,"Concluído")+COUNTIFS('Luisa'!$B$6:$B$300,$A324,'Luisa'!$F$6:$F$300,"Concluído")+COUNTIFS('Lui'!$B$6:$B$300,$A324,'Lui'!$F$6:$F$300,"Concluído")+COUNTIFS('Thaís'!$B$6:$B$300,$A324,'Thaís'!$F$6:$F$300,"Concluído")+COUNTIFS('Daniel'!$B$6:$B$300,$A324,'Daniel'!$F$6:$F$300,"Concluído")+COUNTIFS('Fernando'!$B$6:$B$300,$A324,'Fernando'!$F$6:$F$300,"Concluído")+COUNTIFS('Stephanie'!$B$6:$B$300,$A324,'Stephanie'!$F$6:$F$300,"Concluído")+COUNTIFS('Fox'!$B$6:$B$300,$A324,'Fox'!$F$6:$F$300,"Concluído")+COUNTIFS('Bruna'!$B$6:$B$300,$A324,'Bruna'!$F$6:$F$300,"Concluído")+COUNTIFS('Stella'!$B$6:$B$300,$A324,'Stella'!$F$6:$F$300,"Concluído")+COUNTIFS('Igor'!$B$6:$B$300,$A324,'Igor'!$F$6:$F$300,"Concluído"))&amp;" / "&amp;(COUNTIF('Clarice'!$B$6:$B$300,$A324)+COUNTIF('Luisa'!$B$6:$B$300,$A324)+COUNTIF('Lui'!$B$6:$B$300,$A324)+COUNTIF('Thaís'!$B$6:$B$300,$A324)+COUNTIF('Daniel'!$B$6:$B$300,$A324)+COUNTIF('Fernando'!$B$6:$B$300,$A324)+COUNTIF('Stephanie'!$B$6:$B$300,$A324)+COUNTIF('Fox'!$B$6:$B$300,$A324)+COUNTIF('Bruna'!$B$6:$B$300,$A324)+COUNTIF('Stella'!$B$6:$B$300,$A324)+COUNTIF('Igor'!$B$6:$B$300,$A324)))</f>
        <v/>
      </c>
      <c r="P324" s="25">
        <f>IF($A324="","",IF(M324&lt;&gt;"",M324,IF(K324&lt;&gt;"",K324,"")))</f>
        <v/>
      </c>
      <c r="Q324" s="25">
        <f>IF($A324="","",IF(N324&lt;&gt;"",N324,IF(L324&lt;&gt;"",L324,"")))</f>
        <v/>
      </c>
      <c r="S324" s="23">
        <f t="array" ref="S324">IF($A324="","",_xlfn.TEXTJOIN(CHAR(10),TRUE,IF('Clarice'!$B$6:$B$300=$A324,"Clarice"&amp;IF('Clarice'!$E$6:$E$300="",""," : "&amp;'Clarice'!$E$6:$E$300)&amp;" ["&amp;'Clarice'!$F$6:$F$300&amp;"]",""),IF('Luisa'!$B$6:$B$300=$A324,"Luisa"&amp;IF('Luisa'!$E$6:$E$300="",""," : "&amp;'Luisa'!$E$6:$E$300)&amp;" ["&amp;'Luisa'!$F$6:$F$300&amp;"]",""),IF('Lui'!$B$6:$B$300=$A324,"Lui"&amp;IF('Lui'!$E$6:$E$300="",""," : "&amp;'Lui'!$E$6:$E$300)&amp;" ["&amp;'Lui'!$F$6:$F$300&amp;"]",""),IF('Thaís'!$B$6:$B$300=$A324,"Thaís"&amp;IF('Thaís'!$E$6:$E$300="",""," : "&amp;'Thaís'!$E$6:$E$300)&amp;" ["&amp;'Thaís'!$F$6:$F$300&amp;"]",""),IF('Daniel'!$B$6:$B$300=$A324,"Daniel"&amp;IF('Daniel'!$E$6:$E$300="",""," : "&amp;'Daniel'!$E$6:$E$300)&amp;" ["&amp;'Daniel'!$F$6:$F$300&amp;"]",""),IF('Fernando'!$B$6:$B$300=$A324,"Fernando"&amp;IF('Fernando'!$E$6:$E$300="",""," : "&amp;'Fernando'!$E$6:$E$300)&amp;" ["&amp;'Fernando'!$F$6:$F$300&amp;"]",""),IF('Stephanie'!$B$6:$B$300=$A324,"Stephanie"&amp;IF('Stephanie'!$E$6:$E$300="",""," : "&amp;'Stephanie'!$E$6:$E$300)&amp;" ["&amp;'Stephanie'!$F$6:$F$300&amp;"]",""),IF('Fox'!$B$6:$B$300=$A324,"Fox"&amp;IF('Fox'!$E$6:$E$300="",""," : "&amp;'Fox'!$E$6:$E$300)&amp;" ["&amp;'Fox'!$F$6:$F$300&amp;"]",""),IF('Bruna'!$B$6:$B$300=$A324,"Bruna"&amp;IF('Bruna'!$E$6:$E$300="",""," : "&amp;'Bruna'!$E$6:$E$300)&amp;" ["&amp;'Bruna'!$F$6:$F$300&amp;"]",""),IF('Stella'!$B$6:$B$300=$A324,"Stella"&amp;IF('Stella'!$E$6:$E$300="",""," : "&amp;'Stella'!$E$6:$E$300)&amp;" ["&amp;'Stella'!$F$6:$F$300&amp;"]",""),IF('Igor'!$B$6:$B$300=$A324,"Igor"&amp;IF('Igor'!$E$6:$E$300="",""," : "&amp;'Igor'!$E$6:$E$300)&amp;" ["&amp;'Igor'!$F$6:$F$300&amp;"]","")))</f>
        <v/>
      </c>
    </row>
    <row r="325">
      <c r="G325" s="23">
        <f>IF($A325="","",_xlfn.TEXTJOIN("; ",TRUE,IF(COUNTIF('Clarice'!$B$6:$B$300,$A325)&gt;0,"Clarice",""),IF(COUNTIF('Luisa'!$B$6:$B$300,$A325)&gt;0,"Luisa",""),IF(COUNTIF('Lui'!$B$6:$B$300,$A325)&gt;0,"Lui",""),IF(COUNTIF('Thaís'!$B$6:$B$300,$A325)&gt;0,"Thaís",""),IF(COUNTIF('Daniel'!$B$6:$B$300,$A325)&gt;0,"Daniel",""),IF(COUNTIF('Fernando'!$B$6:$B$300,$A325)&gt;0,"Fernando",""),IF(COUNTIF('Stephanie'!$B$6:$B$300,$A325)&gt;0,"Stephanie",""),IF(COUNTIF('Fox'!$B$6:$B$300,$A325)&gt;0,"Fox",""),IF(COUNTIF('Bruna'!$B$6:$B$300,$A325)&gt;0,"Bruna",""),IF(COUNTIF('Stella'!$B$6:$B$300,$A325)&gt;0,"Stella",""),IF(COUNTIF('Igor'!$B$6:$B$300,$A325)&gt;0,"Igor","")))</f>
        <v/>
      </c>
      <c r="J325" s="24">
        <f>IF(OR($A325="",(COUNTIF('Clarice'!$B$6:$B$300,$A325)+COUNTIF('Luisa'!$B$6:$B$300,$A325)+COUNTIF('Lui'!$B$6:$B$300,$A325)+COUNTIF('Thaís'!$B$6:$B$300,$A325)+COUNTIF('Daniel'!$B$6:$B$300,$A325)+COUNTIF('Fernando'!$B$6:$B$300,$A325)+COUNTIF('Stephanie'!$B$6:$B$300,$A325)+COUNTIF('Fox'!$B$6:$B$300,$A325)+COUNTIF('Bruna'!$B$6:$B$300,$A325)+COUNTIF('Stella'!$B$6:$B$300,$A325)+COUNTIF('Igor'!$B$6:$B$300,$A325))=0),"",(COUNTIFS('Clarice'!$B$6:$B$300,$A325,'Clarice'!$F$6:$F$300,"Concluído")+COUNTIFS('Luisa'!$B$6:$B$300,$A325,'Luisa'!$F$6:$F$300,"Concluído")+COUNTIFS('Lui'!$B$6:$B$300,$A325,'Lui'!$F$6:$F$300,"Concluído")+COUNTIFS('Thaís'!$B$6:$B$300,$A325,'Thaís'!$F$6:$F$300,"Concluído")+COUNTIFS('Daniel'!$B$6:$B$300,$A325,'Daniel'!$F$6:$F$300,"Concluído")+COUNTIFS('Fernando'!$B$6:$B$300,$A325,'Fernando'!$F$6:$F$300,"Concluído")+COUNTIFS('Stephanie'!$B$6:$B$300,$A325,'Stephanie'!$F$6:$F$300,"Concluído")+COUNTIFS('Fox'!$B$6:$B$300,$A325,'Fox'!$F$6:$F$300,"Concluído")+COUNTIFS('Bruna'!$B$6:$B$300,$A325,'Bruna'!$F$6:$F$300,"Concluído")+COUNTIFS('Stella'!$B$6:$B$300,$A325,'Stella'!$F$6:$F$300,"Concluído")+COUNTIFS('Igor'!$B$6:$B$300,$A325,'Igor'!$F$6:$F$300,"Concluído"))&amp;" / "&amp;(COUNTIF('Clarice'!$B$6:$B$300,$A325)+COUNTIF('Luisa'!$B$6:$B$300,$A325)+COUNTIF('Lui'!$B$6:$B$300,$A325)+COUNTIF('Thaís'!$B$6:$B$300,$A325)+COUNTIF('Daniel'!$B$6:$B$300,$A325)+COUNTIF('Fernando'!$B$6:$B$300,$A325)+COUNTIF('Stephanie'!$B$6:$B$300,$A325)+COUNTIF('Fox'!$B$6:$B$300,$A325)+COUNTIF('Bruna'!$B$6:$B$300,$A325)+COUNTIF('Stella'!$B$6:$B$300,$A325)+COUNTIF('Igor'!$B$6:$B$300,$A325)))</f>
        <v/>
      </c>
      <c r="P325" s="25">
        <f>IF($A325="","",IF(M325&lt;&gt;"",M325,IF(K325&lt;&gt;"",K325,"")))</f>
        <v/>
      </c>
      <c r="Q325" s="25">
        <f>IF($A325="","",IF(N325&lt;&gt;"",N325,IF(L325&lt;&gt;"",L325,"")))</f>
        <v/>
      </c>
      <c r="S325" s="23">
        <f t="array" ref="S325">IF($A325="","",_xlfn.TEXTJOIN(CHAR(10),TRUE,IF('Clarice'!$B$6:$B$300=$A325,"Clarice"&amp;IF('Clarice'!$E$6:$E$300="",""," : "&amp;'Clarice'!$E$6:$E$300)&amp;" ["&amp;'Clarice'!$F$6:$F$300&amp;"]",""),IF('Luisa'!$B$6:$B$300=$A325,"Luisa"&amp;IF('Luisa'!$E$6:$E$300="",""," : "&amp;'Luisa'!$E$6:$E$300)&amp;" ["&amp;'Luisa'!$F$6:$F$300&amp;"]",""),IF('Lui'!$B$6:$B$300=$A325,"Lui"&amp;IF('Lui'!$E$6:$E$300="",""," : "&amp;'Lui'!$E$6:$E$300)&amp;" ["&amp;'Lui'!$F$6:$F$300&amp;"]",""),IF('Thaís'!$B$6:$B$300=$A325,"Thaís"&amp;IF('Thaís'!$E$6:$E$300="",""," : "&amp;'Thaís'!$E$6:$E$300)&amp;" ["&amp;'Thaís'!$F$6:$F$300&amp;"]",""),IF('Daniel'!$B$6:$B$300=$A325,"Daniel"&amp;IF('Daniel'!$E$6:$E$300="",""," : "&amp;'Daniel'!$E$6:$E$300)&amp;" ["&amp;'Daniel'!$F$6:$F$300&amp;"]",""),IF('Fernando'!$B$6:$B$300=$A325,"Fernando"&amp;IF('Fernando'!$E$6:$E$300="",""," : "&amp;'Fernando'!$E$6:$E$300)&amp;" ["&amp;'Fernando'!$F$6:$F$300&amp;"]",""),IF('Stephanie'!$B$6:$B$300=$A325,"Stephanie"&amp;IF('Stephanie'!$E$6:$E$300="",""," : "&amp;'Stephanie'!$E$6:$E$300)&amp;" ["&amp;'Stephanie'!$F$6:$F$300&amp;"]",""),IF('Fox'!$B$6:$B$300=$A325,"Fox"&amp;IF('Fox'!$E$6:$E$300="",""," : "&amp;'Fox'!$E$6:$E$300)&amp;" ["&amp;'Fox'!$F$6:$F$300&amp;"]",""),IF('Bruna'!$B$6:$B$300=$A325,"Bruna"&amp;IF('Bruna'!$E$6:$E$300="",""," : "&amp;'Bruna'!$E$6:$E$300)&amp;" ["&amp;'Bruna'!$F$6:$F$300&amp;"]",""),IF('Stella'!$B$6:$B$300=$A325,"Stella"&amp;IF('Stella'!$E$6:$E$300="",""," : "&amp;'Stella'!$E$6:$E$300)&amp;" ["&amp;'Stella'!$F$6:$F$300&amp;"]",""),IF('Igor'!$B$6:$B$300=$A325,"Igor"&amp;IF('Igor'!$E$6:$E$300="",""," : "&amp;'Igor'!$E$6:$E$300)&amp;" ["&amp;'Igor'!$F$6:$F$300&amp;"]","")))</f>
        <v/>
      </c>
    </row>
    <row r="326">
      <c r="G326" s="23">
        <f>IF($A326="","",_xlfn.TEXTJOIN("; ",TRUE,IF(COUNTIF('Clarice'!$B$6:$B$300,$A326)&gt;0,"Clarice",""),IF(COUNTIF('Luisa'!$B$6:$B$300,$A326)&gt;0,"Luisa",""),IF(COUNTIF('Lui'!$B$6:$B$300,$A326)&gt;0,"Lui",""),IF(COUNTIF('Thaís'!$B$6:$B$300,$A326)&gt;0,"Thaís",""),IF(COUNTIF('Daniel'!$B$6:$B$300,$A326)&gt;0,"Daniel",""),IF(COUNTIF('Fernando'!$B$6:$B$300,$A326)&gt;0,"Fernando",""),IF(COUNTIF('Stephanie'!$B$6:$B$300,$A326)&gt;0,"Stephanie",""),IF(COUNTIF('Fox'!$B$6:$B$300,$A326)&gt;0,"Fox",""),IF(COUNTIF('Bruna'!$B$6:$B$300,$A326)&gt;0,"Bruna",""),IF(COUNTIF('Stella'!$B$6:$B$300,$A326)&gt;0,"Stella",""),IF(COUNTIF('Igor'!$B$6:$B$300,$A326)&gt;0,"Igor","")))</f>
        <v/>
      </c>
      <c r="J326" s="24">
        <f>IF(OR($A326="",(COUNTIF('Clarice'!$B$6:$B$300,$A326)+COUNTIF('Luisa'!$B$6:$B$300,$A326)+COUNTIF('Lui'!$B$6:$B$300,$A326)+COUNTIF('Thaís'!$B$6:$B$300,$A326)+COUNTIF('Daniel'!$B$6:$B$300,$A326)+COUNTIF('Fernando'!$B$6:$B$300,$A326)+COUNTIF('Stephanie'!$B$6:$B$300,$A326)+COUNTIF('Fox'!$B$6:$B$300,$A326)+COUNTIF('Bruna'!$B$6:$B$300,$A326)+COUNTIF('Stella'!$B$6:$B$300,$A326)+COUNTIF('Igor'!$B$6:$B$300,$A326))=0),"",(COUNTIFS('Clarice'!$B$6:$B$300,$A326,'Clarice'!$F$6:$F$300,"Concluído")+COUNTIFS('Luisa'!$B$6:$B$300,$A326,'Luisa'!$F$6:$F$300,"Concluído")+COUNTIFS('Lui'!$B$6:$B$300,$A326,'Lui'!$F$6:$F$300,"Concluído")+COUNTIFS('Thaís'!$B$6:$B$300,$A326,'Thaís'!$F$6:$F$300,"Concluído")+COUNTIFS('Daniel'!$B$6:$B$300,$A326,'Daniel'!$F$6:$F$300,"Concluído")+COUNTIFS('Fernando'!$B$6:$B$300,$A326,'Fernando'!$F$6:$F$300,"Concluído")+COUNTIFS('Stephanie'!$B$6:$B$300,$A326,'Stephanie'!$F$6:$F$300,"Concluído")+COUNTIFS('Fox'!$B$6:$B$300,$A326,'Fox'!$F$6:$F$300,"Concluído")+COUNTIFS('Bruna'!$B$6:$B$300,$A326,'Bruna'!$F$6:$F$300,"Concluído")+COUNTIFS('Stella'!$B$6:$B$300,$A326,'Stella'!$F$6:$F$300,"Concluído")+COUNTIFS('Igor'!$B$6:$B$300,$A326,'Igor'!$F$6:$F$300,"Concluído"))&amp;" / "&amp;(COUNTIF('Clarice'!$B$6:$B$300,$A326)+COUNTIF('Luisa'!$B$6:$B$300,$A326)+COUNTIF('Lui'!$B$6:$B$300,$A326)+COUNTIF('Thaís'!$B$6:$B$300,$A326)+COUNTIF('Daniel'!$B$6:$B$300,$A326)+COUNTIF('Fernando'!$B$6:$B$300,$A326)+COUNTIF('Stephanie'!$B$6:$B$300,$A326)+COUNTIF('Fox'!$B$6:$B$300,$A326)+COUNTIF('Bruna'!$B$6:$B$300,$A326)+COUNTIF('Stella'!$B$6:$B$300,$A326)+COUNTIF('Igor'!$B$6:$B$300,$A326)))</f>
        <v/>
      </c>
      <c r="P326" s="25">
        <f>IF($A326="","",IF(M326&lt;&gt;"",M326,IF(K326&lt;&gt;"",K326,"")))</f>
        <v/>
      </c>
      <c r="Q326" s="25">
        <f>IF($A326="","",IF(N326&lt;&gt;"",N326,IF(L326&lt;&gt;"",L326,"")))</f>
        <v/>
      </c>
      <c r="S326" s="23">
        <f t="array" ref="S326">IF($A326="","",_xlfn.TEXTJOIN(CHAR(10),TRUE,IF('Clarice'!$B$6:$B$300=$A326,"Clarice"&amp;IF('Clarice'!$E$6:$E$300="",""," : "&amp;'Clarice'!$E$6:$E$300)&amp;" ["&amp;'Clarice'!$F$6:$F$300&amp;"]",""),IF('Luisa'!$B$6:$B$300=$A326,"Luisa"&amp;IF('Luisa'!$E$6:$E$300="",""," : "&amp;'Luisa'!$E$6:$E$300)&amp;" ["&amp;'Luisa'!$F$6:$F$300&amp;"]",""),IF('Lui'!$B$6:$B$300=$A326,"Lui"&amp;IF('Lui'!$E$6:$E$300="",""," : "&amp;'Lui'!$E$6:$E$300)&amp;" ["&amp;'Lui'!$F$6:$F$300&amp;"]",""),IF('Thaís'!$B$6:$B$300=$A326,"Thaís"&amp;IF('Thaís'!$E$6:$E$300="",""," : "&amp;'Thaís'!$E$6:$E$300)&amp;" ["&amp;'Thaís'!$F$6:$F$300&amp;"]",""),IF('Daniel'!$B$6:$B$300=$A326,"Daniel"&amp;IF('Daniel'!$E$6:$E$300="",""," : "&amp;'Daniel'!$E$6:$E$300)&amp;" ["&amp;'Daniel'!$F$6:$F$300&amp;"]",""),IF('Fernando'!$B$6:$B$300=$A326,"Fernando"&amp;IF('Fernando'!$E$6:$E$300="",""," : "&amp;'Fernando'!$E$6:$E$300)&amp;" ["&amp;'Fernando'!$F$6:$F$300&amp;"]",""),IF('Stephanie'!$B$6:$B$300=$A326,"Stephanie"&amp;IF('Stephanie'!$E$6:$E$300="",""," : "&amp;'Stephanie'!$E$6:$E$300)&amp;" ["&amp;'Stephanie'!$F$6:$F$300&amp;"]",""),IF('Fox'!$B$6:$B$300=$A326,"Fox"&amp;IF('Fox'!$E$6:$E$300="",""," : "&amp;'Fox'!$E$6:$E$300)&amp;" ["&amp;'Fox'!$F$6:$F$300&amp;"]",""),IF('Bruna'!$B$6:$B$300=$A326,"Bruna"&amp;IF('Bruna'!$E$6:$E$300="",""," : "&amp;'Bruna'!$E$6:$E$300)&amp;" ["&amp;'Bruna'!$F$6:$F$300&amp;"]",""),IF('Stella'!$B$6:$B$300=$A326,"Stella"&amp;IF('Stella'!$E$6:$E$300="",""," : "&amp;'Stella'!$E$6:$E$300)&amp;" ["&amp;'Stella'!$F$6:$F$300&amp;"]",""),IF('Igor'!$B$6:$B$300=$A326,"Igor"&amp;IF('Igor'!$E$6:$E$300="",""," : "&amp;'Igor'!$E$6:$E$300)&amp;" ["&amp;'Igor'!$F$6:$F$300&amp;"]","")))</f>
        <v/>
      </c>
    </row>
    <row r="327">
      <c r="G327" s="23">
        <f>IF($A327="","",_xlfn.TEXTJOIN("; ",TRUE,IF(COUNTIF('Clarice'!$B$6:$B$300,$A327)&gt;0,"Clarice",""),IF(COUNTIF('Luisa'!$B$6:$B$300,$A327)&gt;0,"Luisa",""),IF(COUNTIF('Lui'!$B$6:$B$300,$A327)&gt;0,"Lui",""),IF(COUNTIF('Thaís'!$B$6:$B$300,$A327)&gt;0,"Thaís",""),IF(COUNTIF('Daniel'!$B$6:$B$300,$A327)&gt;0,"Daniel",""),IF(COUNTIF('Fernando'!$B$6:$B$300,$A327)&gt;0,"Fernando",""),IF(COUNTIF('Stephanie'!$B$6:$B$300,$A327)&gt;0,"Stephanie",""),IF(COUNTIF('Fox'!$B$6:$B$300,$A327)&gt;0,"Fox",""),IF(COUNTIF('Bruna'!$B$6:$B$300,$A327)&gt;0,"Bruna",""),IF(COUNTIF('Stella'!$B$6:$B$300,$A327)&gt;0,"Stella",""),IF(COUNTIF('Igor'!$B$6:$B$300,$A327)&gt;0,"Igor","")))</f>
        <v/>
      </c>
      <c r="J327" s="24">
        <f>IF(OR($A327="",(COUNTIF('Clarice'!$B$6:$B$300,$A327)+COUNTIF('Luisa'!$B$6:$B$300,$A327)+COUNTIF('Lui'!$B$6:$B$300,$A327)+COUNTIF('Thaís'!$B$6:$B$300,$A327)+COUNTIF('Daniel'!$B$6:$B$300,$A327)+COUNTIF('Fernando'!$B$6:$B$300,$A327)+COUNTIF('Stephanie'!$B$6:$B$300,$A327)+COUNTIF('Fox'!$B$6:$B$300,$A327)+COUNTIF('Bruna'!$B$6:$B$300,$A327)+COUNTIF('Stella'!$B$6:$B$300,$A327)+COUNTIF('Igor'!$B$6:$B$300,$A327))=0),"",(COUNTIFS('Clarice'!$B$6:$B$300,$A327,'Clarice'!$F$6:$F$300,"Concluído")+COUNTIFS('Luisa'!$B$6:$B$300,$A327,'Luisa'!$F$6:$F$300,"Concluído")+COUNTIFS('Lui'!$B$6:$B$300,$A327,'Lui'!$F$6:$F$300,"Concluído")+COUNTIFS('Thaís'!$B$6:$B$300,$A327,'Thaís'!$F$6:$F$300,"Concluído")+COUNTIFS('Daniel'!$B$6:$B$300,$A327,'Daniel'!$F$6:$F$300,"Concluído")+COUNTIFS('Fernando'!$B$6:$B$300,$A327,'Fernando'!$F$6:$F$300,"Concluído")+COUNTIFS('Stephanie'!$B$6:$B$300,$A327,'Stephanie'!$F$6:$F$300,"Concluído")+COUNTIFS('Fox'!$B$6:$B$300,$A327,'Fox'!$F$6:$F$300,"Concluído")+COUNTIFS('Bruna'!$B$6:$B$300,$A327,'Bruna'!$F$6:$F$300,"Concluído")+COUNTIFS('Stella'!$B$6:$B$300,$A327,'Stella'!$F$6:$F$300,"Concluído")+COUNTIFS('Igor'!$B$6:$B$300,$A327,'Igor'!$F$6:$F$300,"Concluído"))&amp;" / "&amp;(COUNTIF('Clarice'!$B$6:$B$300,$A327)+COUNTIF('Luisa'!$B$6:$B$300,$A327)+COUNTIF('Lui'!$B$6:$B$300,$A327)+COUNTIF('Thaís'!$B$6:$B$300,$A327)+COUNTIF('Daniel'!$B$6:$B$300,$A327)+COUNTIF('Fernando'!$B$6:$B$300,$A327)+COUNTIF('Stephanie'!$B$6:$B$300,$A327)+COUNTIF('Fox'!$B$6:$B$300,$A327)+COUNTIF('Bruna'!$B$6:$B$300,$A327)+COUNTIF('Stella'!$B$6:$B$300,$A327)+COUNTIF('Igor'!$B$6:$B$300,$A327)))</f>
        <v/>
      </c>
      <c r="P327" s="25">
        <f>IF($A327="","",IF(M327&lt;&gt;"",M327,IF(K327&lt;&gt;"",K327,"")))</f>
        <v/>
      </c>
      <c r="Q327" s="25">
        <f>IF($A327="","",IF(N327&lt;&gt;"",N327,IF(L327&lt;&gt;"",L327,"")))</f>
        <v/>
      </c>
      <c r="S327" s="23">
        <f t="array" ref="S327">IF($A327="","",_xlfn.TEXTJOIN(CHAR(10),TRUE,IF('Clarice'!$B$6:$B$300=$A327,"Clarice"&amp;IF('Clarice'!$E$6:$E$300="",""," : "&amp;'Clarice'!$E$6:$E$300)&amp;" ["&amp;'Clarice'!$F$6:$F$300&amp;"]",""),IF('Luisa'!$B$6:$B$300=$A327,"Luisa"&amp;IF('Luisa'!$E$6:$E$300="",""," : "&amp;'Luisa'!$E$6:$E$300)&amp;" ["&amp;'Luisa'!$F$6:$F$300&amp;"]",""),IF('Lui'!$B$6:$B$300=$A327,"Lui"&amp;IF('Lui'!$E$6:$E$300="",""," : "&amp;'Lui'!$E$6:$E$300)&amp;" ["&amp;'Lui'!$F$6:$F$300&amp;"]",""),IF('Thaís'!$B$6:$B$300=$A327,"Thaís"&amp;IF('Thaís'!$E$6:$E$300="",""," : "&amp;'Thaís'!$E$6:$E$300)&amp;" ["&amp;'Thaís'!$F$6:$F$300&amp;"]",""),IF('Daniel'!$B$6:$B$300=$A327,"Daniel"&amp;IF('Daniel'!$E$6:$E$300="",""," : "&amp;'Daniel'!$E$6:$E$300)&amp;" ["&amp;'Daniel'!$F$6:$F$300&amp;"]",""),IF('Fernando'!$B$6:$B$300=$A327,"Fernando"&amp;IF('Fernando'!$E$6:$E$300="",""," : "&amp;'Fernando'!$E$6:$E$300)&amp;" ["&amp;'Fernando'!$F$6:$F$300&amp;"]",""),IF('Stephanie'!$B$6:$B$300=$A327,"Stephanie"&amp;IF('Stephanie'!$E$6:$E$300="",""," : "&amp;'Stephanie'!$E$6:$E$300)&amp;" ["&amp;'Stephanie'!$F$6:$F$300&amp;"]",""),IF('Fox'!$B$6:$B$300=$A327,"Fox"&amp;IF('Fox'!$E$6:$E$300="",""," : "&amp;'Fox'!$E$6:$E$300)&amp;" ["&amp;'Fox'!$F$6:$F$300&amp;"]",""),IF('Bruna'!$B$6:$B$300=$A327,"Bruna"&amp;IF('Bruna'!$E$6:$E$300="",""," : "&amp;'Bruna'!$E$6:$E$300)&amp;" ["&amp;'Bruna'!$F$6:$F$300&amp;"]",""),IF('Stella'!$B$6:$B$300=$A327,"Stella"&amp;IF('Stella'!$E$6:$E$300="",""," : "&amp;'Stella'!$E$6:$E$300)&amp;" ["&amp;'Stella'!$F$6:$F$300&amp;"]",""),IF('Igor'!$B$6:$B$300=$A327,"Igor"&amp;IF('Igor'!$E$6:$E$300="",""," : "&amp;'Igor'!$E$6:$E$300)&amp;" ["&amp;'Igor'!$F$6:$F$300&amp;"]","")))</f>
        <v/>
      </c>
    </row>
    <row r="328">
      <c r="G328" s="23">
        <f>IF($A328="","",_xlfn.TEXTJOIN("; ",TRUE,IF(COUNTIF('Clarice'!$B$6:$B$300,$A328)&gt;0,"Clarice",""),IF(COUNTIF('Luisa'!$B$6:$B$300,$A328)&gt;0,"Luisa",""),IF(COUNTIF('Lui'!$B$6:$B$300,$A328)&gt;0,"Lui",""),IF(COUNTIF('Thaís'!$B$6:$B$300,$A328)&gt;0,"Thaís",""),IF(COUNTIF('Daniel'!$B$6:$B$300,$A328)&gt;0,"Daniel",""),IF(COUNTIF('Fernando'!$B$6:$B$300,$A328)&gt;0,"Fernando",""),IF(COUNTIF('Stephanie'!$B$6:$B$300,$A328)&gt;0,"Stephanie",""),IF(COUNTIF('Fox'!$B$6:$B$300,$A328)&gt;0,"Fox",""),IF(COUNTIF('Bruna'!$B$6:$B$300,$A328)&gt;0,"Bruna",""),IF(COUNTIF('Stella'!$B$6:$B$300,$A328)&gt;0,"Stella",""),IF(COUNTIF('Igor'!$B$6:$B$300,$A328)&gt;0,"Igor","")))</f>
        <v/>
      </c>
      <c r="J328" s="24">
        <f>IF(OR($A328="",(COUNTIF('Clarice'!$B$6:$B$300,$A328)+COUNTIF('Luisa'!$B$6:$B$300,$A328)+COUNTIF('Lui'!$B$6:$B$300,$A328)+COUNTIF('Thaís'!$B$6:$B$300,$A328)+COUNTIF('Daniel'!$B$6:$B$300,$A328)+COUNTIF('Fernando'!$B$6:$B$300,$A328)+COUNTIF('Stephanie'!$B$6:$B$300,$A328)+COUNTIF('Fox'!$B$6:$B$300,$A328)+COUNTIF('Bruna'!$B$6:$B$300,$A328)+COUNTIF('Stella'!$B$6:$B$300,$A328)+COUNTIF('Igor'!$B$6:$B$300,$A328))=0),"",(COUNTIFS('Clarice'!$B$6:$B$300,$A328,'Clarice'!$F$6:$F$300,"Concluído")+COUNTIFS('Luisa'!$B$6:$B$300,$A328,'Luisa'!$F$6:$F$300,"Concluído")+COUNTIFS('Lui'!$B$6:$B$300,$A328,'Lui'!$F$6:$F$300,"Concluído")+COUNTIFS('Thaís'!$B$6:$B$300,$A328,'Thaís'!$F$6:$F$300,"Concluído")+COUNTIFS('Daniel'!$B$6:$B$300,$A328,'Daniel'!$F$6:$F$300,"Concluído")+COUNTIFS('Fernando'!$B$6:$B$300,$A328,'Fernando'!$F$6:$F$300,"Concluído")+COUNTIFS('Stephanie'!$B$6:$B$300,$A328,'Stephanie'!$F$6:$F$300,"Concluído")+COUNTIFS('Fox'!$B$6:$B$300,$A328,'Fox'!$F$6:$F$300,"Concluído")+COUNTIFS('Bruna'!$B$6:$B$300,$A328,'Bruna'!$F$6:$F$300,"Concluído")+COUNTIFS('Stella'!$B$6:$B$300,$A328,'Stella'!$F$6:$F$300,"Concluído")+COUNTIFS('Igor'!$B$6:$B$300,$A328,'Igor'!$F$6:$F$300,"Concluído"))&amp;" / "&amp;(COUNTIF('Clarice'!$B$6:$B$300,$A328)+COUNTIF('Luisa'!$B$6:$B$300,$A328)+COUNTIF('Lui'!$B$6:$B$300,$A328)+COUNTIF('Thaís'!$B$6:$B$300,$A328)+COUNTIF('Daniel'!$B$6:$B$300,$A328)+COUNTIF('Fernando'!$B$6:$B$300,$A328)+COUNTIF('Stephanie'!$B$6:$B$300,$A328)+COUNTIF('Fox'!$B$6:$B$300,$A328)+COUNTIF('Bruna'!$B$6:$B$300,$A328)+COUNTIF('Stella'!$B$6:$B$300,$A328)+COUNTIF('Igor'!$B$6:$B$300,$A328)))</f>
        <v/>
      </c>
      <c r="P328" s="25">
        <f>IF($A328="","",IF(M328&lt;&gt;"",M328,IF(K328&lt;&gt;"",K328,"")))</f>
        <v/>
      </c>
      <c r="Q328" s="25">
        <f>IF($A328="","",IF(N328&lt;&gt;"",N328,IF(L328&lt;&gt;"",L328,"")))</f>
        <v/>
      </c>
      <c r="S328" s="23">
        <f t="array" ref="S328">IF($A328="","",_xlfn.TEXTJOIN(CHAR(10),TRUE,IF('Clarice'!$B$6:$B$300=$A328,"Clarice"&amp;IF('Clarice'!$E$6:$E$300="",""," : "&amp;'Clarice'!$E$6:$E$300)&amp;" ["&amp;'Clarice'!$F$6:$F$300&amp;"]",""),IF('Luisa'!$B$6:$B$300=$A328,"Luisa"&amp;IF('Luisa'!$E$6:$E$300="",""," : "&amp;'Luisa'!$E$6:$E$300)&amp;" ["&amp;'Luisa'!$F$6:$F$300&amp;"]",""),IF('Lui'!$B$6:$B$300=$A328,"Lui"&amp;IF('Lui'!$E$6:$E$300="",""," : "&amp;'Lui'!$E$6:$E$300)&amp;" ["&amp;'Lui'!$F$6:$F$300&amp;"]",""),IF('Thaís'!$B$6:$B$300=$A328,"Thaís"&amp;IF('Thaís'!$E$6:$E$300="",""," : "&amp;'Thaís'!$E$6:$E$300)&amp;" ["&amp;'Thaís'!$F$6:$F$300&amp;"]",""),IF('Daniel'!$B$6:$B$300=$A328,"Daniel"&amp;IF('Daniel'!$E$6:$E$300="",""," : "&amp;'Daniel'!$E$6:$E$300)&amp;" ["&amp;'Daniel'!$F$6:$F$300&amp;"]",""),IF('Fernando'!$B$6:$B$300=$A328,"Fernando"&amp;IF('Fernando'!$E$6:$E$300="",""," : "&amp;'Fernando'!$E$6:$E$300)&amp;" ["&amp;'Fernando'!$F$6:$F$300&amp;"]",""),IF('Stephanie'!$B$6:$B$300=$A328,"Stephanie"&amp;IF('Stephanie'!$E$6:$E$300="",""," : "&amp;'Stephanie'!$E$6:$E$300)&amp;" ["&amp;'Stephanie'!$F$6:$F$300&amp;"]",""),IF('Fox'!$B$6:$B$300=$A328,"Fox"&amp;IF('Fox'!$E$6:$E$300="",""," : "&amp;'Fox'!$E$6:$E$300)&amp;" ["&amp;'Fox'!$F$6:$F$300&amp;"]",""),IF('Bruna'!$B$6:$B$300=$A328,"Bruna"&amp;IF('Bruna'!$E$6:$E$300="",""," : "&amp;'Bruna'!$E$6:$E$300)&amp;" ["&amp;'Bruna'!$F$6:$F$300&amp;"]",""),IF('Stella'!$B$6:$B$300=$A328,"Stella"&amp;IF('Stella'!$E$6:$E$300="",""," : "&amp;'Stella'!$E$6:$E$300)&amp;" ["&amp;'Stella'!$F$6:$F$300&amp;"]",""),IF('Igor'!$B$6:$B$300=$A328,"Igor"&amp;IF('Igor'!$E$6:$E$300="",""," : "&amp;'Igor'!$E$6:$E$300)&amp;" ["&amp;'Igor'!$F$6:$F$300&amp;"]","")))</f>
        <v/>
      </c>
    </row>
    <row r="329">
      <c r="G329" s="23">
        <f>IF($A329="","",_xlfn.TEXTJOIN("; ",TRUE,IF(COUNTIF('Clarice'!$B$6:$B$300,$A329)&gt;0,"Clarice",""),IF(COUNTIF('Luisa'!$B$6:$B$300,$A329)&gt;0,"Luisa",""),IF(COUNTIF('Lui'!$B$6:$B$300,$A329)&gt;0,"Lui",""),IF(COUNTIF('Thaís'!$B$6:$B$300,$A329)&gt;0,"Thaís",""),IF(COUNTIF('Daniel'!$B$6:$B$300,$A329)&gt;0,"Daniel",""),IF(COUNTIF('Fernando'!$B$6:$B$300,$A329)&gt;0,"Fernando",""),IF(COUNTIF('Stephanie'!$B$6:$B$300,$A329)&gt;0,"Stephanie",""),IF(COUNTIF('Fox'!$B$6:$B$300,$A329)&gt;0,"Fox",""),IF(COUNTIF('Bruna'!$B$6:$B$300,$A329)&gt;0,"Bruna",""),IF(COUNTIF('Stella'!$B$6:$B$300,$A329)&gt;0,"Stella",""),IF(COUNTIF('Igor'!$B$6:$B$300,$A329)&gt;0,"Igor","")))</f>
        <v/>
      </c>
      <c r="J329" s="24">
        <f>IF(OR($A329="",(COUNTIF('Clarice'!$B$6:$B$300,$A329)+COUNTIF('Luisa'!$B$6:$B$300,$A329)+COUNTIF('Lui'!$B$6:$B$300,$A329)+COUNTIF('Thaís'!$B$6:$B$300,$A329)+COUNTIF('Daniel'!$B$6:$B$300,$A329)+COUNTIF('Fernando'!$B$6:$B$300,$A329)+COUNTIF('Stephanie'!$B$6:$B$300,$A329)+COUNTIF('Fox'!$B$6:$B$300,$A329)+COUNTIF('Bruna'!$B$6:$B$300,$A329)+COUNTIF('Stella'!$B$6:$B$300,$A329)+COUNTIF('Igor'!$B$6:$B$300,$A329))=0),"",(COUNTIFS('Clarice'!$B$6:$B$300,$A329,'Clarice'!$F$6:$F$300,"Concluído")+COUNTIFS('Luisa'!$B$6:$B$300,$A329,'Luisa'!$F$6:$F$300,"Concluído")+COUNTIFS('Lui'!$B$6:$B$300,$A329,'Lui'!$F$6:$F$300,"Concluído")+COUNTIFS('Thaís'!$B$6:$B$300,$A329,'Thaís'!$F$6:$F$300,"Concluído")+COUNTIFS('Daniel'!$B$6:$B$300,$A329,'Daniel'!$F$6:$F$300,"Concluído")+COUNTIFS('Fernando'!$B$6:$B$300,$A329,'Fernando'!$F$6:$F$300,"Concluído")+COUNTIFS('Stephanie'!$B$6:$B$300,$A329,'Stephanie'!$F$6:$F$300,"Concluído")+COUNTIFS('Fox'!$B$6:$B$300,$A329,'Fox'!$F$6:$F$300,"Concluído")+COUNTIFS('Bruna'!$B$6:$B$300,$A329,'Bruna'!$F$6:$F$300,"Concluído")+COUNTIFS('Stella'!$B$6:$B$300,$A329,'Stella'!$F$6:$F$300,"Concluído")+COUNTIFS('Igor'!$B$6:$B$300,$A329,'Igor'!$F$6:$F$300,"Concluído"))&amp;" / "&amp;(COUNTIF('Clarice'!$B$6:$B$300,$A329)+COUNTIF('Luisa'!$B$6:$B$300,$A329)+COUNTIF('Lui'!$B$6:$B$300,$A329)+COUNTIF('Thaís'!$B$6:$B$300,$A329)+COUNTIF('Daniel'!$B$6:$B$300,$A329)+COUNTIF('Fernando'!$B$6:$B$300,$A329)+COUNTIF('Stephanie'!$B$6:$B$300,$A329)+COUNTIF('Fox'!$B$6:$B$300,$A329)+COUNTIF('Bruna'!$B$6:$B$300,$A329)+COUNTIF('Stella'!$B$6:$B$300,$A329)+COUNTIF('Igor'!$B$6:$B$300,$A329)))</f>
        <v/>
      </c>
      <c r="P329" s="25">
        <f>IF($A329="","",IF(M329&lt;&gt;"",M329,IF(K329&lt;&gt;"",K329,"")))</f>
        <v/>
      </c>
      <c r="Q329" s="25">
        <f>IF($A329="","",IF(N329&lt;&gt;"",N329,IF(L329&lt;&gt;"",L329,"")))</f>
        <v/>
      </c>
      <c r="S329" s="23">
        <f t="array" ref="S329">IF($A329="","",_xlfn.TEXTJOIN(CHAR(10),TRUE,IF('Clarice'!$B$6:$B$300=$A329,"Clarice"&amp;IF('Clarice'!$E$6:$E$300="",""," : "&amp;'Clarice'!$E$6:$E$300)&amp;" ["&amp;'Clarice'!$F$6:$F$300&amp;"]",""),IF('Luisa'!$B$6:$B$300=$A329,"Luisa"&amp;IF('Luisa'!$E$6:$E$300="",""," : "&amp;'Luisa'!$E$6:$E$300)&amp;" ["&amp;'Luisa'!$F$6:$F$300&amp;"]",""),IF('Lui'!$B$6:$B$300=$A329,"Lui"&amp;IF('Lui'!$E$6:$E$300="",""," : "&amp;'Lui'!$E$6:$E$300)&amp;" ["&amp;'Lui'!$F$6:$F$300&amp;"]",""),IF('Thaís'!$B$6:$B$300=$A329,"Thaís"&amp;IF('Thaís'!$E$6:$E$300="",""," : "&amp;'Thaís'!$E$6:$E$300)&amp;" ["&amp;'Thaís'!$F$6:$F$300&amp;"]",""),IF('Daniel'!$B$6:$B$300=$A329,"Daniel"&amp;IF('Daniel'!$E$6:$E$300="",""," : "&amp;'Daniel'!$E$6:$E$300)&amp;" ["&amp;'Daniel'!$F$6:$F$300&amp;"]",""),IF('Fernando'!$B$6:$B$300=$A329,"Fernando"&amp;IF('Fernando'!$E$6:$E$300="",""," : "&amp;'Fernando'!$E$6:$E$300)&amp;" ["&amp;'Fernando'!$F$6:$F$300&amp;"]",""),IF('Stephanie'!$B$6:$B$300=$A329,"Stephanie"&amp;IF('Stephanie'!$E$6:$E$300="",""," : "&amp;'Stephanie'!$E$6:$E$300)&amp;" ["&amp;'Stephanie'!$F$6:$F$300&amp;"]",""),IF('Fox'!$B$6:$B$300=$A329,"Fox"&amp;IF('Fox'!$E$6:$E$300="",""," : "&amp;'Fox'!$E$6:$E$300)&amp;" ["&amp;'Fox'!$F$6:$F$300&amp;"]",""),IF('Bruna'!$B$6:$B$300=$A329,"Bruna"&amp;IF('Bruna'!$E$6:$E$300="",""," : "&amp;'Bruna'!$E$6:$E$300)&amp;" ["&amp;'Bruna'!$F$6:$F$300&amp;"]",""),IF('Stella'!$B$6:$B$300=$A329,"Stella"&amp;IF('Stella'!$E$6:$E$300="",""," : "&amp;'Stella'!$E$6:$E$300)&amp;" ["&amp;'Stella'!$F$6:$F$300&amp;"]",""),IF('Igor'!$B$6:$B$300=$A329,"Igor"&amp;IF('Igor'!$E$6:$E$300="",""," : "&amp;'Igor'!$E$6:$E$300)&amp;" ["&amp;'Igor'!$F$6:$F$300&amp;"]","")))</f>
        <v/>
      </c>
    </row>
    <row r="330">
      <c r="G330" s="23">
        <f>IF($A330="","",_xlfn.TEXTJOIN("; ",TRUE,IF(COUNTIF('Clarice'!$B$6:$B$300,$A330)&gt;0,"Clarice",""),IF(COUNTIF('Luisa'!$B$6:$B$300,$A330)&gt;0,"Luisa",""),IF(COUNTIF('Lui'!$B$6:$B$300,$A330)&gt;0,"Lui",""),IF(COUNTIF('Thaís'!$B$6:$B$300,$A330)&gt;0,"Thaís",""),IF(COUNTIF('Daniel'!$B$6:$B$300,$A330)&gt;0,"Daniel",""),IF(COUNTIF('Fernando'!$B$6:$B$300,$A330)&gt;0,"Fernando",""),IF(COUNTIF('Stephanie'!$B$6:$B$300,$A330)&gt;0,"Stephanie",""),IF(COUNTIF('Fox'!$B$6:$B$300,$A330)&gt;0,"Fox",""),IF(COUNTIF('Bruna'!$B$6:$B$300,$A330)&gt;0,"Bruna",""),IF(COUNTIF('Stella'!$B$6:$B$300,$A330)&gt;0,"Stella",""),IF(COUNTIF('Igor'!$B$6:$B$300,$A330)&gt;0,"Igor","")))</f>
        <v/>
      </c>
      <c r="J330" s="24">
        <f>IF(OR($A330="",(COUNTIF('Clarice'!$B$6:$B$300,$A330)+COUNTIF('Luisa'!$B$6:$B$300,$A330)+COUNTIF('Lui'!$B$6:$B$300,$A330)+COUNTIF('Thaís'!$B$6:$B$300,$A330)+COUNTIF('Daniel'!$B$6:$B$300,$A330)+COUNTIF('Fernando'!$B$6:$B$300,$A330)+COUNTIF('Stephanie'!$B$6:$B$300,$A330)+COUNTIF('Fox'!$B$6:$B$300,$A330)+COUNTIF('Bruna'!$B$6:$B$300,$A330)+COUNTIF('Stella'!$B$6:$B$300,$A330)+COUNTIF('Igor'!$B$6:$B$300,$A330))=0),"",(COUNTIFS('Clarice'!$B$6:$B$300,$A330,'Clarice'!$F$6:$F$300,"Concluído")+COUNTIFS('Luisa'!$B$6:$B$300,$A330,'Luisa'!$F$6:$F$300,"Concluído")+COUNTIFS('Lui'!$B$6:$B$300,$A330,'Lui'!$F$6:$F$300,"Concluído")+COUNTIFS('Thaís'!$B$6:$B$300,$A330,'Thaís'!$F$6:$F$300,"Concluído")+COUNTIFS('Daniel'!$B$6:$B$300,$A330,'Daniel'!$F$6:$F$300,"Concluído")+COUNTIFS('Fernando'!$B$6:$B$300,$A330,'Fernando'!$F$6:$F$300,"Concluído")+COUNTIFS('Stephanie'!$B$6:$B$300,$A330,'Stephanie'!$F$6:$F$300,"Concluído")+COUNTIFS('Fox'!$B$6:$B$300,$A330,'Fox'!$F$6:$F$300,"Concluído")+COUNTIFS('Bruna'!$B$6:$B$300,$A330,'Bruna'!$F$6:$F$300,"Concluído")+COUNTIFS('Stella'!$B$6:$B$300,$A330,'Stella'!$F$6:$F$300,"Concluído")+COUNTIFS('Igor'!$B$6:$B$300,$A330,'Igor'!$F$6:$F$300,"Concluído"))&amp;" / "&amp;(COUNTIF('Clarice'!$B$6:$B$300,$A330)+COUNTIF('Luisa'!$B$6:$B$300,$A330)+COUNTIF('Lui'!$B$6:$B$300,$A330)+COUNTIF('Thaís'!$B$6:$B$300,$A330)+COUNTIF('Daniel'!$B$6:$B$300,$A330)+COUNTIF('Fernando'!$B$6:$B$300,$A330)+COUNTIF('Stephanie'!$B$6:$B$300,$A330)+COUNTIF('Fox'!$B$6:$B$300,$A330)+COUNTIF('Bruna'!$B$6:$B$300,$A330)+COUNTIF('Stella'!$B$6:$B$300,$A330)+COUNTIF('Igor'!$B$6:$B$300,$A330)))</f>
        <v/>
      </c>
      <c r="P330" s="25">
        <f>IF($A330="","",IF(M330&lt;&gt;"",M330,IF(K330&lt;&gt;"",K330,"")))</f>
        <v/>
      </c>
      <c r="Q330" s="25">
        <f>IF($A330="","",IF(N330&lt;&gt;"",N330,IF(L330&lt;&gt;"",L330,"")))</f>
        <v/>
      </c>
      <c r="S330" s="23">
        <f t="array" ref="S330">IF($A330="","",_xlfn.TEXTJOIN(CHAR(10),TRUE,IF('Clarice'!$B$6:$B$300=$A330,"Clarice"&amp;IF('Clarice'!$E$6:$E$300="",""," : "&amp;'Clarice'!$E$6:$E$300)&amp;" ["&amp;'Clarice'!$F$6:$F$300&amp;"]",""),IF('Luisa'!$B$6:$B$300=$A330,"Luisa"&amp;IF('Luisa'!$E$6:$E$300="",""," : "&amp;'Luisa'!$E$6:$E$300)&amp;" ["&amp;'Luisa'!$F$6:$F$300&amp;"]",""),IF('Lui'!$B$6:$B$300=$A330,"Lui"&amp;IF('Lui'!$E$6:$E$300="",""," : "&amp;'Lui'!$E$6:$E$300)&amp;" ["&amp;'Lui'!$F$6:$F$300&amp;"]",""),IF('Thaís'!$B$6:$B$300=$A330,"Thaís"&amp;IF('Thaís'!$E$6:$E$300="",""," : "&amp;'Thaís'!$E$6:$E$300)&amp;" ["&amp;'Thaís'!$F$6:$F$300&amp;"]",""),IF('Daniel'!$B$6:$B$300=$A330,"Daniel"&amp;IF('Daniel'!$E$6:$E$300="",""," : "&amp;'Daniel'!$E$6:$E$300)&amp;" ["&amp;'Daniel'!$F$6:$F$300&amp;"]",""),IF('Fernando'!$B$6:$B$300=$A330,"Fernando"&amp;IF('Fernando'!$E$6:$E$300="",""," : "&amp;'Fernando'!$E$6:$E$300)&amp;" ["&amp;'Fernando'!$F$6:$F$300&amp;"]",""),IF('Stephanie'!$B$6:$B$300=$A330,"Stephanie"&amp;IF('Stephanie'!$E$6:$E$300="",""," : "&amp;'Stephanie'!$E$6:$E$300)&amp;" ["&amp;'Stephanie'!$F$6:$F$300&amp;"]",""),IF('Fox'!$B$6:$B$300=$A330,"Fox"&amp;IF('Fox'!$E$6:$E$300="",""," : "&amp;'Fox'!$E$6:$E$300)&amp;" ["&amp;'Fox'!$F$6:$F$300&amp;"]",""),IF('Bruna'!$B$6:$B$300=$A330,"Bruna"&amp;IF('Bruna'!$E$6:$E$300="",""," : "&amp;'Bruna'!$E$6:$E$300)&amp;" ["&amp;'Bruna'!$F$6:$F$300&amp;"]",""),IF('Stella'!$B$6:$B$300=$A330,"Stella"&amp;IF('Stella'!$E$6:$E$300="",""," : "&amp;'Stella'!$E$6:$E$300)&amp;" ["&amp;'Stella'!$F$6:$F$300&amp;"]",""),IF('Igor'!$B$6:$B$300=$A330,"Igor"&amp;IF('Igor'!$E$6:$E$300="",""," : "&amp;'Igor'!$E$6:$E$300)&amp;" ["&amp;'Igor'!$F$6:$F$300&amp;"]","")))</f>
        <v/>
      </c>
    </row>
    <row r="331">
      <c r="G331" s="23">
        <f>IF($A331="","",_xlfn.TEXTJOIN("; ",TRUE,IF(COUNTIF('Clarice'!$B$6:$B$300,$A331)&gt;0,"Clarice",""),IF(COUNTIF('Luisa'!$B$6:$B$300,$A331)&gt;0,"Luisa",""),IF(COUNTIF('Lui'!$B$6:$B$300,$A331)&gt;0,"Lui",""),IF(COUNTIF('Thaís'!$B$6:$B$300,$A331)&gt;0,"Thaís",""),IF(COUNTIF('Daniel'!$B$6:$B$300,$A331)&gt;0,"Daniel",""),IF(COUNTIF('Fernando'!$B$6:$B$300,$A331)&gt;0,"Fernando",""),IF(COUNTIF('Stephanie'!$B$6:$B$300,$A331)&gt;0,"Stephanie",""),IF(COUNTIF('Fox'!$B$6:$B$300,$A331)&gt;0,"Fox",""),IF(COUNTIF('Bruna'!$B$6:$B$300,$A331)&gt;0,"Bruna",""),IF(COUNTIF('Stella'!$B$6:$B$300,$A331)&gt;0,"Stella",""),IF(COUNTIF('Igor'!$B$6:$B$300,$A331)&gt;0,"Igor","")))</f>
        <v/>
      </c>
      <c r="J331" s="24">
        <f>IF(OR($A331="",(COUNTIF('Clarice'!$B$6:$B$300,$A331)+COUNTIF('Luisa'!$B$6:$B$300,$A331)+COUNTIF('Lui'!$B$6:$B$300,$A331)+COUNTIF('Thaís'!$B$6:$B$300,$A331)+COUNTIF('Daniel'!$B$6:$B$300,$A331)+COUNTIF('Fernando'!$B$6:$B$300,$A331)+COUNTIF('Stephanie'!$B$6:$B$300,$A331)+COUNTIF('Fox'!$B$6:$B$300,$A331)+COUNTIF('Bruna'!$B$6:$B$300,$A331)+COUNTIF('Stella'!$B$6:$B$300,$A331)+COUNTIF('Igor'!$B$6:$B$300,$A331))=0),"",(COUNTIFS('Clarice'!$B$6:$B$300,$A331,'Clarice'!$F$6:$F$300,"Concluído")+COUNTIFS('Luisa'!$B$6:$B$300,$A331,'Luisa'!$F$6:$F$300,"Concluído")+COUNTIFS('Lui'!$B$6:$B$300,$A331,'Lui'!$F$6:$F$300,"Concluído")+COUNTIFS('Thaís'!$B$6:$B$300,$A331,'Thaís'!$F$6:$F$300,"Concluído")+COUNTIFS('Daniel'!$B$6:$B$300,$A331,'Daniel'!$F$6:$F$300,"Concluído")+COUNTIFS('Fernando'!$B$6:$B$300,$A331,'Fernando'!$F$6:$F$300,"Concluído")+COUNTIFS('Stephanie'!$B$6:$B$300,$A331,'Stephanie'!$F$6:$F$300,"Concluído")+COUNTIFS('Fox'!$B$6:$B$300,$A331,'Fox'!$F$6:$F$300,"Concluído")+COUNTIFS('Bruna'!$B$6:$B$300,$A331,'Bruna'!$F$6:$F$300,"Concluído")+COUNTIFS('Stella'!$B$6:$B$300,$A331,'Stella'!$F$6:$F$300,"Concluído")+COUNTIFS('Igor'!$B$6:$B$300,$A331,'Igor'!$F$6:$F$300,"Concluído"))&amp;" / "&amp;(COUNTIF('Clarice'!$B$6:$B$300,$A331)+COUNTIF('Luisa'!$B$6:$B$300,$A331)+COUNTIF('Lui'!$B$6:$B$300,$A331)+COUNTIF('Thaís'!$B$6:$B$300,$A331)+COUNTIF('Daniel'!$B$6:$B$300,$A331)+COUNTIF('Fernando'!$B$6:$B$300,$A331)+COUNTIF('Stephanie'!$B$6:$B$300,$A331)+COUNTIF('Fox'!$B$6:$B$300,$A331)+COUNTIF('Bruna'!$B$6:$B$300,$A331)+COUNTIF('Stella'!$B$6:$B$300,$A331)+COUNTIF('Igor'!$B$6:$B$300,$A331)))</f>
        <v/>
      </c>
      <c r="P331" s="25">
        <f>IF($A331="","",IF(M331&lt;&gt;"",M331,IF(K331&lt;&gt;"",K331,"")))</f>
        <v/>
      </c>
      <c r="Q331" s="25">
        <f>IF($A331="","",IF(N331&lt;&gt;"",N331,IF(L331&lt;&gt;"",L331,"")))</f>
        <v/>
      </c>
      <c r="S331" s="23">
        <f t="array" ref="S331">IF($A331="","",_xlfn.TEXTJOIN(CHAR(10),TRUE,IF('Clarice'!$B$6:$B$300=$A331,"Clarice"&amp;IF('Clarice'!$E$6:$E$300="",""," : "&amp;'Clarice'!$E$6:$E$300)&amp;" ["&amp;'Clarice'!$F$6:$F$300&amp;"]",""),IF('Luisa'!$B$6:$B$300=$A331,"Luisa"&amp;IF('Luisa'!$E$6:$E$300="",""," : "&amp;'Luisa'!$E$6:$E$300)&amp;" ["&amp;'Luisa'!$F$6:$F$300&amp;"]",""),IF('Lui'!$B$6:$B$300=$A331,"Lui"&amp;IF('Lui'!$E$6:$E$300="",""," : "&amp;'Lui'!$E$6:$E$300)&amp;" ["&amp;'Lui'!$F$6:$F$300&amp;"]",""),IF('Thaís'!$B$6:$B$300=$A331,"Thaís"&amp;IF('Thaís'!$E$6:$E$300="",""," : "&amp;'Thaís'!$E$6:$E$300)&amp;" ["&amp;'Thaís'!$F$6:$F$300&amp;"]",""),IF('Daniel'!$B$6:$B$300=$A331,"Daniel"&amp;IF('Daniel'!$E$6:$E$300="",""," : "&amp;'Daniel'!$E$6:$E$300)&amp;" ["&amp;'Daniel'!$F$6:$F$300&amp;"]",""),IF('Fernando'!$B$6:$B$300=$A331,"Fernando"&amp;IF('Fernando'!$E$6:$E$300="",""," : "&amp;'Fernando'!$E$6:$E$300)&amp;" ["&amp;'Fernando'!$F$6:$F$300&amp;"]",""),IF('Stephanie'!$B$6:$B$300=$A331,"Stephanie"&amp;IF('Stephanie'!$E$6:$E$300="",""," : "&amp;'Stephanie'!$E$6:$E$300)&amp;" ["&amp;'Stephanie'!$F$6:$F$300&amp;"]",""),IF('Fox'!$B$6:$B$300=$A331,"Fox"&amp;IF('Fox'!$E$6:$E$300="",""," : "&amp;'Fox'!$E$6:$E$300)&amp;" ["&amp;'Fox'!$F$6:$F$300&amp;"]",""),IF('Bruna'!$B$6:$B$300=$A331,"Bruna"&amp;IF('Bruna'!$E$6:$E$300="",""," : "&amp;'Bruna'!$E$6:$E$300)&amp;" ["&amp;'Bruna'!$F$6:$F$300&amp;"]",""),IF('Stella'!$B$6:$B$300=$A331,"Stella"&amp;IF('Stella'!$E$6:$E$300="",""," : "&amp;'Stella'!$E$6:$E$300)&amp;" ["&amp;'Stella'!$F$6:$F$300&amp;"]",""),IF('Igor'!$B$6:$B$300=$A331,"Igor"&amp;IF('Igor'!$E$6:$E$300="",""," : "&amp;'Igor'!$E$6:$E$300)&amp;" ["&amp;'Igor'!$F$6:$F$300&amp;"]","")))</f>
        <v/>
      </c>
    </row>
    <row r="332">
      <c r="G332" s="23">
        <f>IF($A332="","",_xlfn.TEXTJOIN("; ",TRUE,IF(COUNTIF('Clarice'!$B$6:$B$300,$A332)&gt;0,"Clarice",""),IF(COUNTIF('Luisa'!$B$6:$B$300,$A332)&gt;0,"Luisa",""),IF(COUNTIF('Lui'!$B$6:$B$300,$A332)&gt;0,"Lui",""),IF(COUNTIF('Thaís'!$B$6:$B$300,$A332)&gt;0,"Thaís",""),IF(COUNTIF('Daniel'!$B$6:$B$300,$A332)&gt;0,"Daniel",""),IF(COUNTIF('Fernando'!$B$6:$B$300,$A332)&gt;0,"Fernando",""),IF(COUNTIF('Stephanie'!$B$6:$B$300,$A332)&gt;0,"Stephanie",""),IF(COUNTIF('Fox'!$B$6:$B$300,$A332)&gt;0,"Fox",""),IF(COUNTIF('Bruna'!$B$6:$B$300,$A332)&gt;0,"Bruna",""),IF(COUNTIF('Stella'!$B$6:$B$300,$A332)&gt;0,"Stella",""),IF(COUNTIF('Igor'!$B$6:$B$300,$A332)&gt;0,"Igor","")))</f>
        <v/>
      </c>
      <c r="J332" s="24">
        <f>IF(OR($A332="",(COUNTIF('Clarice'!$B$6:$B$300,$A332)+COUNTIF('Luisa'!$B$6:$B$300,$A332)+COUNTIF('Lui'!$B$6:$B$300,$A332)+COUNTIF('Thaís'!$B$6:$B$300,$A332)+COUNTIF('Daniel'!$B$6:$B$300,$A332)+COUNTIF('Fernando'!$B$6:$B$300,$A332)+COUNTIF('Stephanie'!$B$6:$B$300,$A332)+COUNTIF('Fox'!$B$6:$B$300,$A332)+COUNTIF('Bruna'!$B$6:$B$300,$A332)+COUNTIF('Stella'!$B$6:$B$300,$A332)+COUNTIF('Igor'!$B$6:$B$300,$A332))=0),"",(COUNTIFS('Clarice'!$B$6:$B$300,$A332,'Clarice'!$F$6:$F$300,"Concluído")+COUNTIFS('Luisa'!$B$6:$B$300,$A332,'Luisa'!$F$6:$F$300,"Concluído")+COUNTIFS('Lui'!$B$6:$B$300,$A332,'Lui'!$F$6:$F$300,"Concluído")+COUNTIFS('Thaís'!$B$6:$B$300,$A332,'Thaís'!$F$6:$F$300,"Concluído")+COUNTIFS('Daniel'!$B$6:$B$300,$A332,'Daniel'!$F$6:$F$300,"Concluído")+COUNTIFS('Fernando'!$B$6:$B$300,$A332,'Fernando'!$F$6:$F$300,"Concluído")+COUNTIFS('Stephanie'!$B$6:$B$300,$A332,'Stephanie'!$F$6:$F$300,"Concluído")+COUNTIFS('Fox'!$B$6:$B$300,$A332,'Fox'!$F$6:$F$300,"Concluído")+COUNTIFS('Bruna'!$B$6:$B$300,$A332,'Bruna'!$F$6:$F$300,"Concluído")+COUNTIFS('Stella'!$B$6:$B$300,$A332,'Stella'!$F$6:$F$300,"Concluído")+COUNTIFS('Igor'!$B$6:$B$300,$A332,'Igor'!$F$6:$F$300,"Concluído"))&amp;" / "&amp;(COUNTIF('Clarice'!$B$6:$B$300,$A332)+COUNTIF('Luisa'!$B$6:$B$300,$A332)+COUNTIF('Lui'!$B$6:$B$300,$A332)+COUNTIF('Thaís'!$B$6:$B$300,$A332)+COUNTIF('Daniel'!$B$6:$B$300,$A332)+COUNTIF('Fernando'!$B$6:$B$300,$A332)+COUNTIF('Stephanie'!$B$6:$B$300,$A332)+COUNTIF('Fox'!$B$6:$B$300,$A332)+COUNTIF('Bruna'!$B$6:$B$300,$A332)+COUNTIF('Stella'!$B$6:$B$300,$A332)+COUNTIF('Igor'!$B$6:$B$300,$A332)))</f>
        <v/>
      </c>
      <c r="P332" s="25">
        <f>IF($A332="","",IF(M332&lt;&gt;"",M332,IF(K332&lt;&gt;"",K332,"")))</f>
        <v/>
      </c>
      <c r="Q332" s="25">
        <f>IF($A332="","",IF(N332&lt;&gt;"",N332,IF(L332&lt;&gt;"",L332,"")))</f>
        <v/>
      </c>
      <c r="S332" s="23">
        <f t="array" ref="S332">IF($A332="","",_xlfn.TEXTJOIN(CHAR(10),TRUE,IF('Clarice'!$B$6:$B$300=$A332,"Clarice"&amp;IF('Clarice'!$E$6:$E$300="",""," : "&amp;'Clarice'!$E$6:$E$300)&amp;" ["&amp;'Clarice'!$F$6:$F$300&amp;"]",""),IF('Luisa'!$B$6:$B$300=$A332,"Luisa"&amp;IF('Luisa'!$E$6:$E$300="",""," : "&amp;'Luisa'!$E$6:$E$300)&amp;" ["&amp;'Luisa'!$F$6:$F$300&amp;"]",""),IF('Lui'!$B$6:$B$300=$A332,"Lui"&amp;IF('Lui'!$E$6:$E$300="",""," : "&amp;'Lui'!$E$6:$E$300)&amp;" ["&amp;'Lui'!$F$6:$F$300&amp;"]",""),IF('Thaís'!$B$6:$B$300=$A332,"Thaís"&amp;IF('Thaís'!$E$6:$E$300="",""," : "&amp;'Thaís'!$E$6:$E$300)&amp;" ["&amp;'Thaís'!$F$6:$F$300&amp;"]",""),IF('Daniel'!$B$6:$B$300=$A332,"Daniel"&amp;IF('Daniel'!$E$6:$E$300="",""," : "&amp;'Daniel'!$E$6:$E$300)&amp;" ["&amp;'Daniel'!$F$6:$F$300&amp;"]",""),IF('Fernando'!$B$6:$B$300=$A332,"Fernando"&amp;IF('Fernando'!$E$6:$E$300="",""," : "&amp;'Fernando'!$E$6:$E$300)&amp;" ["&amp;'Fernando'!$F$6:$F$300&amp;"]",""),IF('Stephanie'!$B$6:$B$300=$A332,"Stephanie"&amp;IF('Stephanie'!$E$6:$E$300="",""," : "&amp;'Stephanie'!$E$6:$E$300)&amp;" ["&amp;'Stephanie'!$F$6:$F$300&amp;"]",""),IF('Fox'!$B$6:$B$300=$A332,"Fox"&amp;IF('Fox'!$E$6:$E$300="",""," : "&amp;'Fox'!$E$6:$E$300)&amp;" ["&amp;'Fox'!$F$6:$F$300&amp;"]",""),IF('Bruna'!$B$6:$B$300=$A332,"Bruna"&amp;IF('Bruna'!$E$6:$E$300="",""," : "&amp;'Bruna'!$E$6:$E$300)&amp;" ["&amp;'Bruna'!$F$6:$F$300&amp;"]",""),IF('Stella'!$B$6:$B$300=$A332,"Stella"&amp;IF('Stella'!$E$6:$E$300="",""," : "&amp;'Stella'!$E$6:$E$300)&amp;" ["&amp;'Stella'!$F$6:$F$300&amp;"]",""),IF('Igor'!$B$6:$B$300=$A332,"Igor"&amp;IF('Igor'!$E$6:$E$300="",""," : "&amp;'Igor'!$E$6:$E$300)&amp;" ["&amp;'Igor'!$F$6:$F$300&amp;"]","")))</f>
        <v/>
      </c>
    </row>
    <row r="333">
      <c r="G333" s="23">
        <f>IF($A333="","",_xlfn.TEXTJOIN("; ",TRUE,IF(COUNTIF('Clarice'!$B$6:$B$300,$A333)&gt;0,"Clarice",""),IF(COUNTIF('Luisa'!$B$6:$B$300,$A333)&gt;0,"Luisa",""),IF(COUNTIF('Lui'!$B$6:$B$300,$A333)&gt;0,"Lui",""),IF(COUNTIF('Thaís'!$B$6:$B$300,$A333)&gt;0,"Thaís",""),IF(COUNTIF('Daniel'!$B$6:$B$300,$A333)&gt;0,"Daniel",""),IF(COUNTIF('Fernando'!$B$6:$B$300,$A333)&gt;0,"Fernando",""),IF(COUNTIF('Stephanie'!$B$6:$B$300,$A333)&gt;0,"Stephanie",""),IF(COUNTIF('Fox'!$B$6:$B$300,$A333)&gt;0,"Fox",""),IF(COUNTIF('Bruna'!$B$6:$B$300,$A333)&gt;0,"Bruna",""),IF(COUNTIF('Stella'!$B$6:$B$300,$A333)&gt;0,"Stella",""),IF(COUNTIF('Igor'!$B$6:$B$300,$A333)&gt;0,"Igor","")))</f>
        <v/>
      </c>
      <c r="J333" s="24">
        <f>IF(OR($A333="",(COUNTIF('Clarice'!$B$6:$B$300,$A333)+COUNTIF('Luisa'!$B$6:$B$300,$A333)+COUNTIF('Lui'!$B$6:$B$300,$A333)+COUNTIF('Thaís'!$B$6:$B$300,$A333)+COUNTIF('Daniel'!$B$6:$B$300,$A333)+COUNTIF('Fernando'!$B$6:$B$300,$A333)+COUNTIF('Stephanie'!$B$6:$B$300,$A333)+COUNTIF('Fox'!$B$6:$B$300,$A333)+COUNTIF('Bruna'!$B$6:$B$300,$A333)+COUNTIF('Stella'!$B$6:$B$300,$A333)+COUNTIF('Igor'!$B$6:$B$300,$A333))=0),"",(COUNTIFS('Clarice'!$B$6:$B$300,$A333,'Clarice'!$F$6:$F$300,"Concluído")+COUNTIFS('Luisa'!$B$6:$B$300,$A333,'Luisa'!$F$6:$F$300,"Concluído")+COUNTIFS('Lui'!$B$6:$B$300,$A333,'Lui'!$F$6:$F$300,"Concluído")+COUNTIFS('Thaís'!$B$6:$B$300,$A333,'Thaís'!$F$6:$F$300,"Concluído")+COUNTIFS('Daniel'!$B$6:$B$300,$A333,'Daniel'!$F$6:$F$300,"Concluído")+COUNTIFS('Fernando'!$B$6:$B$300,$A333,'Fernando'!$F$6:$F$300,"Concluído")+COUNTIFS('Stephanie'!$B$6:$B$300,$A333,'Stephanie'!$F$6:$F$300,"Concluído")+COUNTIFS('Fox'!$B$6:$B$300,$A333,'Fox'!$F$6:$F$300,"Concluído")+COUNTIFS('Bruna'!$B$6:$B$300,$A333,'Bruna'!$F$6:$F$300,"Concluído")+COUNTIFS('Stella'!$B$6:$B$300,$A333,'Stella'!$F$6:$F$300,"Concluído")+COUNTIFS('Igor'!$B$6:$B$300,$A333,'Igor'!$F$6:$F$300,"Concluído"))&amp;" / "&amp;(COUNTIF('Clarice'!$B$6:$B$300,$A333)+COUNTIF('Luisa'!$B$6:$B$300,$A333)+COUNTIF('Lui'!$B$6:$B$300,$A333)+COUNTIF('Thaís'!$B$6:$B$300,$A333)+COUNTIF('Daniel'!$B$6:$B$300,$A333)+COUNTIF('Fernando'!$B$6:$B$300,$A333)+COUNTIF('Stephanie'!$B$6:$B$300,$A333)+COUNTIF('Fox'!$B$6:$B$300,$A333)+COUNTIF('Bruna'!$B$6:$B$300,$A333)+COUNTIF('Stella'!$B$6:$B$300,$A333)+COUNTIF('Igor'!$B$6:$B$300,$A333)))</f>
        <v/>
      </c>
      <c r="P333" s="25">
        <f>IF($A333="","",IF(M333&lt;&gt;"",M333,IF(K333&lt;&gt;"",K333,"")))</f>
        <v/>
      </c>
      <c r="Q333" s="25">
        <f>IF($A333="","",IF(N333&lt;&gt;"",N333,IF(L333&lt;&gt;"",L333,"")))</f>
        <v/>
      </c>
      <c r="S333" s="23">
        <f t="array" ref="S333">IF($A333="","",_xlfn.TEXTJOIN(CHAR(10),TRUE,IF('Clarice'!$B$6:$B$300=$A333,"Clarice"&amp;IF('Clarice'!$E$6:$E$300="",""," : "&amp;'Clarice'!$E$6:$E$300)&amp;" ["&amp;'Clarice'!$F$6:$F$300&amp;"]",""),IF('Luisa'!$B$6:$B$300=$A333,"Luisa"&amp;IF('Luisa'!$E$6:$E$300="",""," : "&amp;'Luisa'!$E$6:$E$300)&amp;" ["&amp;'Luisa'!$F$6:$F$300&amp;"]",""),IF('Lui'!$B$6:$B$300=$A333,"Lui"&amp;IF('Lui'!$E$6:$E$300="",""," : "&amp;'Lui'!$E$6:$E$300)&amp;" ["&amp;'Lui'!$F$6:$F$300&amp;"]",""),IF('Thaís'!$B$6:$B$300=$A333,"Thaís"&amp;IF('Thaís'!$E$6:$E$300="",""," : "&amp;'Thaís'!$E$6:$E$300)&amp;" ["&amp;'Thaís'!$F$6:$F$300&amp;"]",""),IF('Daniel'!$B$6:$B$300=$A333,"Daniel"&amp;IF('Daniel'!$E$6:$E$300="",""," : "&amp;'Daniel'!$E$6:$E$300)&amp;" ["&amp;'Daniel'!$F$6:$F$300&amp;"]",""),IF('Fernando'!$B$6:$B$300=$A333,"Fernando"&amp;IF('Fernando'!$E$6:$E$300="",""," : "&amp;'Fernando'!$E$6:$E$300)&amp;" ["&amp;'Fernando'!$F$6:$F$300&amp;"]",""),IF('Stephanie'!$B$6:$B$300=$A333,"Stephanie"&amp;IF('Stephanie'!$E$6:$E$300="",""," : "&amp;'Stephanie'!$E$6:$E$300)&amp;" ["&amp;'Stephanie'!$F$6:$F$300&amp;"]",""),IF('Fox'!$B$6:$B$300=$A333,"Fox"&amp;IF('Fox'!$E$6:$E$300="",""," : "&amp;'Fox'!$E$6:$E$300)&amp;" ["&amp;'Fox'!$F$6:$F$300&amp;"]",""),IF('Bruna'!$B$6:$B$300=$A333,"Bruna"&amp;IF('Bruna'!$E$6:$E$300="",""," : "&amp;'Bruna'!$E$6:$E$300)&amp;" ["&amp;'Bruna'!$F$6:$F$300&amp;"]",""),IF('Stella'!$B$6:$B$300=$A333,"Stella"&amp;IF('Stella'!$E$6:$E$300="",""," : "&amp;'Stella'!$E$6:$E$300)&amp;" ["&amp;'Stella'!$F$6:$F$300&amp;"]",""),IF('Igor'!$B$6:$B$300=$A333,"Igor"&amp;IF('Igor'!$E$6:$E$300="",""," : "&amp;'Igor'!$E$6:$E$300)&amp;" ["&amp;'Igor'!$F$6:$F$300&amp;"]","")))</f>
        <v/>
      </c>
    </row>
    <row r="334">
      <c r="G334" s="23">
        <f>IF($A334="","",_xlfn.TEXTJOIN("; ",TRUE,IF(COUNTIF('Clarice'!$B$6:$B$300,$A334)&gt;0,"Clarice",""),IF(COUNTIF('Luisa'!$B$6:$B$300,$A334)&gt;0,"Luisa",""),IF(COUNTIF('Lui'!$B$6:$B$300,$A334)&gt;0,"Lui",""),IF(COUNTIF('Thaís'!$B$6:$B$300,$A334)&gt;0,"Thaís",""),IF(COUNTIF('Daniel'!$B$6:$B$300,$A334)&gt;0,"Daniel",""),IF(COUNTIF('Fernando'!$B$6:$B$300,$A334)&gt;0,"Fernando",""),IF(COUNTIF('Stephanie'!$B$6:$B$300,$A334)&gt;0,"Stephanie",""),IF(COUNTIF('Fox'!$B$6:$B$300,$A334)&gt;0,"Fox",""),IF(COUNTIF('Bruna'!$B$6:$B$300,$A334)&gt;0,"Bruna",""),IF(COUNTIF('Stella'!$B$6:$B$300,$A334)&gt;0,"Stella",""),IF(COUNTIF('Igor'!$B$6:$B$300,$A334)&gt;0,"Igor","")))</f>
        <v/>
      </c>
      <c r="J334" s="24">
        <f>IF(OR($A334="",(COUNTIF('Clarice'!$B$6:$B$300,$A334)+COUNTIF('Luisa'!$B$6:$B$300,$A334)+COUNTIF('Lui'!$B$6:$B$300,$A334)+COUNTIF('Thaís'!$B$6:$B$300,$A334)+COUNTIF('Daniel'!$B$6:$B$300,$A334)+COUNTIF('Fernando'!$B$6:$B$300,$A334)+COUNTIF('Stephanie'!$B$6:$B$300,$A334)+COUNTIF('Fox'!$B$6:$B$300,$A334)+COUNTIF('Bruna'!$B$6:$B$300,$A334)+COUNTIF('Stella'!$B$6:$B$300,$A334)+COUNTIF('Igor'!$B$6:$B$300,$A334))=0),"",(COUNTIFS('Clarice'!$B$6:$B$300,$A334,'Clarice'!$F$6:$F$300,"Concluído")+COUNTIFS('Luisa'!$B$6:$B$300,$A334,'Luisa'!$F$6:$F$300,"Concluído")+COUNTIFS('Lui'!$B$6:$B$300,$A334,'Lui'!$F$6:$F$300,"Concluído")+COUNTIFS('Thaís'!$B$6:$B$300,$A334,'Thaís'!$F$6:$F$300,"Concluído")+COUNTIFS('Daniel'!$B$6:$B$300,$A334,'Daniel'!$F$6:$F$300,"Concluído")+COUNTIFS('Fernando'!$B$6:$B$300,$A334,'Fernando'!$F$6:$F$300,"Concluído")+COUNTIFS('Stephanie'!$B$6:$B$300,$A334,'Stephanie'!$F$6:$F$300,"Concluído")+COUNTIFS('Fox'!$B$6:$B$300,$A334,'Fox'!$F$6:$F$300,"Concluído")+COUNTIFS('Bruna'!$B$6:$B$300,$A334,'Bruna'!$F$6:$F$300,"Concluído")+COUNTIFS('Stella'!$B$6:$B$300,$A334,'Stella'!$F$6:$F$300,"Concluído")+COUNTIFS('Igor'!$B$6:$B$300,$A334,'Igor'!$F$6:$F$300,"Concluído"))&amp;" / "&amp;(COUNTIF('Clarice'!$B$6:$B$300,$A334)+COUNTIF('Luisa'!$B$6:$B$300,$A334)+COUNTIF('Lui'!$B$6:$B$300,$A334)+COUNTIF('Thaís'!$B$6:$B$300,$A334)+COUNTIF('Daniel'!$B$6:$B$300,$A334)+COUNTIF('Fernando'!$B$6:$B$300,$A334)+COUNTIF('Stephanie'!$B$6:$B$300,$A334)+COUNTIF('Fox'!$B$6:$B$300,$A334)+COUNTIF('Bruna'!$B$6:$B$300,$A334)+COUNTIF('Stella'!$B$6:$B$300,$A334)+COUNTIF('Igor'!$B$6:$B$300,$A334)))</f>
        <v/>
      </c>
      <c r="P334" s="25">
        <f>IF($A334="","",IF(M334&lt;&gt;"",M334,IF(K334&lt;&gt;"",K334,"")))</f>
        <v/>
      </c>
      <c r="Q334" s="25">
        <f>IF($A334="","",IF(N334&lt;&gt;"",N334,IF(L334&lt;&gt;"",L334,"")))</f>
        <v/>
      </c>
      <c r="S334" s="23">
        <f t="array" ref="S334">IF($A334="","",_xlfn.TEXTJOIN(CHAR(10),TRUE,IF('Clarice'!$B$6:$B$300=$A334,"Clarice"&amp;IF('Clarice'!$E$6:$E$300="",""," : "&amp;'Clarice'!$E$6:$E$300)&amp;" ["&amp;'Clarice'!$F$6:$F$300&amp;"]",""),IF('Luisa'!$B$6:$B$300=$A334,"Luisa"&amp;IF('Luisa'!$E$6:$E$300="",""," : "&amp;'Luisa'!$E$6:$E$300)&amp;" ["&amp;'Luisa'!$F$6:$F$300&amp;"]",""),IF('Lui'!$B$6:$B$300=$A334,"Lui"&amp;IF('Lui'!$E$6:$E$300="",""," : "&amp;'Lui'!$E$6:$E$300)&amp;" ["&amp;'Lui'!$F$6:$F$300&amp;"]",""),IF('Thaís'!$B$6:$B$300=$A334,"Thaís"&amp;IF('Thaís'!$E$6:$E$300="",""," : "&amp;'Thaís'!$E$6:$E$300)&amp;" ["&amp;'Thaís'!$F$6:$F$300&amp;"]",""),IF('Daniel'!$B$6:$B$300=$A334,"Daniel"&amp;IF('Daniel'!$E$6:$E$300="",""," : "&amp;'Daniel'!$E$6:$E$300)&amp;" ["&amp;'Daniel'!$F$6:$F$300&amp;"]",""),IF('Fernando'!$B$6:$B$300=$A334,"Fernando"&amp;IF('Fernando'!$E$6:$E$300="",""," : "&amp;'Fernando'!$E$6:$E$300)&amp;" ["&amp;'Fernando'!$F$6:$F$300&amp;"]",""),IF('Stephanie'!$B$6:$B$300=$A334,"Stephanie"&amp;IF('Stephanie'!$E$6:$E$300="",""," : "&amp;'Stephanie'!$E$6:$E$300)&amp;" ["&amp;'Stephanie'!$F$6:$F$300&amp;"]",""),IF('Fox'!$B$6:$B$300=$A334,"Fox"&amp;IF('Fox'!$E$6:$E$300="",""," : "&amp;'Fox'!$E$6:$E$300)&amp;" ["&amp;'Fox'!$F$6:$F$300&amp;"]",""),IF('Bruna'!$B$6:$B$300=$A334,"Bruna"&amp;IF('Bruna'!$E$6:$E$300="",""," : "&amp;'Bruna'!$E$6:$E$300)&amp;" ["&amp;'Bruna'!$F$6:$F$300&amp;"]",""),IF('Stella'!$B$6:$B$300=$A334,"Stella"&amp;IF('Stella'!$E$6:$E$300="",""," : "&amp;'Stella'!$E$6:$E$300)&amp;" ["&amp;'Stella'!$F$6:$F$300&amp;"]",""),IF('Igor'!$B$6:$B$300=$A334,"Igor"&amp;IF('Igor'!$E$6:$E$300="",""," : "&amp;'Igor'!$E$6:$E$300)&amp;" ["&amp;'Igor'!$F$6:$F$300&amp;"]","")))</f>
        <v/>
      </c>
    </row>
    <row r="335">
      <c r="G335" s="23">
        <f>IF($A335="","",_xlfn.TEXTJOIN("; ",TRUE,IF(COUNTIF('Clarice'!$B$6:$B$300,$A335)&gt;0,"Clarice",""),IF(COUNTIF('Luisa'!$B$6:$B$300,$A335)&gt;0,"Luisa",""),IF(COUNTIF('Lui'!$B$6:$B$300,$A335)&gt;0,"Lui",""),IF(COUNTIF('Thaís'!$B$6:$B$300,$A335)&gt;0,"Thaís",""),IF(COUNTIF('Daniel'!$B$6:$B$300,$A335)&gt;0,"Daniel",""),IF(COUNTIF('Fernando'!$B$6:$B$300,$A335)&gt;0,"Fernando",""),IF(COUNTIF('Stephanie'!$B$6:$B$300,$A335)&gt;0,"Stephanie",""),IF(COUNTIF('Fox'!$B$6:$B$300,$A335)&gt;0,"Fox",""),IF(COUNTIF('Bruna'!$B$6:$B$300,$A335)&gt;0,"Bruna",""),IF(COUNTIF('Stella'!$B$6:$B$300,$A335)&gt;0,"Stella",""),IF(COUNTIF('Igor'!$B$6:$B$300,$A335)&gt;0,"Igor","")))</f>
        <v/>
      </c>
      <c r="J335" s="24">
        <f>IF(OR($A335="",(COUNTIF('Clarice'!$B$6:$B$300,$A335)+COUNTIF('Luisa'!$B$6:$B$300,$A335)+COUNTIF('Lui'!$B$6:$B$300,$A335)+COUNTIF('Thaís'!$B$6:$B$300,$A335)+COUNTIF('Daniel'!$B$6:$B$300,$A335)+COUNTIF('Fernando'!$B$6:$B$300,$A335)+COUNTIF('Stephanie'!$B$6:$B$300,$A335)+COUNTIF('Fox'!$B$6:$B$300,$A335)+COUNTIF('Bruna'!$B$6:$B$300,$A335)+COUNTIF('Stella'!$B$6:$B$300,$A335)+COUNTIF('Igor'!$B$6:$B$300,$A335))=0),"",(COUNTIFS('Clarice'!$B$6:$B$300,$A335,'Clarice'!$F$6:$F$300,"Concluído")+COUNTIFS('Luisa'!$B$6:$B$300,$A335,'Luisa'!$F$6:$F$300,"Concluído")+COUNTIFS('Lui'!$B$6:$B$300,$A335,'Lui'!$F$6:$F$300,"Concluído")+COUNTIFS('Thaís'!$B$6:$B$300,$A335,'Thaís'!$F$6:$F$300,"Concluído")+COUNTIFS('Daniel'!$B$6:$B$300,$A335,'Daniel'!$F$6:$F$300,"Concluído")+COUNTIFS('Fernando'!$B$6:$B$300,$A335,'Fernando'!$F$6:$F$300,"Concluído")+COUNTIFS('Stephanie'!$B$6:$B$300,$A335,'Stephanie'!$F$6:$F$300,"Concluído")+COUNTIFS('Fox'!$B$6:$B$300,$A335,'Fox'!$F$6:$F$300,"Concluído")+COUNTIFS('Bruna'!$B$6:$B$300,$A335,'Bruna'!$F$6:$F$300,"Concluído")+COUNTIFS('Stella'!$B$6:$B$300,$A335,'Stella'!$F$6:$F$300,"Concluído")+COUNTIFS('Igor'!$B$6:$B$300,$A335,'Igor'!$F$6:$F$300,"Concluído"))&amp;" / "&amp;(COUNTIF('Clarice'!$B$6:$B$300,$A335)+COUNTIF('Luisa'!$B$6:$B$300,$A335)+COUNTIF('Lui'!$B$6:$B$300,$A335)+COUNTIF('Thaís'!$B$6:$B$300,$A335)+COUNTIF('Daniel'!$B$6:$B$300,$A335)+COUNTIF('Fernando'!$B$6:$B$300,$A335)+COUNTIF('Stephanie'!$B$6:$B$300,$A335)+COUNTIF('Fox'!$B$6:$B$300,$A335)+COUNTIF('Bruna'!$B$6:$B$300,$A335)+COUNTIF('Stella'!$B$6:$B$300,$A335)+COUNTIF('Igor'!$B$6:$B$300,$A335)))</f>
        <v/>
      </c>
      <c r="P335" s="25">
        <f>IF($A335="","",IF(M335&lt;&gt;"",M335,IF(K335&lt;&gt;"",K335,"")))</f>
        <v/>
      </c>
      <c r="Q335" s="25">
        <f>IF($A335="","",IF(N335&lt;&gt;"",N335,IF(L335&lt;&gt;"",L335,"")))</f>
        <v/>
      </c>
      <c r="S335" s="23">
        <f t="array" ref="S335">IF($A335="","",_xlfn.TEXTJOIN(CHAR(10),TRUE,IF('Clarice'!$B$6:$B$300=$A335,"Clarice"&amp;IF('Clarice'!$E$6:$E$300="",""," : "&amp;'Clarice'!$E$6:$E$300)&amp;" ["&amp;'Clarice'!$F$6:$F$300&amp;"]",""),IF('Luisa'!$B$6:$B$300=$A335,"Luisa"&amp;IF('Luisa'!$E$6:$E$300="",""," : "&amp;'Luisa'!$E$6:$E$300)&amp;" ["&amp;'Luisa'!$F$6:$F$300&amp;"]",""),IF('Lui'!$B$6:$B$300=$A335,"Lui"&amp;IF('Lui'!$E$6:$E$300="",""," : "&amp;'Lui'!$E$6:$E$300)&amp;" ["&amp;'Lui'!$F$6:$F$300&amp;"]",""),IF('Thaís'!$B$6:$B$300=$A335,"Thaís"&amp;IF('Thaís'!$E$6:$E$300="",""," : "&amp;'Thaís'!$E$6:$E$300)&amp;" ["&amp;'Thaís'!$F$6:$F$300&amp;"]",""),IF('Daniel'!$B$6:$B$300=$A335,"Daniel"&amp;IF('Daniel'!$E$6:$E$300="",""," : "&amp;'Daniel'!$E$6:$E$300)&amp;" ["&amp;'Daniel'!$F$6:$F$300&amp;"]",""),IF('Fernando'!$B$6:$B$300=$A335,"Fernando"&amp;IF('Fernando'!$E$6:$E$300="",""," : "&amp;'Fernando'!$E$6:$E$300)&amp;" ["&amp;'Fernando'!$F$6:$F$300&amp;"]",""),IF('Stephanie'!$B$6:$B$300=$A335,"Stephanie"&amp;IF('Stephanie'!$E$6:$E$300="",""," : "&amp;'Stephanie'!$E$6:$E$300)&amp;" ["&amp;'Stephanie'!$F$6:$F$300&amp;"]",""),IF('Fox'!$B$6:$B$300=$A335,"Fox"&amp;IF('Fox'!$E$6:$E$300="",""," : "&amp;'Fox'!$E$6:$E$300)&amp;" ["&amp;'Fox'!$F$6:$F$300&amp;"]",""),IF('Bruna'!$B$6:$B$300=$A335,"Bruna"&amp;IF('Bruna'!$E$6:$E$300="",""," : "&amp;'Bruna'!$E$6:$E$300)&amp;" ["&amp;'Bruna'!$F$6:$F$300&amp;"]",""),IF('Stella'!$B$6:$B$300=$A335,"Stella"&amp;IF('Stella'!$E$6:$E$300="",""," : "&amp;'Stella'!$E$6:$E$300)&amp;" ["&amp;'Stella'!$F$6:$F$300&amp;"]",""),IF('Igor'!$B$6:$B$300=$A335,"Igor"&amp;IF('Igor'!$E$6:$E$300="",""," : "&amp;'Igor'!$E$6:$E$300)&amp;" ["&amp;'Igor'!$F$6:$F$300&amp;"]","")))</f>
        <v/>
      </c>
    </row>
    <row r="336">
      <c r="G336" s="23">
        <f>IF($A336="","",_xlfn.TEXTJOIN("; ",TRUE,IF(COUNTIF('Clarice'!$B$6:$B$300,$A336)&gt;0,"Clarice",""),IF(COUNTIF('Luisa'!$B$6:$B$300,$A336)&gt;0,"Luisa",""),IF(COUNTIF('Lui'!$B$6:$B$300,$A336)&gt;0,"Lui",""),IF(COUNTIF('Thaís'!$B$6:$B$300,$A336)&gt;0,"Thaís",""),IF(COUNTIF('Daniel'!$B$6:$B$300,$A336)&gt;0,"Daniel",""),IF(COUNTIF('Fernando'!$B$6:$B$300,$A336)&gt;0,"Fernando",""),IF(COUNTIF('Stephanie'!$B$6:$B$300,$A336)&gt;0,"Stephanie",""),IF(COUNTIF('Fox'!$B$6:$B$300,$A336)&gt;0,"Fox",""),IF(COUNTIF('Bruna'!$B$6:$B$300,$A336)&gt;0,"Bruna",""),IF(COUNTIF('Stella'!$B$6:$B$300,$A336)&gt;0,"Stella",""),IF(COUNTIF('Igor'!$B$6:$B$300,$A336)&gt;0,"Igor","")))</f>
        <v/>
      </c>
      <c r="J336" s="24">
        <f>IF(OR($A336="",(COUNTIF('Clarice'!$B$6:$B$300,$A336)+COUNTIF('Luisa'!$B$6:$B$300,$A336)+COUNTIF('Lui'!$B$6:$B$300,$A336)+COUNTIF('Thaís'!$B$6:$B$300,$A336)+COUNTIF('Daniel'!$B$6:$B$300,$A336)+COUNTIF('Fernando'!$B$6:$B$300,$A336)+COUNTIF('Stephanie'!$B$6:$B$300,$A336)+COUNTIF('Fox'!$B$6:$B$300,$A336)+COUNTIF('Bruna'!$B$6:$B$300,$A336)+COUNTIF('Stella'!$B$6:$B$300,$A336)+COUNTIF('Igor'!$B$6:$B$300,$A336))=0),"",(COUNTIFS('Clarice'!$B$6:$B$300,$A336,'Clarice'!$F$6:$F$300,"Concluído")+COUNTIFS('Luisa'!$B$6:$B$300,$A336,'Luisa'!$F$6:$F$300,"Concluído")+COUNTIFS('Lui'!$B$6:$B$300,$A336,'Lui'!$F$6:$F$300,"Concluído")+COUNTIFS('Thaís'!$B$6:$B$300,$A336,'Thaís'!$F$6:$F$300,"Concluído")+COUNTIFS('Daniel'!$B$6:$B$300,$A336,'Daniel'!$F$6:$F$300,"Concluído")+COUNTIFS('Fernando'!$B$6:$B$300,$A336,'Fernando'!$F$6:$F$300,"Concluído")+COUNTIFS('Stephanie'!$B$6:$B$300,$A336,'Stephanie'!$F$6:$F$300,"Concluído")+COUNTIFS('Fox'!$B$6:$B$300,$A336,'Fox'!$F$6:$F$300,"Concluído")+COUNTIFS('Bruna'!$B$6:$B$300,$A336,'Bruna'!$F$6:$F$300,"Concluído")+COUNTIFS('Stella'!$B$6:$B$300,$A336,'Stella'!$F$6:$F$300,"Concluído")+COUNTIFS('Igor'!$B$6:$B$300,$A336,'Igor'!$F$6:$F$300,"Concluído"))&amp;" / "&amp;(COUNTIF('Clarice'!$B$6:$B$300,$A336)+COUNTIF('Luisa'!$B$6:$B$300,$A336)+COUNTIF('Lui'!$B$6:$B$300,$A336)+COUNTIF('Thaís'!$B$6:$B$300,$A336)+COUNTIF('Daniel'!$B$6:$B$300,$A336)+COUNTIF('Fernando'!$B$6:$B$300,$A336)+COUNTIF('Stephanie'!$B$6:$B$300,$A336)+COUNTIF('Fox'!$B$6:$B$300,$A336)+COUNTIF('Bruna'!$B$6:$B$300,$A336)+COUNTIF('Stella'!$B$6:$B$300,$A336)+COUNTIF('Igor'!$B$6:$B$300,$A336)))</f>
        <v/>
      </c>
      <c r="P336" s="25">
        <f>IF($A336="","",IF(M336&lt;&gt;"",M336,IF(K336&lt;&gt;"",K336,"")))</f>
        <v/>
      </c>
      <c r="Q336" s="25">
        <f>IF($A336="","",IF(N336&lt;&gt;"",N336,IF(L336&lt;&gt;"",L336,"")))</f>
        <v/>
      </c>
      <c r="S336" s="23">
        <f t="array" ref="S336">IF($A336="","",_xlfn.TEXTJOIN(CHAR(10),TRUE,IF('Clarice'!$B$6:$B$300=$A336,"Clarice"&amp;IF('Clarice'!$E$6:$E$300="",""," : "&amp;'Clarice'!$E$6:$E$300)&amp;" ["&amp;'Clarice'!$F$6:$F$300&amp;"]",""),IF('Luisa'!$B$6:$B$300=$A336,"Luisa"&amp;IF('Luisa'!$E$6:$E$300="",""," : "&amp;'Luisa'!$E$6:$E$300)&amp;" ["&amp;'Luisa'!$F$6:$F$300&amp;"]",""),IF('Lui'!$B$6:$B$300=$A336,"Lui"&amp;IF('Lui'!$E$6:$E$300="",""," : "&amp;'Lui'!$E$6:$E$300)&amp;" ["&amp;'Lui'!$F$6:$F$300&amp;"]",""),IF('Thaís'!$B$6:$B$300=$A336,"Thaís"&amp;IF('Thaís'!$E$6:$E$300="",""," : "&amp;'Thaís'!$E$6:$E$300)&amp;" ["&amp;'Thaís'!$F$6:$F$300&amp;"]",""),IF('Daniel'!$B$6:$B$300=$A336,"Daniel"&amp;IF('Daniel'!$E$6:$E$300="",""," : "&amp;'Daniel'!$E$6:$E$300)&amp;" ["&amp;'Daniel'!$F$6:$F$300&amp;"]",""),IF('Fernando'!$B$6:$B$300=$A336,"Fernando"&amp;IF('Fernando'!$E$6:$E$300="",""," : "&amp;'Fernando'!$E$6:$E$300)&amp;" ["&amp;'Fernando'!$F$6:$F$300&amp;"]",""),IF('Stephanie'!$B$6:$B$300=$A336,"Stephanie"&amp;IF('Stephanie'!$E$6:$E$300="",""," : "&amp;'Stephanie'!$E$6:$E$300)&amp;" ["&amp;'Stephanie'!$F$6:$F$300&amp;"]",""),IF('Fox'!$B$6:$B$300=$A336,"Fox"&amp;IF('Fox'!$E$6:$E$300="",""," : "&amp;'Fox'!$E$6:$E$300)&amp;" ["&amp;'Fox'!$F$6:$F$300&amp;"]",""),IF('Bruna'!$B$6:$B$300=$A336,"Bruna"&amp;IF('Bruna'!$E$6:$E$300="",""," : "&amp;'Bruna'!$E$6:$E$300)&amp;" ["&amp;'Bruna'!$F$6:$F$300&amp;"]",""),IF('Stella'!$B$6:$B$300=$A336,"Stella"&amp;IF('Stella'!$E$6:$E$300="",""," : "&amp;'Stella'!$E$6:$E$300)&amp;" ["&amp;'Stella'!$F$6:$F$300&amp;"]",""),IF('Igor'!$B$6:$B$300=$A336,"Igor"&amp;IF('Igor'!$E$6:$E$300="",""," : "&amp;'Igor'!$E$6:$E$300)&amp;" ["&amp;'Igor'!$F$6:$F$300&amp;"]","")))</f>
        <v/>
      </c>
    </row>
    <row r="337">
      <c r="G337" s="23">
        <f>IF($A337="","",_xlfn.TEXTJOIN("; ",TRUE,IF(COUNTIF('Clarice'!$B$6:$B$300,$A337)&gt;0,"Clarice",""),IF(COUNTIF('Luisa'!$B$6:$B$300,$A337)&gt;0,"Luisa",""),IF(COUNTIF('Lui'!$B$6:$B$300,$A337)&gt;0,"Lui",""),IF(COUNTIF('Thaís'!$B$6:$B$300,$A337)&gt;0,"Thaís",""),IF(COUNTIF('Daniel'!$B$6:$B$300,$A337)&gt;0,"Daniel",""),IF(COUNTIF('Fernando'!$B$6:$B$300,$A337)&gt;0,"Fernando",""),IF(COUNTIF('Stephanie'!$B$6:$B$300,$A337)&gt;0,"Stephanie",""),IF(COUNTIF('Fox'!$B$6:$B$300,$A337)&gt;0,"Fox",""),IF(COUNTIF('Bruna'!$B$6:$B$300,$A337)&gt;0,"Bruna",""),IF(COUNTIF('Stella'!$B$6:$B$300,$A337)&gt;0,"Stella",""),IF(COUNTIF('Igor'!$B$6:$B$300,$A337)&gt;0,"Igor","")))</f>
        <v/>
      </c>
      <c r="J337" s="24">
        <f>IF(OR($A337="",(COUNTIF('Clarice'!$B$6:$B$300,$A337)+COUNTIF('Luisa'!$B$6:$B$300,$A337)+COUNTIF('Lui'!$B$6:$B$300,$A337)+COUNTIF('Thaís'!$B$6:$B$300,$A337)+COUNTIF('Daniel'!$B$6:$B$300,$A337)+COUNTIF('Fernando'!$B$6:$B$300,$A337)+COUNTIF('Stephanie'!$B$6:$B$300,$A337)+COUNTIF('Fox'!$B$6:$B$300,$A337)+COUNTIF('Bruna'!$B$6:$B$300,$A337)+COUNTIF('Stella'!$B$6:$B$300,$A337)+COUNTIF('Igor'!$B$6:$B$300,$A337))=0),"",(COUNTIFS('Clarice'!$B$6:$B$300,$A337,'Clarice'!$F$6:$F$300,"Concluído")+COUNTIFS('Luisa'!$B$6:$B$300,$A337,'Luisa'!$F$6:$F$300,"Concluído")+COUNTIFS('Lui'!$B$6:$B$300,$A337,'Lui'!$F$6:$F$300,"Concluído")+COUNTIFS('Thaís'!$B$6:$B$300,$A337,'Thaís'!$F$6:$F$300,"Concluído")+COUNTIFS('Daniel'!$B$6:$B$300,$A337,'Daniel'!$F$6:$F$300,"Concluído")+COUNTIFS('Fernando'!$B$6:$B$300,$A337,'Fernando'!$F$6:$F$300,"Concluído")+COUNTIFS('Stephanie'!$B$6:$B$300,$A337,'Stephanie'!$F$6:$F$300,"Concluído")+COUNTIFS('Fox'!$B$6:$B$300,$A337,'Fox'!$F$6:$F$300,"Concluído")+COUNTIFS('Bruna'!$B$6:$B$300,$A337,'Bruna'!$F$6:$F$300,"Concluído")+COUNTIFS('Stella'!$B$6:$B$300,$A337,'Stella'!$F$6:$F$300,"Concluído")+COUNTIFS('Igor'!$B$6:$B$300,$A337,'Igor'!$F$6:$F$300,"Concluído"))&amp;" / "&amp;(COUNTIF('Clarice'!$B$6:$B$300,$A337)+COUNTIF('Luisa'!$B$6:$B$300,$A337)+COUNTIF('Lui'!$B$6:$B$300,$A337)+COUNTIF('Thaís'!$B$6:$B$300,$A337)+COUNTIF('Daniel'!$B$6:$B$300,$A337)+COUNTIF('Fernando'!$B$6:$B$300,$A337)+COUNTIF('Stephanie'!$B$6:$B$300,$A337)+COUNTIF('Fox'!$B$6:$B$300,$A337)+COUNTIF('Bruna'!$B$6:$B$300,$A337)+COUNTIF('Stella'!$B$6:$B$300,$A337)+COUNTIF('Igor'!$B$6:$B$300,$A337)))</f>
        <v/>
      </c>
      <c r="P337" s="25">
        <f>IF($A337="","",IF(M337&lt;&gt;"",M337,IF(K337&lt;&gt;"",K337,"")))</f>
        <v/>
      </c>
      <c r="Q337" s="25">
        <f>IF($A337="","",IF(N337&lt;&gt;"",N337,IF(L337&lt;&gt;"",L337,"")))</f>
        <v/>
      </c>
      <c r="S337" s="23">
        <f t="array" ref="S337">IF($A337="","",_xlfn.TEXTJOIN(CHAR(10),TRUE,IF('Clarice'!$B$6:$B$300=$A337,"Clarice"&amp;IF('Clarice'!$E$6:$E$300="",""," : "&amp;'Clarice'!$E$6:$E$300)&amp;" ["&amp;'Clarice'!$F$6:$F$300&amp;"]",""),IF('Luisa'!$B$6:$B$300=$A337,"Luisa"&amp;IF('Luisa'!$E$6:$E$300="",""," : "&amp;'Luisa'!$E$6:$E$300)&amp;" ["&amp;'Luisa'!$F$6:$F$300&amp;"]",""),IF('Lui'!$B$6:$B$300=$A337,"Lui"&amp;IF('Lui'!$E$6:$E$300="",""," : "&amp;'Lui'!$E$6:$E$300)&amp;" ["&amp;'Lui'!$F$6:$F$300&amp;"]",""),IF('Thaís'!$B$6:$B$300=$A337,"Thaís"&amp;IF('Thaís'!$E$6:$E$300="",""," : "&amp;'Thaís'!$E$6:$E$300)&amp;" ["&amp;'Thaís'!$F$6:$F$300&amp;"]",""),IF('Daniel'!$B$6:$B$300=$A337,"Daniel"&amp;IF('Daniel'!$E$6:$E$300="",""," : "&amp;'Daniel'!$E$6:$E$300)&amp;" ["&amp;'Daniel'!$F$6:$F$300&amp;"]",""),IF('Fernando'!$B$6:$B$300=$A337,"Fernando"&amp;IF('Fernando'!$E$6:$E$300="",""," : "&amp;'Fernando'!$E$6:$E$300)&amp;" ["&amp;'Fernando'!$F$6:$F$300&amp;"]",""),IF('Stephanie'!$B$6:$B$300=$A337,"Stephanie"&amp;IF('Stephanie'!$E$6:$E$300="",""," : "&amp;'Stephanie'!$E$6:$E$300)&amp;" ["&amp;'Stephanie'!$F$6:$F$300&amp;"]",""),IF('Fox'!$B$6:$B$300=$A337,"Fox"&amp;IF('Fox'!$E$6:$E$300="",""," : "&amp;'Fox'!$E$6:$E$300)&amp;" ["&amp;'Fox'!$F$6:$F$300&amp;"]",""),IF('Bruna'!$B$6:$B$300=$A337,"Bruna"&amp;IF('Bruna'!$E$6:$E$300="",""," : "&amp;'Bruna'!$E$6:$E$300)&amp;" ["&amp;'Bruna'!$F$6:$F$300&amp;"]",""),IF('Stella'!$B$6:$B$300=$A337,"Stella"&amp;IF('Stella'!$E$6:$E$300="",""," : "&amp;'Stella'!$E$6:$E$300)&amp;" ["&amp;'Stella'!$F$6:$F$300&amp;"]",""),IF('Igor'!$B$6:$B$300=$A337,"Igor"&amp;IF('Igor'!$E$6:$E$300="",""," : "&amp;'Igor'!$E$6:$E$300)&amp;" ["&amp;'Igor'!$F$6:$F$300&amp;"]","")))</f>
        <v/>
      </c>
    </row>
    <row r="338">
      <c r="G338" s="23">
        <f>IF($A338="","",_xlfn.TEXTJOIN("; ",TRUE,IF(COUNTIF('Clarice'!$B$6:$B$300,$A338)&gt;0,"Clarice",""),IF(COUNTIF('Luisa'!$B$6:$B$300,$A338)&gt;0,"Luisa",""),IF(COUNTIF('Lui'!$B$6:$B$300,$A338)&gt;0,"Lui",""),IF(COUNTIF('Thaís'!$B$6:$B$300,$A338)&gt;0,"Thaís",""),IF(COUNTIF('Daniel'!$B$6:$B$300,$A338)&gt;0,"Daniel",""),IF(COUNTIF('Fernando'!$B$6:$B$300,$A338)&gt;0,"Fernando",""),IF(COUNTIF('Stephanie'!$B$6:$B$300,$A338)&gt;0,"Stephanie",""),IF(COUNTIF('Fox'!$B$6:$B$300,$A338)&gt;0,"Fox",""),IF(COUNTIF('Bruna'!$B$6:$B$300,$A338)&gt;0,"Bruna",""),IF(COUNTIF('Stella'!$B$6:$B$300,$A338)&gt;0,"Stella",""),IF(COUNTIF('Igor'!$B$6:$B$300,$A338)&gt;0,"Igor","")))</f>
        <v/>
      </c>
      <c r="J338" s="24">
        <f>IF(OR($A338="",(COUNTIF('Clarice'!$B$6:$B$300,$A338)+COUNTIF('Luisa'!$B$6:$B$300,$A338)+COUNTIF('Lui'!$B$6:$B$300,$A338)+COUNTIF('Thaís'!$B$6:$B$300,$A338)+COUNTIF('Daniel'!$B$6:$B$300,$A338)+COUNTIF('Fernando'!$B$6:$B$300,$A338)+COUNTIF('Stephanie'!$B$6:$B$300,$A338)+COUNTIF('Fox'!$B$6:$B$300,$A338)+COUNTIF('Bruna'!$B$6:$B$300,$A338)+COUNTIF('Stella'!$B$6:$B$300,$A338)+COUNTIF('Igor'!$B$6:$B$300,$A338))=0),"",(COUNTIFS('Clarice'!$B$6:$B$300,$A338,'Clarice'!$F$6:$F$300,"Concluído")+COUNTIFS('Luisa'!$B$6:$B$300,$A338,'Luisa'!$F$6:$F$300,"Concluído")+COUNTIFS('Lui'!$B$6:$B$300,$A338,'Lui'!$F$6:$F$300,"Concluído")+COUNTIFS('Thaís'!$B$6:$B$300,$A338,'Thaís'!$F$6:$F$300,"Concluído")+COUNTIFS('Daniel'!$B$6:$B$300,$A338,'Daniel'!$F$6:$F$300,"Concluído")+COUNTIFS('Fernando'!$B$6:$B$300,$A338,'Fernando'!$F$6:$F$300,"Concluído")+COUNTIFS('Stephanie'!$B$6:$B$300,$A338,'Stephanie'!$F$6:$F$300,"Concluído")+COUNTIFS('Fox'!$B$6:$B$300,$A338,'Fox'!$F$6:$F$300,"Concluído")+COUNTIFS('Bruna'!$B$6:$B$300,$A338,'Bruna'!$F$6:$F$300,"Concluído")+COUNTIFS('Stella'!$B$6:$B$300,$A338,'Stella'!$F$6:$F$300,"Concluído")+COUNTIFS('Igor'!$B$6:$B$300,$A338,'Igor'!$F$6:$F$300,"Concluído"))&amp;" / "&amp;(COUNTIF('Clarice'!$B$6:$B$300,$A338)+COUNTIF('Luisa'!$B$6:$B$300,$A338)+COUNTIF('Lui'!$B$6:$B$300,$A338)+COUNTIF('Thaís'!$B$6:$B$300,$A338)+COUNTIF('Daniel'!$B$6:$B$300,$A338)+COUNTIF('Fernando'!$B$6:$B$300,$A338)+COUNTIF('Stephanie'!$B$6:$B$300,$A338)+COUNTIF('Fox'!$B$6:$B$300,$A338)+COUNTIF('Bruna'!$B$6:$B$300,$A338)+COUNTIF('Stella'!$B$6:$B$300,$A338)+COUNTIF('Igor'!$B$6:$B$300,$A338)))</f>
        <v/>
      </c>
      <c r="P338" s="25">
        <f>IF($A338="","",IF(M338&lt;&gt;"",M338,IF(K338&lt;&gt;"",K338,"")))</f>
        <v/>
      </c>
      <c r="Q338" s="25">
        <f>IF($A338="","",IF(N338&lt;&gt;"",N338,IF(L338&lt;&gt;"",L338,"")))</f>
        <v/>
      </c>
      <c r="S338" s="23">
        <f t="array" ref="S338">IF($A338="","",_xlfn.TEXTJOIN(CHAR(10),TRUE,IF('Clarice'!$B$6:$B$300=$A338,"Clarice"&amp;IF('Clarice'!$E$6:$E$300="",""," : "&amp;'Clarice'!$E$6:$E$300)&amp;" ["&amp;'Clarice'!$F$6:$F$300&amp;"]",""),IF('Luisa'!$B$6:$B$300=$A338,"Luisa"&amp;IF('Luisa'!$E$6:$E$300="",""," : "&amp;'Luisa'!$E$6:$E$300)&amp;" ["&amp;'Luisa'!$F$6:$F$300&amp;"]",""),IF('Lui'!$B$6:$B$300=$A338,"Lui"&amp;IF('Lui'!$E$6:$E$300="",""," : "&amp;'Lui'!$E$6:$E$300)&amp;" ["&amp;'Lui'!$F$6:$F$300&amp;"]",""),IF('Thaís'!$B$6:$B$300=$A338,"Thaís"&amp;IF('Thaís'!$E$6:$E$300="",""," : "&amp;'Thaís'!$E$6:$E$300)&amp;" ["&amp;'Thaís'!$F$6:$F$300&amp;"]",""),IF('Daniel'!$B$6:$B$300=$A338,"Daniel"&amp;IF('Daniel'!$E$6:$E$300="",""," : "&amp;'Daniel'!$E$6:$E$300)&amp;" ["&amp;'Daniel'!$F$6:$F$300&amp;"]",""),IF('Fernando'!$B$6:$B$300=$A338,"Fernando"&amp;IF('Fernando'!$E$6:$E$300="",""," : "&amp;'Fernando'!$E$6:$E$300)&amp;" ["&amp;'Fernando'!$F$6:$F$300&amp;"]",""),IF('Stephanie'!$B$6:$B$300=$A338,"Stephanie"&amp;IF('Stephanie'!$E$6:$E$300="",""," : "&amp;'Stephanie'!$E$6:$E$300)&amp;" ["&amp;'Stephanie'!$F$6:$F$300&amp;"]",""),IF('Fox'!$B$6:$B$300=$A338,"Fox"&amp;IF('Fox'!$E$6:$E$300="",""," : "&amp;'Fox'!$E$6:$E$300)&amp;" ["&amp;'Fox'!$F$6:$F$300&amp;"]",""),IF('Bruna'!$B$6:$B$300=$A338,"Bruna"&amp;IF('Bruna'!$E$6:$E$300="",""," : "&amp;'Bruna'!$E$6:$E$300)&amp;" ["&amp;'Bruna'!$F$6:$F$300&amp;"]",""),IF('Stella'!$B$6:$B$300=$A338,"Stella"&amp;IF('Stella'!$E$6:$E$300="",""," : "&amp;'Stella'!$E$6:$E$300)&amp;" ["&amp;'Stella'!$F$6:$F$300&amp;"]",""),IF('Igor'!$B$6:$B$300=$A338,"Igor"&amp;IF('Igor'!$E$6:$E$300="",""," : "&amp;'Igor'!$E$6:$E$300)&amp;" ["&amp;'Igor'!$F$6:$F$300&amp;"]","")))</f>
        <v/>
      </c>
    </row>
    <row r="339">
      <c r="G339" s="23">
        <f>IF($A339="","",_xlfn.TEXTJOIN("; ",TRUE,IF(COUNTIF('Clarice'!$B$6:$B$300,$A339)&gt;0,"Clarice",""),IF(COUNTIF('Luisa'!$B$6:$B$300,$A339)&gt;0,"Luisa",""),IF(COUNTIF('Lui'!$B$6:$B$300,$A339)&gt;0,"Lui",""),IF(COUNTIF('Thaís'!$B$6:$B$300,$A339)&gt;0,"Thaís",""),IF(COUNTIF('Daniel'!$B$6:$B$300,$A339)&gt;0,"Daniel",""),IF(COUNTIF('Fernando'!$B$6:$B$300,$A339)&gt;0,"Fernando",""),IF(COUNTIF('Stephanie'!$B$6:$B$300,$A339)&gt;0,"Stephanie",""),IF(COUNTIF('Fox'!$B$6:$B$300,$A339)&gt;0,"Fox",""),IF(COUNTIF('Bruna'!$B$6:$B$300,$A339)&gt;0,"Bruna",""),IF(COUNTIF('Stella'!$B$6:$B$300,$A339)&gt;0,"Stella",""),IF(COUNTIF('Igor'!$B$6:$B$300,$A339)&gt;0,"Igor","")))</f>
        <v/>
      </c>
      <c r="J339" s="24">
        <f>IF(OR($A339="",(COUNTIF('Clarice'!$B$6:$B$300,$A339)+COUNTIF('Luisa'!$B$6:$B$300,$A339)+COUNTIF('Lui'!$B$6:$B$300,$A339)+COUNTIF('Thaís'!$B$6:$B$300,$A339)+COUNTIF('Daniel'!$B$6:$B$300,$A339)+COUNTIF('Fernando'!$B$6:$B$300,$A339)+COUNTIF('Stephanie'!$B$6:$B$300,$A339)+COUNTIF('Fox'!$B$6:$B$300,$A339)+COUNTIF('Bruna'!$B$6:$B$300,$A339)+COUNTIF('Stella'!$B$6:$B$300,$A339)+COUNTIF('Igor'!$B$6:$B$300,$A339))=0),"",(COUNTIFS('Clarice'!$B$6:$B$300,$A339,'Clarice'!$F$6:$F$300,"Concluído")+COUNTIFS('Luisa'!$B$6:$B$300,$A339,'Luisa'!$F$6:$F$300,"Concluído")+COUNTIFS('Lui'!$B$6:$B$300,$A339,'Lui'!$F$6:$F$300,"Concluído")+COUNTIFS('Thaís'!$B$6:$B$300,$A339,'Thaís'!$F$6:$F$300,"Concluído")+COUNTIFS('Daniel'!$B$6:$B$300,$A339,'Daniel'!$F$6:$F$300,"Concluído")+COUNTIFS('Fernando'!$B$6:$B$300,$A339,'Fernando'!$F$6:$F$300,"Concluído")+COUNTIFS('Stephanie'!$B$6:$B$300,$A339,'Stephanie'!$F$6:$F$300,"Concluído")+COUNTIFS('Fox'!$B$6:$B$300,$A339,'Fox'!$F$6:$F$300,"Concluído")+COUNTIFS('Bruna'!$B$6:$B$300,$A339,'Bruna'!$F$6:$F$300,"Concluído")+COUNTIFS('Stella'!$B$6:$B$300,$A339,'Stella'!$F$6:$F$300,"Concluído")+COUNTIFS('Igor'!$B$6:$B$300,$A339,'Igor'!$F$6:$F$300,"Concluído"))&amp;" / "&amp;(COUNTIF('Clarice'!$B$6:$B$300,$A339)+COUNTIF('Luisa'!$B$6:$B$300,$A339)+COUNTIF('Lui'!$B$6:$B$300,$A339)+COUNTIF('Thaís'!$B$6:$B$300,$A339)+COUNTIF('Daniel'!$B$6:$B$300,$A339)+COUNTIF('Fernando'!$B$6:$B$300,$A339)+COUNTIF('Stephanie'!$B$6:$B$300,$A339)+COUNTIF('Fox'!$B$6:$B$300,$A339)+COUNTIF('Bruna'!$B$6:$B$300,$A339)+COUNTIF('Stella'!$B$6:$B$300,$A339)+COUNTIF('Igor'!$B$6:$B$300,$A339)))</f>
        <v/>
      </c>
      <c r="P339" s="25">
        <f>IF($A339="","",IF(M339&lt;&gt;"",M339,IF(K339&lt;&gt;"",K339,"")))</f>
        <v/>
      </c>
      <c r="Q339" s="25">
        <f>IF($A339="","",IF(N339&lt;&gt;"",N339,IF(L339&lt;&gt;"",L339,"")))</f>
        <v/>
      </c>
      <c r="S339" s="23">
        <f t="array" ref="S339">IF($A339="","",_xlfn.TEXTJOIN(CHAR(10),TRUE,IF('Clarice'!$B$6:$B$300=$A339,"Clarice"&amp;IF('Clarice'!$E$6:$E$300="",""," : "&amp;'Clarice'!$E$6:$E$300)&amp;" ["&amp;'Clarice'!$F$6:$F$300&amp;"]",""),IF('Luisa'!$B$6:$B$300=$A339,"Luisa"&amp;IF('Luisa'!$E$6:$E$300="",""," : "&amp;'Luisa'!$E$6:$E$300)&amp;" ["&amp;'Luisa'!$F$6:$F$300&amp;"]",""),IF('Lui'!$B$6:$B$300=$A339,"Lui"&amp;IF('Lui'!$E$6:$E$300="",""," : "&amp;'Lui'!$E$6:$E$300)&amp;" ["&amp;'Lui'!$F$6:$F$300&amp;"]",""),IF('Thaís'!$B$6:$B$300=$A339,"Thaís"&amp;IF('Thaís'!$E$6:$E$300="",""," : "&amp;'Thaís'!$E$6:$E$300)&amp;" ["&amp;'Thaís'!$F$6:$F$300&amp;"]",""),IF('Daniel'!$B$6:$B$300=$A339,"Daniel"&amp;IF('Daniel'!$E$6:$E$300="",""," : "&amp;'Daniel'!$E$6:$E$300)&amp;" ["&amp;'Daniel'!$F$6:$F$300&amp;"]",""),IF('Fernando'!$B$6:$B$300=$A339,"Fernando"&amp;IF('Fernando'!$E$6:$E$300="",""," : "&amp;'Fernando'!$E$6:$E$300)&amp;" ["&amp;'Fernando'!$F$6:$F$300&amp;"]",""),IF('Stephanie'!$B$6:$B$300=$A339,"Stephanie"&amp;IF('Stephanie'!$E$6:$E$300="",""," : "&amp;'Stephanie'!$E$6:$E$300)&amp;" ["&amp;'Stephanie'!$F$6:$F$300&amp;"]",""),IF('Fox'!$B$6:$B$300=$A339,"Fox"&amp;IF('Fox'!$E$6:$E$300="",""," : "&amp;'Fox'!$E$6:$E$300)&amp;" ["&amp;'Fox'!$F$6:$F$300&amp;"]",""),IF('Bruna'!$B$6:$B$300=$A339,"Bruna"&amp;IF('Bruna'!$E$6:$E$300="",""," : "&amp;'Bruna'!$E$6:$E$300)&amp;" ["&amp;'Bruna'!$F$6:$F$300&amp;"]",""),IF('Stella'!$B$6:$B$300=$A339,"Stella"&amp;IF('Stella'!$E$6:$E$300="",""," : "&amp;'Stella'!$E$6:$E$300)&amp;" ["&amp;'Stella'!$F$6:$F$300&amp;"]",""),IF('Igor'!$B$6:$B$300=$A339,"Igor"&amp;IF('Igor'!$E$6:$E$300="",""," : "&amp;'Igor'!$E$6:$E$300)&amp;" ["&amp;'Igor'!$F$6:$F$300&amp;"]","")))</f>
        <v/>
      </c>
    </row>
    <row r="340">
      <c r="G340" s="23">
        <f>IF($A340="","",_xlfn.TEXTJOIN("; ",TRUE,IF(COUNTIF('Clarice'!$B$6:$B$300,$A340)&gt;0,"Clarice",""),IF(COUNTIF('Luisa'!$B$6:$B$300,$A340)&gt;0,"Luisa",""),IF(COUNTIF('Lui'!$B$6:$B$300,$A340)&gt;0,"Lui",""),IF(COUNTIF('Thaís'!$B$6:$B$300,$A340)&gt;0,"Thaís",""),IF(COUNTIF('Daniel'!$B$6:$B$300,$A340)&gt;0,"Daniel",""),IF(COUNTIF('Fernando'!$B$6:$B$300,$A340)&gt;0,"Fernando",""),IF(COUNTIF('Stephanie'!$B$6:$B$300,$A340)&gt;0,"Stephanie",""),IF(COUNTIF('Fox'!$B$6:$B$300,$A340)&gt;0,"Fox",""),IF(COUNTIF('Bruna'!$B$6:$B$300,$A340)&gt;0,"Bruna",""),IF(COUNTIF('Stella'!$B$6:$B$300,$A340)&gt;0,"Stella",""),IF(COUNTIF('Igor'!$B$6:$B$300,$A340)&gt;0,"Igor","")))</f>
        <v/>
      </c>
      <c r="J340" s="24">
        <f>IF(OR($A340="",(COUNTIF('Clarice'!$B$6:$B$300,$A340)+COUNTIF('Luisa'!$B$6:$B$300,$A340)+COUNTIF('Lui'!$B$6:$B$300,$A340)+COUNTIF('Thaís'!$B$6:$B$300,$A340)+COUNTIF('Daniel'!$B$6:$B$300,$A340)+COUNTIF('Fernando'!$B$6:$B$300,$A340)+COUNTIF('Stephanie'!$B$6:$B$300,$A340)+COUNTIF('Fox'!$B$6:$B$300,$A340)+COUNTIF('Bruna'!$B$6:$B$300,$A340)+COUNTIF('Stella'!$B$6:$B$300,$A340)+COUNTIF('Igor'!$B$6:$B$300,$A340))=0),"",(COUNTIFS('Clarice'!$B$6:$B$300,$A340,'Clarice'!$F$6:$F$300,"Concluído")+COUNTIFS('Luisa'!$B$6:$B$300,$A340,'Luisa'!$F$6:$F$300,"Concluído")+COUNTIFS('Lui'!$B$6:$B$300,$A340,'Lui'!$F$6:$F$300,"Concluído")+COUNTIFS('Thaís'!$B$6:$B$300,$A340,'Thaís'!$F$6:$F$300,"Concluído")+COUNTIFS('Daniel'!$B$6:$B$300,$A340,'Daniel'!$F$6:$F$300,"Concluído")+COUNTIFS('Fernando'!$B$6:$B$300,$A340,'Fernando'!$F$6:$F$300,"Concluído")+COUNTIFS('Stephanie'!$B$6:$B$300,$A340,'Stephanie'!$F$6:$F$300,"Concluído")+COUNTIFS('Fox'!$B$6:$B$300,$A340,'Fox'!$F$6:$F$300,"Concluído")+COUNTIFS('Bruna'!$B$6:$B$300,$A340,'Bruna'!$F$6:$F$300,"Concluído")+COUNTIFS('Stella'!$B$6:$B$300,$A340,'Stella'!$F$6:$F$300,"Concluído")+COUNTIFS('Igor'!$B$6:$B$300,$A340,'Igor'!$F$6:$F$300,"Concluído"))&amp;" / "&amp;(COUNTIF('Clarice'!$B$6:$B$300,$A340)+COUNTIF('Luisa'!$B$6:$B$300,$A340)+COUNTIF('Lui'!$B$6:$B$300,$A340)+COUNTIF('Thaís'!$B$6:$B$300,$A340)+COUNTIF('Daniel'!$B$6:$B$300,$A340)+COUNTIF('Fernando'!$B$6:$B$300,$A340)+COUNTIF('Stephanie'!$B$6:$B$300,$A340)+COUNTIF('Fox'!$B$6:$B$300,$A340)+COUNTIF('Bruna'!$B$6:$B$300,$A340)+COUNTIF('Stella'!$B$6:$B$300,$A340)+COUNTIF('Igor'!$B$6:$B$300,$A340)))</f>
        <v/>
      </c>
      <c r="P340" s="25">
        <f>IF($A340="","",IF(M340&lt;&gt;"",M340,IF(K340&lt;&gt;"",K340,"")))</f>
        <v/>
      </c>
      <c r="Q340" s="25">
        <f>IF($A340="","",IF(N340&lt;&gt;"",N340,IF(L340&lt;&gt;"",L340,"")))</f>
        <v/>
      </c>
      <c r="S340" s="23">
        <f t="array" ref="S340">IF($A340="","",_xlfn.TEXTJOIN(CHAR(10),TRUE,IF('Clarice'!$B$6:$B$300=$A340,"Clarice"&amp;IF('Clarice'!$E$6:$E$300="",""," : "&amp;'Clarice'!$E$6:$E$300)&amp;" ["&amp;'Clarice'!$F$6:$F$300&amp;"]",""),IF('Luisa'!$B$6:$B$300=$A340,"Luisa"&amp;IF('Luisa'!$E$6:$E$300="",""," : "&amp;'Luisa'!$E$6:$E$300)&amp;" ["&amp;'Luisa'!$F$6:$F$300&amp;"]",""),IF('Lui'!$B$6:$B$300=$A340,"Lui"&amp;IF('Lui'!$E$6:$E$300="",""," : "&amp;'Lui'!$E$6:$E$300)&amp;" ["&amp;'Lui'!$F$6:$F$300&amp;"]",""),IF('Thaís'!$B$6:$B$300=$A340,"Thaís"&amp;IF('Thaís'!$E$6:$E$300="",""," : "&amp;'Thaís'!$E$6:$E$300)&amp;" ["&amp;'Thaís'!$F$6:$F$300&amp;"]",""),IF('Daniel'!$B$6:$B$300=$A340,"Daniel"&amp;IF('Daniel'!$E$6:$E$300="",""," : "&amp;'Daniel'!$E$6:$E$300)&amp;" ["&amp;'Daniel'!$F$6:$F$300&amp;"]",""),IF('Fernando'!$B$6:$B$300=$A340,"Fernando"&amp;IF('Fernando'!$E$6:$E$300="",""," : "&amp;'Fernando'!$E$6:$E$300)&amp;" ["&amp;'Fernando'!$F$6:$F$300&amp;"]",""),IF('Stephanie'!$B$6:$B$300=$A340,"Stephanie"&amp;IF('Stephanie'!$E$6:$E$300="",""," : "&amp;'Stephanie'!$E$6:$E$300)&amp;" ["&amp;'Stephanie'!$F$6:$F$300&amp;"]",""),IF('Fox'!$B$6:$B$300=$A340,"Fox"&amp;IF('Fox'!$E$6:$E$300="",""," : "&amp;'Fox'!$E$6:$E$300)&amp;" ["&amp;'Fox'!$F$6:$F$300&amp;"]",""),IF('Bruna'!$B$6:$B$300=$A340,"Bruna"&amp;IF('Bruna'!$E$6:$E$300="",""," : "&amp;'Bruna'!$E$6:$E$300)&amp;" ["&amp;'Bruna'!$F$6:$F$300&amp;"]",""),IF('Stella'!$B$6:$B$300=$A340,"Stella"&amp;IF('Stella'!$E$6:$E$300="",""," : "&amp;'Stella'!$E$6:$E$300)&amp;" ["&amp;'Stella'!$F$6:$F$300&amp;"]",""),IF('Igor'!$B$6:$B$300=$A340,"Igor"&amp;IF('Igor'!$E$6:$E$300="",""," : "&amp;'Igor'!$E$6:$E$300)&amp;" ["&amp;'Igor'!$F$6:$F$300&amp;"]","")))</f>
        <v/>
      </c>
    </row>
    <row r="341">
      <c r="G341" s="23">
        <f>IF($A341="","",_xlfn.TEXTJOIN("; ",TRUE,IF(COUNTIF('Clarice'!$B$6:$B$300,$A341)&gt;0,"Clarice",""),IF(COUNTIF('Luisa'!$B$6:$B$300,$A341)&gt;0,"Luisa",""),IF(COUNTIF('Lui'!$B$6:$B$300,$A341)&gt;0,"Lui",""),IF(COUNTIF('Thaís'!$B$6:$B$300,$A341)&gt;0,"Thaís",""),IF(COUNTIF('Daniel'!$B$6:$B$300,$A341)&gt;0,"Daniel",""),IF(COUNTIF('Fernando'!$B$6:$B$300,$A341)&gt;0,"Fernando",""),IF(COUNTIF('Stephanie'!$B$6:$B$300,$A341)&gt;0,"Stephanie",""),IF(COUNTIF('Fox'!$B$6:$B$300,$A341)&gt;0,"Fox",""),IF(COUNTIF('Bruna'!$B$6:$B$300,$A341)&gt;0,"Bruna",""),IF(COUNTIF('Stella'!$B$6:$B$300,$A341)&gt;0,"Stella",""),IF(COUNTIF('Igor'!$B$6:$B$300,$A341)&gt;0,"Igor","")))</f>
        <v/>
      </c>
      <c r="J341" s="24">
        <f>IF(OR($A341="",(COUNTIF('Clarice'!$B$6:$B$300,$A341)+COUNTIF('Luisa'!$B$6:$B$300,$A341)+COUNTIF('Lui'!$B$6:$B$300,$A341)+COUNTIF('Thaís'!$B$6:$B$300,$A341)+COUNTIF('Daniel'!$B$6:$B$300,$A341)+COUNTIF('Fernando'!$B$6:$B$300,$A341)+COUNTIF('Stephanie'!$B$6:$B$300,$A341)+COUNTIF('Fox'!$B$6:$B$300,$A341)+COUNTIF('Bruna'!$B$6:$B$300,$A341)+COUNTIF('Stella'!$B$6:$B$300,$A341)+COUNTIF('Igor'!$B$6:$B$300,$A341))=0),"",(COUNTIFS('Clarice'!$B$6:$B$300,$A341,'Clarice'!$F$6:$F$300,"Concluído")+COUNTIFS('Luisa'!$B$6:$B$300,$A341,'Luisa'!$F$6:$F$300,"Concluído")+COUNTIFS('Lui'!$B$6:$B$300,$A341,'Lui'!$F$6:$F$300,"Concluído")+COUNTIFS('Thaís'!$B$6:$B$300,$A341,'Thaís'!$F$6:$F$300,"Concluído")+COUNTIFS('Daniel'!$B$6:$B$300,$A341,'Daniel'!$F$6:$F$300,"Concluído")+COUNTIFS('Fernando'!$B$6:$B$300,$A341,'Fernando'!$F$6:$F$300,"Concluído")+COUNTIFS('Stephanie'!$B$6:$B$300,$A341,'Stephanie'!$F$6:$F$300,"Concluído")+COUNTIFS('Fox'!$B$6:$B$300,$A341,'Fox'!$F$6:$F$300,"Concluído")+COUNTIFS('Bruna'!$B$6:$B$300,$A341,'Bruna'!$F$6:$F$300,"Concluído")+COUNTIFS('Stella'!$B$6:$B$300,$A341,'Stella'!$F$6:$F$300,"Concluído")+COUNTIFS('Igor'!$B$6:$B$300,$A341,'Igor'!$F$6:$F$300,"Concluído"))&amp;" / "&amp;(COUNTIF('Clarice'!$B$6:$B$300,$A341)+COUNTIF('Luisa'!$B$6:$B$300,$A341)+COUNTIF('Lui'!$B$6:$B$300,$A341)+COUNTIF('Thaís'!$B$6:$B$300,$A341)+COUNTIF('Daniel'!$B$6:$B$300,$A341)+COUNTIF('Fernando'!$B$6:$B$300,$A341)+COUNTIF('Stephanie'!$B$6:$B$300,$A341)+COUNTIF('Fox'!$B$6:$B$300,$A341)+COUNTIF('Bruna'!$B$6:$B$300,$A341)+COUNTIF('Stella'!$B$6:$B$300,$A341)+COUNTIF('Igor'!$B$6:$B$300,$A341)))</f>
        <v/>
      </c>
      <c r="P341" s="25">
        <f>IF($A341="","",IF(M341&lt;&gt;"",M341,IF(K341&lt;&gt;"",K341,"")))</f>
        <v/>
      </c>
      <c r="Q341" s="25">
        <f>IF($A341="","",IF(N341&lt;&gt;"",N341,IF(L341&lt;&gt;"",L341,"")))</f>
        <v/>
      </c>
      <c r="S341" s="23">
        <f t="array" ref="S341">IF($A341="","",_xlfn.TEXTJOIN(CHAR(10),TRUE,IF('Clarice'!$B$6:$B$300=$A341,"Clarice"&amp;IF('Clarice'!$E$6:$E$300="",""," : "&amp;'Clarice'!$E$6:$E$300)&amp;" ["&amp;'Clarice'!$F$6:$F$300&amp;"]",""),IF('Luisa'!$B$6:$B$300=$A341,"Luisa"&amp;IF('Luisa'!$E$6:$E$300="",""," : "&amp;'Luisa'!$E$6:$E$300)&amp;" ["&amp;'Luisa'!$F$6:$F$300&amp;"]",""),IF('Lui'!$B$6:$B$300=$A341,"Lui"&amp;IF('Lui'!$E$6:$E$300="",""," : "&amp;'Lui'!$E$6:$E$300)&amp;" ["&amp;'Lui'!$F$6:$F$300&amp;"]",""),IF('Thaís'!$B$6:$B$300=$A341,"Thaís"&amp;IF('Thaís'!$E$6:$E$300="",""," : "&amp;'Thaís'!$E$6:$E$300)&amp;" ["&amp;'Thaís'!$F$6:$F$300&amp;"]",""),IF('Daniel'!$B$6:$B$300=$A341,"Daniel"&amp;IF('Daniel'!$E$6:$E$300="",""," : "&amp;'Daniel'!$E$6:$E$300)&amp;" ["&amp;'Daniel'!$F$6:$F$300&amp;"]",""),IF('Fernando'!$B$6:$B$300=$A341,"Fernando"&amp;IF('Fernando'!$E$6:$E$300="",""," : "&amp;'Fernando'!$E$6:$E$300)&amp;" ["&amp;'Fernando'!$F$6:$F$300&amp;"]",""),IF('Stephanie'!$B$6:$B$300=$A341,"Stephanie"&amp;IF('Stephanie'!$E$6:$E$300="",""," : "&amp;'Stephanie'!$E$6:$E$300)&amp;" ["&amp;'Stephanie'!$F$6:$F$300&amp;"]",""),IF('Fox'!$B$6:$B$300=$A341,"Fox"&amp;IF('Fox'!$E$6:$E$300="",""," : "&amp;'Fox'!$E$6:$E$300)&amp;" ["&amp;'Fox'!$F$6:$F$300&amp;"]",""),IF('Bruna'!$B$6:$B$300=$A341,"Bruna"&amp;IF('Bruna'!$E$6:$E$300="",""," : "&amp;'Bruna'!$E$6:$E$300)&amp;" ["&amp;'Bruna'!$F$6:$F$300&amp;"]",""),IF('Stella'!$B$6:$B$300=$A341,"Stella"&amp;IF('Stella'!$E$6:$E$300="",""," : "&amp;'Stella'!$E$6:$E$300)&amp;" ["&amp;'Stella'!$F$6:$F$300&amp;"]",""),IF('Igor'!$B$6:$B$300=$A341,"Igor"&amp;IF('Igor'!$E$6:$E$300="",""," : "&amp;'Igor'!$E$6:$E$300)&amp;" ["&amp;'Igor'!$F$6:$F$300&amp;"]","")))</f>
        <v/>
      </c>
    </row>
    <row r="342">
      <c r="G342" s="23">
        <f>IF($A342="","",_xlfn.TEXTJOIN("; ",TRUE,IF(COUNTIF('Clarice'!$B$6:$B$300,$A342)&gt;0,"Clarice",""),IF(COUNTIF('Luisa'!$B$6:$B$300,$A342)&gt;0,"Luisa",""),IF(COUNTIF('Lui'!$B$6:$B$300,$A342)&gt;0,"Lui",""),IF(COUNTIF('Thaís'!$B$6:$B$300,$A342)&gt;0,"Thaís",""),IF(COUNTIF('Daniel'!$B$6:$B$300,$A342)&gt;0,"Daniel",""),IF(COUNTIF('Fernando'!$B$6:$B$300,$A342)&gt;0,"Fernando",""),IF(COUNTIF('Stephanie'!$B$6:$B$300,$A342)&gt;0,"Stephanie",""),IF(COUNTIF('Fox'!$B$6:$B$300,$A342)&gt;0,"Fox",""),IF(COUNTIF('Bruna'!$B$6:$B$300,$A342)&gt;0,"Bruna",""),IF(COUNTIF('Stella'!$B$6:$B$300,$A342)&gt;0,"Stella",""),IF(COUNTIF('Igor'!$B$6:$B$300,$A342)&gt;0,"Igor","")))</f>
        <v/>
      </c>
      <c r="J342" s="24">
        <f>IF(OR($A342="",(COUNTIF('Clarice'!$B$6:$B$300,$A342)+COUNTIF('Luisa'!$B$6:$B$300,$A342)+COUNTIF('Lui'!$B$6:$B$300,$A342)+COUNTIF('Thaís'!$B$6:$B$300,$A342)+COUNTIF('Daniel'!$B$6:$B$300,$A342)+COUNTIF('Fernando'!$B$6:$B$300,$A342)+COUNTIF('Stephanie'!$B$6:$B$300,$A342)+COUNTIF('Fox'!$B$6:$B$300,$A342)+COUNTIF('Bruna'!$B$6:$B$300,$A342)+COUNTIF('Stella'!$B$6:$B$300,$A342)+COUNTIF('Igor'!$B$6:$B$300,$A342))=0),"",(COUNTIFS('Clarice'!$B$6:$B$300,$A342,'Clarice'!$F$6:$F$300,"Concluído")+COUNTIFS('Luisa'!$B$6:$B$300,$A342,'Luisa'!$F$6:$F$300,"Concluído")+COUNTIFS('Lui'!$B$6:$B$300,$A342,'Lui'!$F$6:$F$300,"Concluído")+COUNTIFS('Thaís'!$B$6:$B$300,$A342,'Thaís'!$F$6:$F$300,"Concluído")+COUNTIFS('Daniel'!$B$6:$B$300,$A342,'Daniel'!$F$6:$F$300,"Concluído")+COUNTIFS('Fernando'!$B$6:$B$300,$A342,'Fernando'!$F$6:$F$300,"Concluído")+COUNTIFS('Stephanie'!$B$6:$B$300,$A342,'Stephanie'!$F$6:$F$300,"Concluído")+COUNTIFS('Fox'!$B$6:$B$300,$A342,'Fox'!$F$6:$F$300,"Concluído")+COUNTIFS('Bruna'!$B$6:$B$300,$A342,'Bruna'!$F$6:$F$300,"Concluído")+COUNTIFS('Stella'!$B$6:$B$300,$A342,'Stella'!$F$6:$F$300,"Concluído")+COUNTIFS('Igor'!$B$6:$B$300,$A342,'Igor'!$F$6:$F$300,"Concluído"))&amp;" / "&amp;(COUNTIF('Clarice'!$B$6:$B$300,$A342)+COUNTIF('Luisa'!$B$6:$B$300,$A342)+COUNTIF('Lui'!$B$6:$B$300,$A342)+COUNTIF('Thaís'!$B$6:$B$300,$A342)+COUNTIF('Daniel'!$B$6:$B$300,$A342)+COUNTIF('Fernando'!$B$6:$B$300,$A342)+COUNTIF('Stephanie'!$B$6:$B$300,$A342)+COUNTIF('Fox'!$B$6:$B$300,$A342)+COUNTIF('Bruna'!$B$6:$B$300,$A342)+COUNTIF('Stella'!$B$6:$B$300,$A342)+COUNTIF('Igor'!$B$6:$B$300,$A342)))</f>
        <v/>
      </c>
      <c r="P342" s="25">
        <f>IF($A342="","",IF(M342&lt;&gt;"",M342,IF(K342&lt;&gt;"",K342,"")))</f>
        <v/>
      </c>
      <c r="Q342" s="25">
        <f>IF($A342="","",IF(N342&lt;&gt;"",N342,IF(L342&lt;&gt;"",L342,"")))</f>
        <v/>
      </c>
      <c r="S342" s="23">
        <f t="array" ref="S342">IF($A342="","",_xlfn.TEXTJOIN(CHAR(10),TRUE,IF('Clarice'!$B$6:$B$300=$A342,"Clarice"&amp;IF('Clarice'!$E$6:$E$300="",""," : "&amp;'Clarice'!$E$6:$E$300)&amp;" ["&amp;'Clarice'!$F$6:$F$300&amp;"]",""),IF('Luisa'!$B$6:$B$300=$A342,"Luisa"&amp;IF('Luisa'!$E$6:$E$300="",""," : "&amp;'Luisa'!$E$6:$E$300)&amp;" ["&amp;'Luisa'!$F$6:$F$300&amp;"]",""),IF('Lui'!$B$6:$B$300=$A342,"Lui"&amp;IF('Lui'!$E$6:$E$300="",""," : "&amp;'Lui'!$E$6:$E$300)&amp;" ["&amp;'Lui'!$F$6:$F$300&amp;"]",""),IF('Thaís'!$B$6:$B$300=$A342,"Thaís"&amp;IF('Thaís'!$E$6:$E$300="",""," : "&amp;'Thaís'!$E$6:$E$300)&amp;" ["&amp;'Thaís'!$F$6:$F$300&amp;"]",""),IF('Daniel'!$B$6:$B$300=$A342,"Daniel"&amp;IF('Daniel'!$E$6:$E$300="",""," : "&amp;'Daniel'!$E$6:$E$300)&amp;" ["&amp;'Daniel'!$F$6:$F$300&amp;"]",""),IF('Fernando'!$B$6:$B$300=$A342,"Fernando"&amp;IF('Fernando'!$E$6:$E$300="",""," : "&amp;'Fernando'!$E$6:$E$300)&amp;" ["&amp;'Fernando'!$F$6:$F$300&amp;"]",""),IF('Stephanie'!$B$6:$B$300=$A342,"Stephanie"&amp;IF('Stephanie'!$E$6:$E$300="",""," : "&amp;'Stephanie'!$E$6:$E$300)&amp;" ["&amp;'Stephanie'!$F$6:$F$300&amp;"]",""),IF('Fox'!$B$6:$B$300=$A342,"Fox"&amp;IF('Fox'!$E$6:$E$300="",""," : "&amp;'Fox'!$E$6:$E$300)&amp;" ["&amp;'Fox'!$F$6:$F$300&amp;"]",""),IF('Bruna'!$B$6:$B$300=$A342,"Bruna"&amp;IF('Bruna'!$E$6:$E$300="",""," : "&amp;'Bruna'!$E$6:$E$300)&amp;" ["&amp;'Bruna'!$F$6:$F$300&amp;"]",""),IF('Stella'!$B$6:$B$300=$A342,"Stella"&amp;IF('Stella'!$E$6:$E$300="",""," : "&amp;'Stella'!$E$6:$E$300)&amp;" ["&amp;'Stella'!$F$6:$F$300&amp;"]",""),IF('Igor'!$B$6:$B$300=$A342,"Igor"&amp;IF('Igor'!$E$6:$E$300="",""," : "&amp;'Igor'!$E$6:$E$300)&amp;" ["&amp;'Igor'!$F$6:$F$300&amp;"]","")))</f>
        <v/>
      </c>
    </row>
    <row r="343">
      <c r="G343" s="23">
        <f>IF($A343="","",_xlfn.TEXTJOIN("; ",TRUE,IF(COUNTIF('Clarice'!$B$6:$B$300,$A343)&gt;0,"Clarice",""),IF(COUNTIF('Luisa'!$B$6:$B$300,$A343)&gt;0,"Luisa",""),IF(COUNTIF('Lui'!$B$6:$B$300,$A343)&gt;0,"Lui",""),IF(COUNTIF('Thaís'!$B$6:$B$300,$A343)&gt;0,"Thaís",""),IF(COUNTIF('Daniel'!$B$6:$B$300,$A343)&gt;0,"Daniel",""),IF(COUNTIF('Fernando'!$B$6:$B$300,$A343)&gt;0,"Fernando",""),IF(COUNTIF('Stephanie'!$B$6:$B$300,$A343)&gt;0,"Stephanie",""),IF(COUNTIF('Fox'!$B$6:$B$300,$A343)&gt;0,"Fox",""),IF(COUNTIF('Bruna'!$B$6:$B$300,$A343)&gt;0,"Bruna",""),IF(COUNTIF('Stella'!$B$6:$B$300,$A343)&gt;0,"Stella",""),IF(COUNTIF('Igor'!$B$6:$B$300,$A343)&gt;0,"Igor","")))</f>
        <v/>
      </c>
      <c r="J343" s="24">
        <f>IF(OR($A343="",(COUNTIF('Clarice'!$B$6:$B$300,$A343)+COUNTIF('Luisa'!$B$6:$B$300,$A343)+COUNTIF('Lui'!$B$6:$B$300,$A343)+COUNTIF('Thaís'!$B$6:$B$300,$A343)+COUNTIF('Daniel'!$B$6:$B$300,$A343)+COUNTIF('Fernando'!$B$6:$B$300,$A343)+COUNTIF('Stephanie'!$B$6:$B$300,$A343)+COUNTIF('Fox'!$B$6:$B$300,$A343)+COUNTIF('Bruna'!$B$6:$B$300,$A343)+COUNTIF('Stella'!$B$6:$B$300,$A343)+COUNTIF('Igor'!$B$6:$B$300,$A343))=0),"",(COUNTIFS('Clarice'!$B$6:$B$300,$A343,'Clarice'!$F$6:$F$300,"Concluído")+COUNTIFS('Luisa'!$B$6:$B$300,$A343,'Luisa'!$F$6:$F$300,"Concluído")+COUNTIFS('Lui'!$B$6:$B$300,$A343,'Lui'!$F$6:$F$300,"Concluído")+COUNTIFS('Thaís'!$B$6:$B$300,$A343,'Thaís'!$F$6:$F$300,"Concluído")+COUNTIFS('Daniel'!$B$6:$B$300,$A343,'Daniel'!$F$6:$F$300,"Concluído")+COUNTIFS('Fernando'!$B$6:$B$300,$A343,'Fernando'!$F$6:$F$300,"Concluído")+COUNTIFS('Stephanie'!$B$6:$B$300,$A343,'Stephanie'!$F$6:$F$300,"Concluído")+COUNTIFS('Fox'!$B$6:$B$300,$A343,'Fox'!$F$6:$F$300,"Concluído")+COUNTIFS('Bruna'!$B$6:$B$300,$A343,'Bruna'!$F$6:$F$300,"Concluído")+COUNTIFS('Stella'!$B$6:$B$300,$A343,'Stella'!$F$6:$F$300,"Concluído")+COUNTIFS('Igor'!$B$6:$B$300,$A343,'Igor'!$F$6:$F$300,"Concluído"))&amp;" / "&amp;(COUNTIF('Clarice'!$B$6:$B$300,$A343)+COUNTIF('Luisa'!$B$6:$B$300,$A343)+COUNTIF('Lui'!$B$6:$B$300,$A343)+COUNTIF('Thaís'!$B$6:$B$300,$A343)+COUNTIF('Daniel'!$B$6:$B$300,$A343)+COUNTIF('Fernando'!$B$6:$B$300,$A343)+COUNTIF('Stephanie'!$B$6:$B$300,$A343)+COUNTIF('Fox'!$B$6:$B$300,$A343)+COUNTIF('Bruna'!$B$6:$B$300,$A343)+COUNTIF('Stella'!$B$6:$B$300,$A343)+COUNTIF('Igor'!$B$6:$B$300,$A343)))</f>
        <v/>
      </c>
      <c r="P343" s="25">
        <f>IF($A343="","",IF(M343&lt;&gt;"",M343,IF(K343&lt;&gt;"",K343,"")))</f>
        <v/>
      </c>
      <c r="Q343" s="25">
        <f>IF($A343="","",IF(N343&lt;&gt;"",N343,IF(L343&lt;&gt;"",L343,"")))</f>
        <v/>
      </c>
      <c r="S343" s="23">
        <f t="array" ref="S343">IF($A343="","",_xlfn.TEXTJOIN(CHAR(10),TRUE,IF('Clarice'!$B$6:$B$300=$A343,"Clarice"&amp;IF('Clarice'!$E$6:$E$300="",""," : "&amp;'Clarice'!$E$6:$E$300)&amp;" ["&amp;'Clarice'!$F$6:$F$300&amp;"]",""),IF('Luisa'!$B$6:$B$300=$A343,"Luisa"&amp;IF('Luisa'!$E$6:$E$300="",""," : "&amp;'Luisa'!$E$6:$E$300)&amp;" ["&amp;'Luisa'!$F$6:$F$300&amp;"]",""),IF('Lui'!$B$6:$B$300=$A343,"Lui"&amp;IF('Lui'!$E$6:$E$300="",""," : "&amp;'Lui'!$E$6:$E$300)&amp;" ["&amp;'Lui'!$F$6:$F$300&amp;"]",""),IF('Thaís'!$B$6:$B$300=$A343,"Thaís"&amp;IF('Thaís'!$E$6:$E$300="",""," : "&amp;'Thaís'!$E$6:$E$300)&amp;" ["&amp;'Thaís'!$F$6:$F$300&amp;"]",""),IF('Daniel'!$B$6:$B$300=$A343,"Daniel"&amp;IF('Daniel'!$E$6:$E$300="",""," : "&amp;'Daniel'!$E$6:$E$300)&amp;" ["&amp;'Daniel'!$F$6:$F$300&amp;"]",""),IF('Fernando'!$B$6:$B$300=$A343,"Fernando"&amp;IF('Fernando'!$E$6:$E$300="",""," : "&amp;'Fernando'!$E$6:$E$300)&amp;" ["&amp;'Fernando'!$F$6:$F$300&amp;"]",""),IF('Stephanie'!$B$6:$B$300=$A343,"Stephanie"&amp;IF('Stephanie'!$E$6:$E$300="",""," : "&amp;'Stephanie'!$E$6:$E$300)&amp;" ["&amp;'Stephanie'!$F$6:$F$300&amp;"]",""),IF('Fox'!$B$6:$B$300=$A343,"Fox"&amp;IF('Fox'!$E$6:$E$300="",""," : "&amp;'Fox'!$E$6:$E$300)&amp;" ["&amp;'Fox'!$F$6:$F$300&amp;"]",""),IF('Bruna'!$B$6:$B$300=$A343,"Bruna"&amp;IF('Bruna'!$E$6:$E$300="",""," : "&amp;'Bruna'!$E$6:$E$300)&amp;" ["&amp;'Bruna'!$F$6:$F$300&amp;"]",""),IF('Stella'!$B$6:$B$300=$A343,"Stella"&amp;IF('Stella'!$E$6:$E$300="",""," : "&amp;'Stella'!$E$6:$E$300)&amp;" ["&amp;'Stella'!$F$6:$F$300&amp;"]",""),IF('Igor'!$B$6:$B$300=$A343,"Igor"&amp;IF('Igor'!$E$6:$E$300="",""," : "&amp;'Igor'!$E$6:$E$300)&amp;" ["&amp;'Igor'!$F$6:$F$300&amp;"]","")))</f>
        <v/>
      </c>
    </row>
    <row r="344">
      <c r="G344" s="23">
        <f>IF($A344="","",_xlfn.TEXTJOIN("; ",TRUE,IF(COUNTIF('Clarice'!$B$6:$B$300,$A344)&gt;0,"Clarice",""),IF(COUNTIF('Luisa'!$B$6:$B$300,$A344)&gt;0,"Luisa",""),IF(COUNTIF('Lui'!$B$6:$B$300,$A344)&gt;0,"Lui",""),IF(COUNTIF('Thaís'!$B$6:$B$300,$A344)&gt;0,"Thaís",""),IF(COUNTIF('Daniel'!$B$6:$B$300,$A344)&gt;0,"Daniel",""),IF(COUNTIF('Fernando'!$B$6:$B$300,$A344)&gt;0,"Fernando",""),IF(COUNTIF('Stephanie'!$B$6:$B$300,$A344)&gt;0,"Stephanie",""),IF(COUNTIF('Fox'!$B$6:$B$300,$A344)&gt;0,"Fox",""),IF(COUNTIF('Bruna'!$B$6:$B$300,$A344)&gt;0,"Bruna",""),IF(COUNTIF('Stella'!$B$6:$B$300,$A344)&gt;0,"Stella",""),IF(COUNTIF('Igor'!$B$6:$B$300,$A344)&gt;0,"Igor","")))</f>
        <v/>
      </c>
      <c r="J344" s="24">
        <f>IF(OR($A344="",(COUNTIF('Clarice'!$B$6:$B$300,$A344)+COUNTIF('Luisa'!$B$6:$B$300,$A344)+COUNTIF('Lui'!$B$6:$B$300,$A344)+COUNTIF('Thaís'!$B$6:$B$300,$A344)+COUNTIF('Daniel'!$B$6:$B$300,$A344)+COUNTIF('Fernando'!$B$6:$B$300,$A344)+COUNTIF('Stephanie'!$B$6:$B$300,$A344)+COUNTIF('Fox'!$B$6:$B$300,$A344)+COUNTIF('Bruna'!$B$6:$B$300,$A344)+COUNTIF('Stella'!$B$6:$B$300,$A344)+COUNTIF('Igor'!$B$6:$B$300,$A344))=0),"",(COUNTIFS('Clarice'!$B$6:$B$300,$A344,'Clarice'!$F$6:$F$300,"Concluído")+COUNTIFS('Luisa'!$B$6:$B$300,$A344,'Luisa'!$F$6:$F$300,"Concluído")+COUNTIFS('Lui'!$B$6:$B$300,$A344,'Lui'!$F$6:$F$300,"Concluído")+COUNTIFS('Thaís'!$B$6:$B$300,$A344,'Thaís'!$F$6:$F$300,"Concluído")+COUNTIFS('Daniel'!$B$6:$B$300,$A344,'Daniel'!$F$6:$F$300,"Concluído")+COUNTIFS('Fernando'!$B$6:$B$300,$A344,'Fernando'!$F$6:$F$300,"Concluído")+COUNTIFS('Stephanie'!$B$6:$B$300,$A344,'Stephanie'!$F$6:$F$300,"Concluído")+COUNTIFS('Fox'!$B$6:$B$300,$A344,'Fox'!$F$6:$F$300,"Concluído")+COUNTIFS('Bruna'!$B$6:$B$300,$A344,'Bruna'!$F$6:$F$300,"Concluído")+COUNTIFS('Stella'!$B$6:$B$300,$A344,'Stella'!$F$6:$F$300,"Concluído")+COUNTIFS('Igor'!$B$6:$B$300,$A344,'Igor'!$F$6:$F$300,"Concluído"))&amp;" / "&amp;(COUNTIF('Clarice'!$B$6:$B$300,$A344)+COUNTIF('Luisa'!$B$6:$B$300,$A344)+COUNTIF('Lui'!$B$6:$B$300,$A344)+COUNTIF('Thaís'!$B$6:$B$300,$A344)+COUNTIF('Daniel'!$B$6:$B$300,$A344)+COUNTIF('Fernando'!$B$6:$B$300,$A344)+COUNTIF('Stephanie'!$B$6:$B$300,$A344)+COUNTIF('Fox'!$B$6:$B$300,$A344)+COUNTIF('Bruna'!$B$6:$B$300,$A344)+COUNTIF('Stella'!$B$6:$B$300,$A344)+COUNTIF('Igor'!$B$6:$B$300,$A344)))</f>
        <v/>
      </c>
      <c r="P344" s="25">
        <f>IF($A344="","",IF(M344&lt;&gt;"",M344,IF(K344&lt;&gt;"",K344,"")))</f>
        <v/>
      </c>
      <c r="Q344" s="25">
        <f>IF($A344="","",IF(N344&lt;&gt;"",N344,IF(L344&lt;&gt;"",L344,"")))</f>
        <v/>
      </c>
      <c r="S344" s="23">
        <f t="array" ref="S344">IF($A344="","",_xlfn.TEXTJOIN(CHAR(10),TRUE,IF('Clarice'!$B$6:$B$300=$A344,"Clarice"&amp;IF('Clarice'!$E$6:$E$300="",""," : "&amp;'Clarice'!$E$6:$E$300)&amp;" ["&amp;'Clarice'!$F$6:$F$300&amp;"]",""),IF('Luisa'!$B$6:$B$300=$A344,"Luisa"&amp;IF('Luisa'!$E$6:$E$300="",""," : "&amp;'Luisa'!$E$6:$E$300)&amp;" ["&amp;'Luisa'!$F$6:$F$300&amp;"]",""),IF('Lui'!$B$6:$B$300=$A344,"Lui"&amp;IF('Lui'!$E$6:$E$300="",""," : "&amp;'Lui'!$E$6:$E$300)&amp;" ["&amp;'Lui'!$F$6:$F$300&amp;"]",""),IF('Thaís'!$B$6:$B$300=$A344,"Thaís"&amp;IF('Thaís'!$E$6:$E$300="",""," : "&amp;'Thaís'!$E$6:$E$300)&amp;" ["&amp;'Thaís'!$F$6:$F$300&amp;"]",""),IF('Daniel'!$B$6:$B$300=$A344,"Daniel"&amp;IF('Daniel'!$E$6:$E$300="",""," : "&amp;'Daniel'!$E$6:$E$300)&amp;" ["&amp;'Daniel'!$F$6:$F$300&amp;"]",""),IF('Fernando'!$B$6:$B$300=$A344,"Fernando"&amp;IF('Fernando'!$E$6:$E$300="",""," : "&amp;'Fernando'!$E$6:$E$300)&amp;" ["&amp;'Fernando'!$F$6:$F$300&amp;"]",""),IF('Stephanie'!$B$6:$B$300=$A344,"Stephanie"&amp;IF('Stephanie'!$E$6:$E$300="",""," : "&amp;'Stephanie'!$E$6:$E$300)&amp;" ["&amp;'Stephanie'!$F$6:$F$300&amp;"]",""),IF('Fox'!$B$6:$B$300=$A344,"Fox"&amp;IF('Fox'!$E$6:$E$300="",""," : "&amp;'Fox'!$E$6:$E$300)&amp;" ["&amp;'Fox'!$F$6:$F$300&amp;"]",""),IF('Bruna'!$B$6:$B$300=$A344,"Bruna"&amp;IF('Bruna'!$E$6:$E$300="",""," : "&amp;'Bruna'!$E$6:$E$300)&amp;" ["&amp;'Bruna'!$F$6:$F$300&amp;"]",""),IF('Stella'!$B$6:$B$300=$A344,"Stella"&amp;IF('Stella'!$E$6:$E$300="",""," : "&amp;'Stella'!$E$6:$E$300)&amp;" ["&amp;'Stella'!$F$6:$F$300&amp;"]",""),IF('Igor'!$B$6:$B$300=$A344,"Igor"&amp;IF('Igor'!$E$6:$E$300="",""," : "&amp;'Igor'!$E$6:$E$300)&amp;" ["&amp;'Igor'!$F$6:$F$300&amp;"]","")))</f>
        <v/>
      </c>
    </row>
    <row r="345">
      <c r="G345" s="23">
        <f>IF($A345="","",_xlfn.TEXTJOIN("; ",TRUE,IF(COUNTIF('Clarice'!$B$6:$B$300,$A345)&gt;0,"Clarice",""),IF(COUNTIF('Luisa'!$B$6:$B$300,$A345)&gt;0,"Luisa",""),IF(COUNTIF('Lui'!$B$6:$B$300,$A345)&gt;0,"Lui",""),IF(COUNTIF('Thaís'!$B$6:$B$300,$A345)&gt;0,"Thaís",""),IF(COUNTIF('Daniel'!$B$6:$B$300,$A345)&gt;0,"Daniel",""),IF(COUNTIF('Fernando'!$B$6:$B$300,$A345)&gt;0,"Fernando",""),IF(COUNTIF('Stephanie'!$B$6:$B$300,$A345)&gt;0,"Stephanie",""),IF(COUNTIF('Fox'!$B$6:$B$300,$A345)&gt;0,"Fox",""),IF(COUNTIF('Bruna'!$B$6:$B$300,$A345)&gt;0,"Bruna",""),IF(COUNTIF('Stella'!$B$6:$B$300,$A345)&gt;0,"Stella",""),IF(COUNTIF('Igor'!$B$6:$B$300,$A345)&gt;0,"Igor","")))</f>
        <v/>
      </c>
      <c r="J345" s="24">
        <f>IF(OR($A345="",(COUNTIF('Clarice'!$B$6:$B$300,$A345)+COUNTIF('Luisa'!$B$6:$B$300,$A345)+COUNTIF('Lui'!$B$6:$B$300,$A345)+COUNTIF('Thaís'!$B$6:$B$300,$A345)+COUNTIF('Daniel'!$B$6:$B$300,$A345)+COUNTIF('Fernando'!$B$6:$B$300,$A345)+COUNTIF('Stephanie'!$B$6:$B$300,$A345)+COUNTIF('Fox'!$B$6:$B$300,$A345)+COUNTIF('Bruna'!$B$6:$B$300,$A345)+COUNTIF('Stella'!$B$6:$B$300,$A345)+COUNTIF('Igor'!$B$6:$B$300,$A345))=0),"",(COUNTIFS('Clarice'!$B$6:$B$300,$A345,'Clarice'!$F$6:$F$300,"Concluído")+COUNTIFS('Luisa'!$B$6:$B$300,$A345,'Luisa'!$F$6:$F$300,"Concluído")+COUNTIFS('Lui'!$B$6:$B$300,$A345,'Lui'!$F$6:$F$300,"Concluído")+COUNTIFS('Thaís'!$B$6:$B$300,$A345,'Thaís'!$F$6:$F$300,"Concluído")+COUNTIFS('Daniel'!$B$6:$B$300,$A345,'Daniel'!$F$6:$F$300,"Concluído")+COUNTIFS('Fernando'!$B$6:$B$300,$A345,'Fernando'!$F$6:$F$300,"Concluído")+COUNTIFS('Stephanie'!$B$6:$B$300,$A345,'Stephanie'!$F$6:$F$300,"Concluído")+COUNTIFS('Fox'!$B$6:$B$300,$A345,'Fox'!$F$6:$F$300,"Concluído")+COUNTIFS('Bruna'!$B$6:$B$300,$A345,'Bruna'!$F$6:$F$300,"Concluído")+COUNTIFS('Stella'!$B$6:$B$300,$A345,'Stella'!$F$6:$F$300,"Concluído")+COUNTIFS('Igor'!$B$6:$B$300,$A345,'Igor'!$F$6:$F$300,"Concluído"))&amp;" / "&amp;(COUNTIF('Clarice'!$B$6:$B$300,$A345)+COUNTIF('Luisa'!$B$6:$B$300,$A345)+COUNTIF('Lui'!$B$6:$B$300,$A345)+COUNTIF('Thaís'!$B$6:$B$300,$A345)+COUNTIF('Daniel'!$B$6:$B$300,$A345)+COUNTIF('Fernando'!$B$6:$B$300,$A345)+COUNTIF('Stephanie'!$B$6:$B$300,$A345)+COUNTIF('Fox'!$B$6:$B$300,$A345)+COUNTIF('Bruna'!$B$6:$B$300,$A345)+COUNTIF('Stella'!$B$6:$B$300,$A345)+COUNTIF('Igor'!$B$6:$B$300,$A345)))</f>
        <v/>
      </c>
      <c r="P345" s="25">
        <f>IF($A345="","",IF(M345&lt;&gt;"",M345,IF(K345&lt;&gt;"",K345,"")))</f>
        <v/>
      </c>
      <c r="Q345" s="25">
        <f>IF($A345="","",IF(N345&lt;&gt;"",N345,IF(L345&lt;&gt;"",L345,"")))</f>
        <v/>
      </c>
      <c r="S345" s="23">
        <f t="array" ref="S345">IF($A345="","",_xlfn.TEXTJOIN(CHAR(10),TRUE,IF('Clarice'!$B$6:$B$300=$A345,"Clarice"&amp;IF('Clarice'!$E$6:$E$300="",""," : "&amp;'Clarice'!$E$6:$E$300)&amp;" ["&amp;'Clarice'!$F$6:$F$300&amp;"]",""),IF('Luisa'!$B$6:$B$300=$A345,"Luisa"&amp;IF('Luisa'!$E$6:$E$300="",""," : "&amp;'Luisa'!$E$6:$E$300)&amp;" ["&amp;'Luisa'!$F$6:$F$300&amp;"]",""),IF('Lui'!$B$6:$B$300=$A345,"Lui"&amp;IF('Lui'!$E$6:$E$300="",""," : "&amp;'Lui'!$E$6:$E$300)&amp;" ["&amp;'Lui'!$F$6:$F$300&amp;"]",""),IF('Thaís'!$B$6:$B$300=$A345,"Thaís"&amp;IF('Thaís'!$E$6:$E$300="",""," : "&amp;'Thaís'!$E$6:$E$300)&amp;" ["&amp;'Thaís'!$F$6:$F$300&amp;"]",""),IF('Daniel'!$B$6:$B$300=$A345,"Daniel"&amp;IF('Daniel'!$E$6:$E$300="",""," : "&amp;'Daniel'!$E$6:$E$300)&amp;" ["&amp;'Daniel'!$F$6:$F$300&amp;"]",""),IF('Fernando'!$B$6:$B$300=$A345,"Fernando"&amp;IF('Fernando'!$E$6:$E$300="",""," : "&amp;'Fernando'!$E$6:$E$300)&amp;" ["&amp;'Fernando'!$F$6:$F$300&amp;"]",""),IF('Stephanie'!$B$6:$B$300=$A345,"Stephanie"&amp;IF('Stephanie'!$E$6:$E$300="",""," : "&amp;'Stephanie'!$E$6:$E$300)&amp;" ["&amp;'Stephanie'!$F$6:$F$300&amp;"]",""),IF('Fox'!$B$6:$B$300=$A345,"Fox"&amp;IF('Fox'!$E$6:$E$300="",""," : "&amp;'Fox'!$E$6:$E$300)&amp;" ["&amp;'Fox'!$F$6:$F$300&amp;"]",""),IF('Bruna'!$B$6:$B$300=$A345,"Bruna"&amp;IF('Bruna'!$E$6:$E$300="",""," : "&amp;'Bruna'!$E$6:$E$300)&amp;" ["&amp;'Bruna'!$F$6:$F$300&amp;"]",""),IF('Stella'!$B$6:$B$300=$A345,"Stella"&amp;IF('Stella'!$E$6:$E$300="",""," : "&amp;'Stella'!$E$6:$E$300)&amp;" ["&amp;'Stella'!$F$6:$F$300&amp;"]",""),IF('Igor'!$B$6:$B$300=$A345,"Igor"&amp;IF('Igor'!$E$6:$E$300="",""," : "&amp;'Igor'!$E$6:$E$300)&amp;" ["&amp;'Igor'!$F$6:$F$300&amp;"]","")))</f>
        <v/>
      </c>
    </row>
    <row r="346">
      <c r="G346" s="23">
        <f>IF($A346="","",_xlfn.TEXTJOIN("; ",TRUE,IF(COUNTIF('Clarice'!$B$6:$B$300,$A346)&gt;0,"Clarice",""),IF(COUNTIF('Luisa'!$B$6:$B$300,$A346)&gt;0,"Luisa",""),IF(COUNTIF('Lui'!$B$6:$B$300,$A346)&gt;0,"Lui",""),IF(COUNTIF('Thaís'!$B$6:$B$300,$A346)&gt;0,"Thaís",""),IF(COUNTIF('Daniel'!$B$6:$B$300,$A346)&gt;0,"Daniel",""),IF(COUNTIF('Fernando'!$B$6:$B$300,$A346)&gt;0,"Fernando",""),IF(COUNTIF('Stephanie'!$B$6:$B$300,$A346)&gt;0,"Stephanie",""),IF(COUNTIF('Fox'!$B$6:$B$300,$A346)&gt;0,"Fox",""),IF(COUNTIF('Bruna'!$B$6:$B$300,$A346)&gt;0,"Bruna",""),IF(COUNTIF('Stella'!$B$6:$B$300,$A346)&gt;0,"Stella",""),IF(COUNTIF('Igor'!$B$6:$B$300,$A346)&gt;0,"Igor","")))</f>
        <v/>
      </c>
      <c r="J346" s="24">
        <f>IF(OR($A346="",(COUNTIF('Clarice'!$B$6:$B$300,$A346)+COUNTIF('Luisa'!$B$6:$B$300,$A346)+COUNTIF('Lui'!$B$6:$B$300,$A346)+COUNTIF('Thaís'!$B$6:$B$300,$A346)+COUNTIF('Daniel'!$B$6:$B$300,$A346)+COUNTIF('Fernando'!$B$6:$B$300,$A346)+COUNTIF('Stephanie'!$B$6:$B$300,$A346)+COUNTIF('Fox'!$B$6:$B$300,$A346)+COUNTIF('Bruna'!$B$6:$B$300,$A346)+COUNTIF('Stella'!$B$6:$B$300,$A346)+COUNTIF('Igor'!$B$6:$B$300,$A346))=0),"",(COUNTIFS('Clarice'!$B$6:$B$300,$A346,'Clarice'!$F$6:$F$300,"Concluído")+COUNTIFS('Luisa'!$B$6:$B$300,$A346,'Luisa'!$F$6:$F$300,"Concluído")+COUNTIFS('Lui'!$B$6:$B$300,$A346,'Lui'!$F$6:$F$300,"Concluído")+COUNTIFS('Thaís'!$B$6:$B$300,$A346,'Thaís'!$F$6:$F$300,"Concluído")+COUNTIFS('Daniel'!$B$6:$B$300,$A346,'Daniel'!$F$6:$F$300,"Concluído")+COUNTIFS('Fernando'!$B$6:$B$300,$A346,'Fernando'!$F$6:$F$300,"Concluído")+COUNTIFS('Stephanie'!$B$6:$B$300,$A346,'Stephanie'!$F$6:$F$300,"Concluído")+COUNTIFS('Fox'!$B$6:$B$300,$A346,'Fox'!$F$6:$F$300,"Concluído")+COUNTIFS('Bruna'!$B$6:$B$300,$A346,'Bruna'!$F$6:$F$300,"Concluído")+COUNTIFS('Stella'!$B$6:$B$300,$A346,'Stella'!$F$6:$F$300,"Concluído")+COUNTIFS('Igor'!$B$6:$B$300,$A346,'Igor'!$F$6:$F$300,"Concluído"))&amp;" / "&amp;(COUNTIF('Clarice'!$B$6:$B$300,$A346)+COUNTIF('Luisa'!$B$6:$B$300,$A346)+COUNTIF('Lui'!$B$6:$B$300,$A346)+COUNTIF('Thaís'!$B$6:$B$300,$A346)+COUNTIF('Daniel'!$B$6:$B$300,$A346)+COUNTIF('Fernando'!$B$6:$B$300,$A346)+COUNTIF('Stephanie'!$B$6:$B$300,$A346)+COUNTIF('Fox'!$B$6:$B$300,$A346)+COUNTIF('Bruna'!$B$6:$B$300,$A346)+COUNTIF('Stella'!$B$6:$B$300,$A346)+COUNTIF('Igor'!$B$6:$B$300,$A346)))</f>
        <v/>
      </c>
      <c r="P346" s="25">
        <f>IF($A346="","",IF(M346&lt;&gt;"",M346,IF(K346&lt;&gt;"",K346,"")))</f>
        <v/>
      </c>
      <c r="Q346" s="25">
        <f>IF($A346="","",IF(N346&lt;&gt;"",N346,IF(L346&lt;&gt;"",L346,"")))</f>
        <v/>
      </c>
      <c r="S346" s="23">
        <f t="array" ref="S346">IF($A346="","",_xlfn.TEXTJOIN(CHAR(10),TRUE,IF('Clarice'!$B$6:$B$300=$A346,"Clarice"&amp;IF('Clarice'!$E$6:$E$300="",""," : "&amp;'Clarice'!$E$6:$E$300)&amp;" ["&amp;'Clarice'!$F$6:$F$300&amp;"]",""),IF('Luisa'!$B$6:$B$300=$A346,"Luisa"&amp;IF('Luisa'!$E$6:$E$300="",""," : "&amp;'Luisa'!$E$6:$E$300)&amp;" ["&amp;'Luisa'!$F$6:$F$300&amp;"]",""),IF('Lui'!$B$6:$B$300=$A346,"Lui"&amp;IF('Lui'!$E$6:$E$300="",""," : "&amp;'Lui'!$E$6:$E$300)&amp;" ["&amp;'Lui'!$F$6:$F$300&amp;"]",""),IF('Thaís'!$B$6:$B$300=$A346,"Thaís"&amp;IF('Thaís'!$E$6:$E$300="",""," : "&amp;'Thaís'!$E$6:$E$300)&amp;" ["&amp;'Thaís'!$F$6:$F$300&amp;"]",""),IF('Daniel'!$B$6:$B$300=$A346,"Daniel"&amp;IF('Daniel'!$E$6:$E$300="",""," : "&amp;'Daniel'!$E$6:$E$300)&amp;" ["&amp;'Daniel'!$F$6:$F$300&amp;"]",""),IF('Fernando'!$B$6:$B$300=$A346,"Fernando"&amp;IF('Fernando'!$E$6:$E$300="",""," : "&amp;'Fernando'!$E$6:$E$300)&amp;" ["&amp;'Fernando'!$F$6:$F$300&amp;"]",""),IF('Stephanie'!$B$6:$B$300=$A346,"Stephanie"&amp;IF('Stephanie'!$E$6:$E$300="",""," : "&amp;'Stephanie'!$E$6:$E$300)&amp;" ["&amp;'Stephanie'!$F$6:$F$300&amp;"]",""),IF('Fox'!$B$6:$B$300=$A346,"Fox"&amp;IF('Fox'!$E$6:$E$300="",""," : "&amp;'Fox'!$E$6:$E$300)&amp;" ["&amp;'Fox'!$F$6:$F$300&amp;"]",""),IF('Bruna'!$B$6:$B$300=$A346,"Bruna"&amp;IF('Bruna'!$E$6:$E$300="",""," : "&amp;'Bruna'!$E$6:$E$300)&amp;" ["&amp;'Bruna'!$F$6:$F$300&amp;"]",""),IF('Stella'!$B$6:$B$300=$A346,"Stella"&amp;IF('Stella'!$E$6:$E$300="",""," : "&amp;'Stella'!$E$6:$E$300)&amp;" ["&amp;'Stella'!$F$6:$F$300&amp;"]",""),IF('Igor'!$B$6:$B$300=$A346,"Igor"&amp;IF('Igor'!$E$6:$E$300="",""," : "&amp;'Igor'!$E$6:$E$300)&amp;" ["&amp;'Igor'!$F$6:$F$300&amp;"]","")))</f>
        <v/>
      </c>
    </row>
    <row r="347">
      <c r="G347" s="23">
        <f>IF($A347="","",_xlfn.TEXTJOIN("; ",TRUE,IF(COUNTIF('Clarice'!$B$6:$B$300,$A347)&gt;0,"Clarice",""),IF(COUNTIF('Luisa'!$B$6:$B$300,$A347)&gt;0,"Luisa",""),IF(COUNTIF('Lui'!$B$6:$B$300,$A347)&gt;0,"Lui",""),IF(COUNTIF('Thaís'!$B$6:$B$300,$A347)&gt;0,"Thaís",""),IF(COUNTIF('Daniel'!$B$6:$B$300,$A347)&gt;0,"Daniel",""),IF(COUNTIF('Fernando'!$B$6:$B$300,$A347)&gt;0,"Fernando",""),IF(COUNTIF('Stephanie'!$B$6:$B$300,$A347)&gt;0,"Stephanie",""),IF(COUNTIF('Fox'!$B$6:$B$300,$A347)&gt;0,"Fox",""),IF(COUNTIF('Bruna'!$B$6:$B$300,$A347)&gt;0,"Bruna",""),IF(COUNTIF('Stella'!$B$6:$B$300,$A347)&gt;0,"Stella",""),IF(COUNTIF('Igor'!$B$6:$B$300,$A347)&gt;0,"Igor","")))</f>
        <v/>
      </c>
      <c r="J347" s="24">
        <f>IF(OR($A347="",(COUNTIF('Clarice'!$B$6:$B$300,$A347)+COUNTIF('Luisa'!$B$6:$B$300,$A347)+COUNTIF('Lui'!$B$6:$B$300,$A347)+COUNTIF('Thaís'!$B$6:$B$300,$A347)+COUNTIF('Daniel'!$B$6:$B$300,$A347)+COUNTIF('Fernando'!$B$6:$B$300,$A347)+COUNTIF('Stephanie'!$B$6:$B$300,$A347)+COUNTIF('Fox'!$B$6:$B$300,$A347)+COUNTIF('Bruna'!$B$6:$B$300,$A347)+COUNTIF('Stella'!$B$6:$B$300,$A347)+COUNTIF('Igor'!$B$6:$B$300,$A347))=0),"",(COUNTIFS('Clarice'!$B$6:$B$300,$A347,'Clarice'!$F$6:$F$300,"Concluído")+COUNTIFS('Luisa'!$B$6:$B$300,$A347,'Luisa'!$F$6:$F$300,"Concluído")+COUNTIFS('Lui'!$B$6:$B$300,$A347,'Lui'!$F$6:$F$300,"Concluído")+COUNTIFS('Thaís'!$B$6:$B$300,$A347,'Thaís'!$F$6:$F$300,"Concluído")+COUNTIFS('Daniel'!$B$6:$B$300,$A347,'Daniel'!$F$6:$F$300,"Concluído")+COUNTIFS('Fernando'!$B$6:$B$300,$A347,'Fernando'!$F$6:$F$300,"Concluído")+COUNTIFS('Stephanie'!$B$6:$B$300,$A347,'Stephanie'!$F$6:$F$300,"Concluído")+COUNTIFS('Fox'!$B$6:$B$300,$A347,'Fox'!$F$6:$F$300,"Concluído")+COUNTIFS('Bruna'!$B$6:$B$300,$A347,'Bruna'!$F$6:$F$300,"Concluído")+COUNTIFS('Stella'!$B$6:$B$300,$A347,'Stella'!$F$6:$F$300,"Concluído")+COUNTIFS('Igor'!$B$6:$B$300,$A347,'Igor'!$F$6:$F$300,"Concluído"))&amp;" / "&amp;(COUNTIF('Clarice'!$B$6:$B$300,$A347)+COUNTIF('Luisa'!$B$6:$B$300,$A347)+COUNTIF('Lui'!$B$6:$B$300,$A347)+COUNTIF('Thaís'!$B$6:$B$300,$A347)+COUNTIF('Daniel'!$B$6:$B$300,$A347)+COUNTIF('Fernando'!$B$6:$B$300,$A347)+COUNTIF('Stephanie'!$B$6:$B$300,$A347)+COUNTIF('Fox'!$B$6:$B$300,$A347)+COUNTIF('Bruna'!$B$6:$B$300,$A347)+COUNTIF('Stella'!$B$6:$B$300,$A347)+COUNTIF('Igor'!$B$6:$B$300,$A347)))</f>
        <v/>
      </c>
      <c r="P347" s="25">
        <f>IF($A347="","",IF(M347&lt;&gt;"",M347,IF(K347&lt;&gt;"",K347,"")))</f>
        <v/>
      </c>
      <c r="Q347" s="25">
        <f>IF($A347="","",IF(N347&lt;&gt;"",N347,IF(L347&lt;&gt;"",L347,"")))</f>
        <v/>
      </c>
      <c r="S347" s="23">
        <f t="array" ref="S347">IF($A347="","",_xlfn.TEXTJOIN(CHAR(10),TRUE,IF('Clarice'!$B$6:$B$300=$A347,"Clarice"&amp;IF('Clarice'!$E$6:$E$300="",""," : "&amp;'Clarice'!$E$6:$E$300)&amp;" ["&amp;'Clarice'!$F$6:$F$300&amp;"]",""),IF('Luisa'!$B$6:$B$300=$A347,"Luisa"&amp;IF('Luisa'!$E$6:$E$300="",""," : "&amp;'Luisa'!$E$6:$E$300)&amp;" ["&amp;'Luisa'!$F$6:$F$300&amp;"]",""),IF('Lui'!$B$6:$B$300=$A347,"Lui"&amp;IF('Lui'!$E$6:$E$300="",""," : "&amp;'Lui'!$E$6:$E$300)&amp;" ["&amp;'Lui'!$F$6:$F$300&amp;"]",""),IF('Thaís'!$B$6:$B$300=$A347,"Thaís"&amp;IF('Thaís'!$E$6:$E$300="",""," : "&amp;'Thaís'!$E$6:$E$300)&amp;" ["&amp;'Thaís'!$F$6:$F$300&amp;"]",""),IF('Daniel'!$B$6:$B$300=$A347,"Daniel"&amp;IF('Daniel'!$E$6:$E$300="",""," : "&amp;'Daniel'!$E$6:$E$300)&amp;" ["&amp;'Daniel'!$F$6:$F$300&amp;"]",""),IF('Fernando'!$B$6:$B$300=$A347,"Fernando"&amp;IF('Fernando'!$E$6:$E$300="",""," : "&amp;'Fernando'!$E$6:$E$300)&amp;" ["&amp;'Fernando'!$F$6:$F$300&amp;"]",""),IF('Stephanie'!$B$6:$B$300=$A347,"Stephanie"&amp;IF('Stephanie'!$E$6:$E$300="",""," : "&amp;'Stephanie'!$E$6:$E$300)&amp;" ["&amp;'Stephanie'!$F$6:$F$300&amp;"]",""),IF('Fox'!$B$6:$B$300=$A347,"Fox"&amp;IF('Fox'!$E$6:$E$300="",""," : "&amp;'Fox'!$E$6:$E$300)&amp;" ["&amp;'Fox'!$F$6:$F$300&amp;"]",""),IF('Bruna'!$B$6:$B$300=$A347,"Bruna"&amp;IF('Bruna'!$E$6:$E$300="",""," : "&amp;'Bruna'!$E$6:$E$300)&amp;" ["&amp;'Bruna'!$F$6:$F$300&amp;"]",""),IF('Stella'!$B$6:$B$300=$A347,"Stella"&amp;IF('Stella'!$E$6:$E$300="",""," : "&amp;'Stella'!$E$6:$E$300)&amp;" ["&amp;'Stella'!$F$6:$F$300&amp;"]",""),IF('Igor'!$B$6:$B$300=$A347,"Igor"&amp;IF('Igor'!$E$6:$E$300="",""," : "&amp;'Igor'!$E$6:$E$300)&amp;" ["&amp;'Igor'!$F$6:$F$300&amp;"]","")))</f>
        <v/>
      </c>
    </row>
    <row r="348">
      <c r="G348" s="23">
        <f>IF($A348="","",_xlfn.TEXTJOIN("; ",TRUE,IF(COUNTIF('Clarice'!$B$6:$B$300,$A348)&gt;0,"Clarice",""),IF(COUNTIF('Luisa'!$B$6:$B$300,$A348)&gt;0,"Luisa",""),IF(COUNTIF('Lui'!$B$6:$B$300,$A348)&gt;0,"Lui",""),IF(COUNTIF('Thaís'!$B$6:$B$300,$A348)&gt;0,"Thaís",""),IF(COUNTIF('Daniel'!$B$6:$B$300,$A348)&gt;0,"Daniel",""),IF(COUNTIF('Fernando'!$B$6:$B$300,$A348)&gt;0,"Fernando",""),IF(COUNTIF('Stephanie'!$B$6:$B$300,$A348)&gt;0,"Stephanie",""),IF(COUNTIF('Fox'!$B$6:$B$300,$A348)&gt;0,"Fox",""),IF(COUNTIF('Bruna'!$B$6:$B$300,$A348)&gt;0,"Bruna",""),IF(COUNTIF('Stella'!$B$6:$B$300,$A348)&gt;0,"Stella",""),IF(COUNTIF('Igor'!$B$6:$B$300,$A348)&gt;0,"Igor","")))</f>
        <v/>
      </c>
      <c r="J348" s="24">
        <f>IF(OR($A348="",(COUNTIF('Clarice'!$B$6:$B$300,$A348)+COUNTIF('Luisa'!$B$6:$B$300,$A348)+COUNTIF('Lui'!$B$6:$B$300,$A348)+COUNTIF('Thaís'!$B$6:$B$300,$A348)+COUNTIF('Daniel'!$B$6:$B$300,$A348)+COUNTIF('Fernando'!$B$6:$B$300,$A348)+COUNTIF('Stephanie'!$B$6:$B$300,$A348)+COUNTIF('Fox'!$B$6:$B$300,$A348)+COUNTIF('Bruna'!$B$6:$B$300,$A348)+COUNTIF('Stella'!$B$6:$B$300,$A348)+COUNTIF('Igor'!$B$6:$B$300,$A348))=0),"",(COUNTIFS('Clarice'!$B$6:$B$300,$A348,'Clarice'!$F$6:$F$300,"Concluído")+COUNTIFS('Luisa'!$B$6:$B$300,$A348,'Luisa'!$F$6:$F$300,"Concluído")+COUNTIFS('Lui'!$B$6:$B$300,$A348,'Lui'!$F$6:$F$300,"Concluído")+COUNTIFS('Thaís'!$B$6:$B$300,$A348,'Thaís'!$F$6:$F$300,"Concluído")+COUNTIFS('Daniel'!$B$6:$B$300,$A348,'Daniel'!$F$6:$F$300,"Concluído")+COUNTIFS('Fernando'!$B$6:$B$300,$A348,'Fernando'!$F$6:$F$300,"Concluído")+COUNTIFS('Stephanie'!$B$6:$B$300,$A348,'Stephanie'!$F$6:$F$300,"Concluído")+COUNTIFS('Fox'!$B$6:$B$300,$A348,'Fox'!$F$6:$F$300,"Concluído")+COUNTIFS('Bruna'!$B$6:$B$300,$A348,'Bruna'!$F$6:$F$300,"Concluído")+COUNTIFS('Stella'!$B$6:$B$300,$A348,'Stella'!$F$6:$F$300,"Concluído")+COUNTIFS('Igor'!$B$6:$B$300,$A348,'Igor'!$F$6:$F$300,"Concluído"))&amp;" / "&amp;(COUNTIF('Clarice'!$B$6:$B$300,$A348)+COUNTIF('Luisa'!$B$6:$B$300,$A348)+COUNTIF('Lui'!$B$6:$B$300,$A348)+COUNTIF('Thaís'!$B$6:$B$300,$A348)+COUNTIF('Daniel'!$B$6:$B$300,$A348)+COUNTIF('Fernando'!$B$6:$B$300,$A348)+COUNTIF('Stephanie'!$B$6:$B$300,$A348)+COUNTIF('Fox'!$B$6:$B$300,$A348)+COUNTIF('Bruna'!$B$6:$B$300,$A348)+COUNTIF('Stella'!$B$6:$B$300,$A348)+COUNTIF('Igor'!$B$6:$B$300,$A348)))</f>
        <v/>
      </c>
      <c r="P348" s="25">
        <f>IF($A348="","",IF(M348&lt;&gt;"",M348,IF(K348&lt;&gt;"",K348,"")))</f>
        <v/>
      </c>
      <c r="Q348" s="25">
        <f>IF($A348="","",IF(N348&lt;&gt;"",N348,IF(L348&lt;&gt;"",L348,"")))</f>
        <v/>
      </c>
      <c r="S348" s="23">
        <f t="array" ref="S348">IF($A348="","",_xlfn.TEXTJOIN(CHAR(10),TRUE,IF('Clarice'!$B$6:$B$300=$A348,"Clarice"&amp;IF('Clarice'!$E$6:$E$300="",""," : "&amp;'Clarice'!$E$6:$E$300)&amp;" ["&amp;'Clarice'!$F$6:$F$300&amp;"]",""),IF('Luisa'!$B$6:$B$300=$A348,"Luisa"&amp;IF('Luisa'!$E$6:$E$300="",""," : "&amp;'Luisa'!$E$6:$E$300)&amp;" ["&amp;'Luisa'!$F$6:$F$300&amp;"]",""),IF('Lui'!$B$6:$B$300=$A348,"Lui"&amp;IF('Lui'!$E$6:$E$300="",""," : "&amp;'Lui'!$E$6:$E$300)&amp;" ["&amp;'Lui'!$F$6:$F$300&amp;"]",""),IF('Thaís'!$B$6:$B$300=$A348,"Thaís"&amp;IF('Thaís'!$E$6:$E$300="",""," : "&amp;'Thaís'!$E$6:$E$300)&amp;" ["&amp;'Thaís'!$F$6:$F$300&amp;"]",""),IF('Daniel'!$B$6:$B$300=$A348,"Daniel"&amp;IF('Daniel'!$E$6:$E$300="",""," : "&amp;'Daniel'!$E$6:$E$300)&amp;" ["&amp;'Daniel'!$F$6:$F$300&amp;"]",""),IF('Fernando'!$B$6:$B$300=$A348,"Fernando"&amp;IF('Fernando'!$E$6:$E$300="",""," : "&amp;'Fernando'!$E$6:$E$300)&amp;" ["&amp;'Fernando'!$F$6:$F$300&amp;"]",""),IF('Stephanie'!$B$6:$B$300=$A348,"Stephanie"&amp;IF('Stephanie'!$E$6:$E$300="",""," : "&amp;'Stephanie'!$E$6:$E$300)&amp;" ["&amp;'Stephanie'!$F$6:$F$300&amp;"]",""),IF('Fox'!$B$6:$B$300=$A348,"Fox"&amp;IF('Fox'!$E$6:$E$300="",""," : "&amp;'Fox'!$E$6:$E$300)&amp;" ["&amp;'Fox'!$F$6:$F$300&amp;"]",""),IF('Bruna'!$B$6:$B$300=$A348,"Bruna"&amp;IF('Bruna'!$E$6:$E$300="",""," : "&amp;'Bruna'!$E$6:$E$300)&amp;" ["&amp;'Bruna'!$F$6:$F$300&amp;"]",""),IF('Stella'!$B$6:$B$300=$A348,"Stella"&amp;IF('Stella'!$E$6:$E$300="",""," : "&amp;'Stella'!$E$6:$E$300)&amp;" ["&amp;'Stella'!$F$6:$F$300&amp;"]",""),IF('Igor'!$B$6:$B$300=$A348,"Igor"&amp;IF('Igor'!$E$6:$E$300="",""," : "&amp;'Igor'!$E$6:$E$300)&amp;" ["&amp;'Igor'!$F$6:$F$300&amp;"]","")))</f>
        <v/>
      </c>
    </row>
    <row r="349">
      <c r="G349" s="23">
        <f>IF($A349="","",_xlfn.TEXTJOIN("; ",TRUE,IF(COUNTIF('Clarice'!$B$6:$B$300,$A349)&gt;0,"Clarice",""),IF(COUNTIF('Luisa'!$B$6:$B$300,$A349)&gt;0,"Luisa",""),IF(COUNTIF('Lui'!$B$6:$B$300,$A349)&gt;0,"Lui",""),IF(COUNTIF('Thaís'!$B$6:$B$300,$A349)&gt;0,"Thaís",""),IF(COUNTIF('Daniel'!$B$6:$B$300,$A349)&gt;0,"Daniel",""),IF(COUNTIF('Fernando'!$B$6:$B$300,$A349)&gt;0,"Fernando",""),IF(COUNTIF('Stephanie'!$B$6:$B$300,$A349)&gt;0,"Stephanie",""),IF(COUNTIF('Fox'!$B$6:$B$300,$A349)&gt;0,"Fox",""),IF(COUNTIF('Bruna'!$B$6:$B$300,$A349)&gt;0,"Bruna",""),IF(COUNTIF('Stella'!$B$6:$B$300,$A349)&gt;0,"Stella",""),IF(COUNTIF('Igor'!$B$6:$B$300,$A349)&gt;0,"Igor","")))</f>
        <v/>
      </c>
      <c r="J349" s="24">
        <f>IF(OR($A349="",(COUNTIF('Clarice'!$B$6:$B$300,$A349)+COUNTIF('Luisa'!$B$6:$B$300,$A349)+COUNTIF('Lui'!$B$6:$B$300,$A349)+COUNTIF('Thaís'!$B$6:$B$300,$A349)+COUNTIF('Daniel'!$B$6:$B$300,$A349)+COUNTIF('Fernando'!$B$6:$B$300,$A349)+COUNTIF('Stephanie'!$B$6:$B$300,$A349)+COUNTIF('Fox'!$B$6:$B$300,$A349)+COUNTIF('Bruna'!$B$6:$B$300,$A349)+COUNTIF('Stella'!$B$6:$B$300,$A349)+COUNTIF('Igor'!$B$6:$B$300,$A349))=0),"",(COUNTIFS('Clarice'!$B$6:$B$300,$A349,'Clarice'!$F$6:$F$300,"Concluído")+COUNTIFS('Luisa'!$B$6:$B$300,$A349,'Luisa'!$F$6:$F$300,"Concluído")+COUNTIFS('Lui'!$B$6:$B$300,$A349,'Lui'!$F$6:$F$300,"Concluído")+COUNTIFS('Thaís'!$B$6:$B$300,$A349,'Thaís'!$F$6:$F$300,"Concluído")+COUNTIFS('Daniel'!$B$6:$B$300,$A349,'Daniel'!$F$6:$F$300,"Concluído")+COUNTIFS('Fernando'!$B$6:$B$300,$A349,'Fernando'!$F$6:$F$300,"Concluído")+COUNTIFS('Stephanie'!$B$6:$B$300,$A349,'Stephanie'!$F$6:$F$300,"Concluído")+COUNTIFS('Fox'!$B$6:$B$300,$A349,'Fox'!$F$6:$F$300,"Concluído")+COUNTIFS('Bruna'!$B$6:$B$300,$A349,'Bruna'!$F$6:$F$300,"Concluído")+COUNTIFS('Stella'!$B$6:$B$300,$A349,'Stella'!$F$6:$F$300,"Concluído")+COUNTIFS('Igor'!$B$6:$B$300,$A349,'Igor'!$F$6:$F$300,"Concluído"))&amp;" / "&amp;(COUNTIF('Clarice'!$B$6:$B$300,$A349)+COUNTIF('Luisa'!$B$6:$B$300,$A349)+COUNTIF('Lui'!$B$6:$B$300,$A349)+COUNTIF('Thaís'!$B$6:$B$300,$A349)+COUNTIF('Daniel'!$B$6:$B$300,$A349)+COUNTIF('Fernando'!$B$6:$B$300,$A349)+COUNTIF('Stephanie'!$B$6:$B$300,$A349)+COUNTIF('Fox'!$B$6:$B$300,$A349)+COUNTIF('Bruna'!$B$6:$B$300,$A349)+COUNTIF('Stella'!$B$6:$B$300,$A349)+COUNTIF('Igor'!$B$6:$B$300,$A349)))</f>
        <v/>
      </c>
      <c r="P349" s="25">
        <f>IF($A349="","",IF(M349&lt;&gt;"",M349,IF(K349&lt;&gt;"",K349,"")))</f>
        <v/>
      </c>
      <c r="Q349" s="25">
        <f>IF($A349="","",IF(N349&lt;&gt;"",N349,IF(L349&lt;&gt;"",L349,"")))</f>
        <v/>
      </c>
      <c r="S349" s="23">
        <f t="array" ref="S349">IF($A349="","",_xlfn.TEXTJOIN(CHAR(10),TRUE,IF('Clarice'!$B$6:$B$300=$A349,"Clarice"&amp;IF('Clarice'!$E$6:$E$300="",""," : "&amp;'Clarice'!$E$6:$E$300)&amp;" ["&amp;'Clarice'!$F$6:$F$300&amp;"]",""),IF('Luisa'!$B$6:$B$300=$A349,"Luisa"&amp;IF('Luisa'!$E$6:$E$300="",""," : "&amp;'Luisa'!$E$6:$E$300)&amp;" ["&amp;'Luisa'!$F$6:$F$300&amp;"]",""),IF('Lui'!$B$6:$B$300=$A349,"Lui"&amp;IF('Lui'!$E$6:$E$300="",""," : "&amp;'Lui'!$E$6:$E$300)&amp;" ["&amp;'Lui'!$F$6:$F$300&amp;"]",""),IF('Thaís'!$B$6:$B$300=$A349,"Thaís"&amp;IF('Thaís'!$E$6:$E$300="",""," : "&amp;'Thaís'!$E$6:$E$300)&amp;" ["&amp;'Thaís'!$F$6:$F$300&amp;"]",""),IF('Daniel'!$B$6:$B$300=$A349,"Daniel"&amp;IF('Daniel'!$E$6:$E$300="",""," : "&amp;'Daniel'!$E$6:$E$300)&amp;" ["&amp;'Daniel'!$F$6:$F$300&amp;"]",""),IF('Fernando'!$B$6:$B$300=$A349,"Fernando"&amp;IF('Fernando'!$E$6:$E$300="",""," : "&amp;'Fernando'!$E$6:$E$300)&amp;" ["&amp;'Fernando'!$F$6:$F$300&amp;"]",""),IF('Stephanie'!$B$6:$B$300=$A349,"Stephanie"&amp;IF('Stephanie'!$E$6:$E$300="",""," : "&amp;'Stephanie'!$E$6:$E$300)&amp;" ["&amp;'Stephanie'!$F$6:$F$300&amp;"]",""),IF('Fox'!$B$6:$B$300=$A349,"Fox"&amp;IF('Fox'!$E$6:$E$300="",""," : "&amp;'Fox'!$E$6:$E$300)&amp;" ["&amp;'Fox'!$F$6:$F$300&amp;"]",""),IF('Bruna'!$B$6:$B$300=$A349,"Bruna"&amp;IF('Bruna'!$E$6:$E$300="",""," : "&amp;'Bruna'!$E$6:$E$300)&amp;" ["&amp;'Bruna'!$F$6:$F$300&amp;"]",""),IF('Stella'!$B$6:$B$300=$A349,"Stella"&amp;IF('Stella'!$E$6:$E$300="",""," : "&amp;'Stella'!$E$6:$E$300)&amp;" ["&amp;'Stella'!$F$6:$F$300&amp;"]",""),IF('Igor'!$B$6:$B$300=$A349,"Igor"&amp;IF('Igor'!$E$6:$E$300="",""," : "&amp;'Igor'!$E$6:$E$300)&amp;" ["&amp;'Igor'!$F$6:$F$300&amp;"]","")))</f>
        <v/>
      </c>
    </row>
    <row r="350">
      <c r="G350" s="23">
        <f>IF($A350="","",_xlfn.TEXTJOIN("; ",TRUE,IF(COUNTIF('Clarice'!$B$6:$B$300,$A350)&gt;0,"Clarice",""),IF(COUNTIF('Luisa'!$B$6:$B$300,$A350)&gt;0,"Luisa",""),IF(COUNTIF('Lui'!$B$6:$B$300,$A350)&gt;0,"Lui",""),IF(COUNTIF('Thaís'!$B$6:$B$300,$A350)&gt;0,"Thaís",""),IF(COUNTIF('Daniel'!$B$6:$B$300,$A350)&gt;0,"Daniel",""),IF(COUNTIF('Fernando'!$B$6:$B$300,$A350)&gt;0,"Fernando",""),IF(COUNTIF('Stephanie'!$B$6:$B$300,$A350)&gt;0,"Stephanie",""),IF(COUNTIF('Fox'!$B$6:$B$300,$A350)&gt;0,"Fox",""),IF(COUNTIF('Bruna'!$B$6:$B$300,$A350)&gt;0,"Bruna",""),IF(COUNTIF('Stella'!$B$6:$B$300,$A350)&gt;0,"Stella",""),IF(COUNTIF('Igor'!$B$6:$B$300,$A350)&gt;0,"Igor","")))</f>
        <v/>
      </c>
      <c r="J350" s="24">
        <f>IF(OR($A350="",(COUNTIF('Clarice'!$B$6:$B$300,$A350)+COUNTIF('Luisa'!$B$6:$B$300,$A350)+COUNTIF('Lui'!$B$6:$B$300,$A350)+COUNTIF('Thaís'!$B$6:$B$300,$A350)+COUNTIF('Daniel'!$B$6:$B$300,$A350)+COUNTIF('Fernando'!$B$6:$B$300,$A350)+COUNTIF('Stephanie'!$B$6:$B$300,$A350)+COUNTIF('Fox'!$B$6:$B$300,$A350)+COUNTIF('Bruna'!$B$6:$B$300,$A350)+COUNTIF('Stella'!$B$6:$B$300,$A350)+COUNTIF('Igor'!$B$6:$B$300,$A350))=0),"",(COUNTIFS('Clarice'!$B$6:$B$300,$A350,'Clarice'!$F$6:$F$300,"Concluído")+COUNTIFS('Luisa'!$B$6:$B$300,$A350,'Luisa'!$F$6:$F$300,"Concluído")+COUNTIFS('Lui'!$B$6:$B$300,$A350,'Lui'!$F$6:$F$300,"Concluído")+COUNTIFS('Thaís'!$B$6:$B$300,$A350,'Thaís'!$F$6:$F$300,"Concluído")+COUNTIFS('Daniel'!$B$6:$B$300,$A350,'Daniel'!$F$6:$F$300,"Concluído")+COUNTIFS('Fernando'!$B$6:$B$300,$A350,'Fernando'!$F$6:$F$300,"Concluído")+COUNTIFS('Stephanie'!$B$6:$B$300,$A350,'Stephanie'!$F$6:$F$300,"Concluído")+COUNTIFS('Fox'!$B$6:$B$300,$A350,'Fox'!$F$6:$F$300,"Concluído")+COUNTIFS('Bruna'!$B$6:$B$300,$A350,'Bruna'!$F$6:$F$300,"Concluído")+COUNTIFS('Stella'!$B$6:$B$300,$A350,'Stella'!$F$6:$F$300,"Concluído")+COUNTIFS('Igor'!$B$6:$B$300,$A350,'Igor'!$F$6:$F$300,"Concluído"))&amp;" / "&amp;(COUNTIF('Clarice'!$B$6:$B$300,$A350)+COUNTIF('Luisa'!$B$6:$B$300,$A350)+COUNTIF('Lui'!$B$6:$B$300,$A350)+COUNTIF('Thaís'!$B$6:$B$300,$A350)+COUNTIF('Daniel'!$B$6:$B$300,$A350)+COUNTIF('Fernando'!$B$6:$B$300,$A350)+COUNTIF('Stephanie'!$B$6:$B$300,$A350)+COUNTIF('Fox'!$B$6:$B$300,$A350)+COUNTIF('Bruna'!$B$6:$B$300,$A350)+COUNTIF('Stella'!$B$6:$B$300,$A350)+COUNTIF('Igor'!$B$6:$B$300,$A350)))</f>
        <v/>
      </c>
      <c r="P350" s="25">
        <f>IF($A350="","",IF(M350&lt;&gt;"",M350,IF(K350&lt;&gt;"",K350,"")))</f>
        <v/>
      </c>
      <c r="Q350" s="25">
        <f>IF($A350="","",IF(N350&lt;&gt;"",N350,IF(L350&lt;&gt;"",L350,"")))</f>
        <v/>
      </c>
      <c r="S350" s="23">
        <f t="array" ref="S350">IF($A350="","",_xlfn.TEXTJOIN(CHAR(10),TRUE,IF('Clarice'!$B$6:$B$300=$A350,"Clarice"&amp;IF('Clarice'!$E$6:$E$300="",""," : "&amp;'Clarice'!$E$6:$E$300)&amp;" ["&amp;'Clarice'!$F$6:$F$300&amp;"]",""),IF('Luisa'!$B$6:$B$300=$A350,"Luisa"&amp;IF('Luisa'!$E$6:$E$300="",""," : "&amp;'Luisa'!$E$6:$E$300)&amp;" ["&amp;'Luisa'!$F$6:$F$300&amp;"]",""),IF('Lui'!$B$6:$B$300=$A350,"Lui"&amp;IF('Lui'!$E$6:$E$300="",""," : "&amp;'Lui'!$E$6:$E$300)&amp;" ["&amp;'Lui'!$F$6:$F$300&amp;"]",""),IF('Thaís'!$B$6:$B$300=$A350,"Thaís"&amp;IF('Thaís'!$E$6:$E$300="",""," : "&amp;'Thaís'!$E$6:$E$300)&amp;" ["&amp;'Thaís'!$F$6:$F$300&amp;"]",""),IF('Daniel'!$B$6:$B$300=$A350,"Daniel"&amp;IF('Daniel'!$E$6:$E$300="",""," : "&amp;'Daniel'!$E$6:$E$300)&amp;" ["&amp;'Daniel'!$F$6:$F$300&amp;"]",""),IF('Fernando'!$B$6:$B$300=$A350,"Fernando"&amp;IF('Fernando'!$E$6:$E$300="",""," : "&amp;'Fernando'!$E$6:$E$300)&amp;" ["&amp;'Fernando'!$F$6:$F$300&amp;"]",""),IF('Stephanie'!$B$6:$B$300=$A350,"Stephanie"&amp;IF('Stephanie'!$E$6:$E$300="",""," : "&amp;'Stephanie'!$E$6:$E$300)&amp;" ["&amp;'Stephanie'!$F$6:$F$300&amp;"]",""),IF('Fox'!$B$6:$B$300=$A350,"Fox"&amp;IF('Fox'!$E$6:$E$300="",""," : "&amp;'Fox'!$E$6:$E$300)&amp;" ["&amp;'Fox'!$F$6:$F$300&amp;"]",""),IF('Bruna'!$B$6:$B$300=$A350,"Bruna"&amp;IF('Bruna'!$E$6:$E$300="",""," : "&amp;'Bruna'!$E$6:$E$300)&amp;" ["&amp;'Bruna'!$F$6:$F$300&amp;"]",""),IF('Stella'!$B$6:$B$300=$A350,"Stella"&amp;IF('Stella'!$E$6:$E$300="",""," : "&amp;'Stella'!$E$6:$E$300)&amp;" ["&amp;'Stella'!$F$6:$F$300&amp;"]",""),IF('Igor'!$B$6:$B$300=$A350,"Igor"&amp;IF('Igor'!$E$6:$E$300="",""," : "&amp;'Igor'!$E$6:$E$300)&amp;" ["&amp;'Igor'!$F$6:$F$300&amp;"]","")))</f>
        <v/>
      </c>
    </row>
    <row r="351">
      <c r="G351" s="23">
        <f>IF($A351="","",_xlfn.TEXTJOIN("; ",TRUE,IF(COUNTIF('Clarice'!$B$6:$B$300,$A351)&gt;0,"Clarice",""),IF(COUNTIF('Luisa'!$B$6:$B$300,$A351)&gt;0,"Luisa",""),IF(COUNTIF('Lui'!$B$6:$B$300,$A351)&gt;0,"Lui",""),IF(COUNTIF('Thaís'!$B$6:$B$300,$A351)&gt;0,"Thaís",""),IF(COUNTIF('Daniel'!$B$6:$B$300,$A351)&gt;0,"Daniel",""),IF(COUNTIF('Fernando'!$B$6:$B$300,$A351)&gt;0,"Fernando",""),IF(COUNTIF('Stephanie'!$B$6:$B$300,$A351)&gt;0,"Stephanie",""),IF(COUNTIF('Fox'!$B$6:$B$300,$A351)&gt;0,"Fox",""),IF(COUNTIF('Bruna'!$B$6:$B$300,$A351)&gt;0,"Bruna",""),IF(COUNTIF('Stella'!$B$6:$B$300,$A351)&gt;0,"Stella",""),IF(COUNTIF('Igor'!$B$6:$B$300,$A351)&gt;0,"Igor","")))</f>
        <v/>
      </c>
      <c r="J351" s="24">
        <f>IF(OR($A351="",(COUNTIF('Clarice'!$B$6:$B$300,$A351)+COUNTIF('Luisa'!$B$6:$B$300,$A351)+COUNTIF('Lui'!$B$6:$B$300,$A351)+COUNTIF('Thaís'!$B$6:$B$300,$A351)+COUNTIF('Daniel'!$B$6:$B$300,$A351)+COUNTIF('Fernando'!$B$6:$B$300,$A351)+COUNTIF('Stephanie'!$B$6:$B$300,$A351)+COUNTIF('Fox'!$B$6:$B$300,$A351)+COUNTIF('Bruna'!$B$6:$B$300,$A351)+COUNTIF('Stella'!$B$6:$B$300,$A351)+COUNTIF('Igor'!$B$6:$B$300,$A351))=0),"",(COUNTIFS('Clarice'!$B$6:$B$300,$A351,'Clarice'!$F$6:$F$300,"Concluído")+COUNTIFS('Luisa'!$B$6:$B$300,$A351,'Luisa'!$F$6:$F$300,"Concluído")+COUNTIFS('Lui'!$B$6:$B$300,$A351,'Lui'!$F$6:$F$300,"Concluído")+COUNTIFS('Thaís'!$B$6:$B$300,$A351,'Thaís'!$F$6:$F$300,"Concluído")+COUNTIFS('Daniel'!$B$6:$B$300,$A351,'Daniel'!$F$6:$F$300,"Concluído")+COUNTIFS('Fernando'!$B$6:$B$300,$A351,'Fernando'!$F$6:$F$300,"Concluído")+COUNTIFS('Stephanie'!$B$6:$B$300,$A351,'Stephanie'!$F$6:$F$300,"Concluído")+COUNTIFS('Fox'!$B$6:$B$300,$A351,'Fox'!$F$6:$F$300,"Concluído")+COUNTIFS('Bruna'!$B$6:$B$300,$A351,'Bruna'!$F$6:$F$300,"Concluído")+COUNTIFS('Stella'!$B$6:$B$300,$A351,'Stella'!$F$6:$F$300,"Concluído")+COUNTIFS('Igor'!$B$6:$B$300,$A351,'Igor'!$F$6:$F$300,"Concluído"))&amp;" / "&amp;(COUNTIF('Clarice'!$B$6:$B$300,$A351)+COUNTIF('Luisa'!$B$6:$B$300,$A351)+COUNTIF('Lui'!$B$6:$B$300,$A351)+COUNTIF('Thaís'!$B$6:$B$300,$A351)+COUNTIF('Daniel'!$B$6:$B$300,$A351)+COUNTIF('Fernando'!$B$6:$B$300,$A351)+COUNTIF('Stephanie'!$B$6:$B$300,$A351)+COUNTIF('Fox'!$B$6:$B$300,$A351)+COUNTIF('Bruna'!$B$6:$B$300,$A351)+COUNTIF('Stella'!$B$6:$B$300,$A351)+COUNTIF('Igor'!$B$6:$B$300,$A351)))</f>
        <v/>
      </c>
      <c r="P351" s="25">
        <f>IF($A351="","",IF(M351&lt;&gt;"",M351,IF(K351&lt;&gt;"",K351,"")))</f>
        <v/>
      </c>
      <c r="Q351" s="25">
        <f>IF($A351="","",IF(N351&lt;&gt;"",N351,IF(L351&lt;&gt;"",L351,"")))</f>
        <v/>
      </c>
      <c r="S351" s="23">
        <f t="array" ref="S351">IF($A351="","",_xlfn.TEXTJOIN(CHAR(10),TRUE,IF('Clarice'!$B$6:$B$300=$A351,"Clarice"&amp;IF('Clarice'!$E$6:$E$300="",""," : "&amp;'Clarice'!$E$6:$E$300)&amp;" ["&amp;'Clarice'!$F$6:$F$300&amp;"]",""),IF('Luisa'!$B$6:$B$300=$A351,"Luisa"&amp;IF('Luisa'!$E$6:$E$300="",""," : "&amp;'Luisa'!$E$6:$E$300)&amp;" ["&amp;'Luisa'!$F$6:$F$300&amp;"]",""),IF('Lui'!$B$6:$B$300=$A351,"Lui"&amp;IF('Lui'!$E$6:$E$300="",""," : "&amp;'Lui'!$E$6:$E$300)&amp;" ["&amp;'Lui'!$F$6:$F$300&amp;"]",""),IF('Thaís'!$B$6:$B$300=$A351,"Thaís"&amp;IF('Thaís'!$E$6:$E$300="",""," : "&amp;'Thaís'!$E$6:$E$300)&amp;" ["&amp;'Thaís'!$F$6:$F$300&amp;"]",""),IF('Daniel'!$B$6:$B$300=$A351,"Daniel"&amp;IF('Daniel'!$E$6:$E$300="",""," : "&amp;'Daniel'!$E$6:$E$300)&amp;" ["&amp;'Daniel'!$F$6:$F$300&amp;"]",""),IF('Fernando'!$B$6:$B$300=$A351,"Fernando"&amp;IF('Fernando'!$E$6:$E$300="",""," : "&amp;'Fernando'!$E$6:$E$300)&amp;" ["&amp;'Fernando'!$F$6:$F$300&amp;"]",""),IF('Stephanie'!$B$6:$B$300=$A351,"Stephanie"&amp;IF('Stephanie'!$E$6:$E$300="",""," : "&amp;'Stephanie'!$E$6:$E$300)&amp;" ["&amp;'Stephanie'!$F$6:$F$300&amp;"]",""),IF('Fox'!$B$6:$B$300=$A351,"Fox"&amp;IF('Fox'!$E$6:$E$300="",""," : "&amp;'Fox'!$E$6:$E$300)&amp;" ["&amp;'Fox'!$F$6:$F$300&amp;"]",""),IF('Bruna'!$B$6:$B$300=$A351,"Bruna"&amp;IF('Bruna'!$E$6:$E$300="",""," : "&amp;'Bruna'!$E$6:$E$300)&amp;" ["&amp;'Bruna'!$F$6:$F$300&amp;"]",""),IF('Stella'!$B$6:$B$300=$A351,"Stella"&amp;IF('Stella'!$E$6:$E$300="",""," : "&amp;'Stella'!$E$6:$E$300)&amp;" ["&amp;'Stella'!$F$6:$F$300&amp;"]",""),IF('Igor'!$B$6:$B$300=$A351,"Igor"&amp;IF('Igor'!$E$6:$E$300="",""," : "&amp;'Igor'!$E$6:$E$300)&amp;" ["&amp;'Igor'!$F$6:$F$300&amp;"]","")))</f>
        <v/>
      </c>
    </row>
    <row r="352">
      <c r="G352" s="23">
        <f>IF($A352="","",_xlfn.TEXTJOIN("; ",TRUE,IF(COUNTIF('Clarice'!$B$6:$B$300,$A352)&gt;0,"Clarice",""),IF(COUNTIF('Luisa'!$B$6:$B$300,$A352)&gt;0,"Luisa",""),IF(COUNTIF('Lui'!$B$6:$B$300,$A352)&gt;0,"Lui",""),IF(COUNTIF('Thaís'!$B$6:$B$300,$A352)&gt;0,"Thaís",""),IF(COUNTIF('Daniel'!$B$6:$B$300,$A352)&gt;0,"Daniel",""),IF(COUNTIF('Fernando'!$B$6:$B$300,$A352)&gt;0,"Fernando",""),IF(COUNTIF('Stephanie'!$B$6:$B$300,$A352)&gt;0,"Stephanie",""),IF(COUNTIF('Fox'!$B$6:$B$300,$A352)&gt;0,"Fox",""),IF(COUNTIF('Bruna'!$B$6:$B$300,$A352)&gt;0,"Bruna",""),IF(COUNTIF('Stella'!$B$6:$B$300,$A352)&gt;0,"Stella",""),IF(COUNTIF('Igor'!$B$6:$B$300,$A352)&gt;0,"Igor","")))</f>
        <v/>
      </c>
      <c r="J352" s="24">
        <f>IF(OR($A352="",(COUNTIF('Clarice'!$B$6:$B$300,$A352)+COUNTIF('Luisa'!$B$6:$B$300,$A352)+COUNTIF('Lui'!$B$6:$B$300,$A352)+COUNTIF('Thaís'!$B$6:$B$300,$A352)+COUNTIF('Daniel'!$B$6:$B$300,$A352)+COUNTIF('Fernando'!$B$6:$B$300,$A352)+COUNTIF('Stephanie'!$B$6:$B$300,$A352)+COUNTIF('Fox'!$B$6:$B$300,$A352)+COUNTIF('Bruna'!$B$6:$B$300,$A352)+COUNTIF('Stella'!$B$6:$B$300,$A352)+COUNTIF('Igor'!$B$6:$B$300,$A352))=0),"",(COUNTIFS('Clarice'!$B$6:$B$300,$A352,'Clarice'!$F$6:$F$300,"Concluído")+COUNTIFS('Luisa'!$B$6:$B$300,$A352,'Luisa'!$F$6:$F$300,"Concluído")+COUNTIFS('Lui'!$B$6:$B$300,$A352,'Lui'!$F$6:$F$300,"Concluído")+COUNTIFS('Thaís'!$B$6:$B$300,$A352,'Thaís'!$F$6:$F$300,"Concluído")+COUNTIFS('Daniel'!$B$6:$B$300,$A352,'Daniel'!$F$6:$F$300,"Concluído")+COUNTIFS('Fernando'!$B$6:$B$300,$A352,'Fernando'!$F$6:$F$300,"Concluído")+COUNTIFS('Stephanie'!$B$6:$B$300,$A352,'Stephanie'!$F$6:$F$300,"Concluído")+COUNTIFS('Fox'!$B$6:$B$300,$A352,'Fox'!$F$6:$F$300,"Concluído")+COUNTIFS('Bruna'!$B$6:$B$300,$A352,'Bruna'!$F$6:$F$300,"Concluído")+COUNTIFS('Stella'!$B$6:$B$300,$A352,'Stella'!$F$6:$F$300,"Concluído")+COUNTIFS('Igor'!$B$6:$B$300,$A352,'Igor'!$F$6:$F$300,"Concluído"))&amp;" / "&amp;(COUNTIF('Clarice'!$B$6:$B$300,$A352)+COUNTIF('Luisa'!$B$6:$B$300,$A352)+COUNTIF('Lui'!$B$6:$B$300,$A352)+COUNTIF('Thaís'!$B$6:$B$300,$A352)+COUNTIF('Daniel'!$B$6:$B$300,$A352)+COUNTIF('Fernando'!$B$6:$B$300,$A352)+COUNTIF('Stephanie'!$B$6:$B$300,$A352)+COUNTIF('Fox'!$B$6:$B$300,$A352)+COUNTIF('Bruna'!$B$6:$B$300,$A352)+COUNTIF('Stella'!$B$6:$B$300,$A352)+COUNTIF('Igor'!$B$6:$B$300,$A352)))</f>
        <v/>
      </c>
      <c r="P352" s="25">
        <f>IF($A352="","",IF(M352&lt;&gt;"",M352,IF(K352&lt;&gt;"",K352,"")))</f>
        <v/>
      </c>
      <c r="Q352" s="25">
        <f>IF($A352="","",IF(N352&lt;&gt;"",N352,IF(L352&lt;&gt;"",L352,"")))</f>
        <v/>
      </c>
      <c r="S352" s="23">
        <f t="array" ref="S352">IF($A352="","",_xlfn.TEXTJOIN(CHAR(10),TRUE,IF('Clarice'!$B$6:$B$300=$A352,"Clarice"&amp;IF('Clarice'!$E$6:$E$300="",""," : "&amp;'Clarice'!$E$6:$E$300)&amp;" ["&amp;'Clarice'!$F$6:$F$300&amp;"]",""),IF('Luisa'!$B$6:$B$300=$A352,"Luisa"&amp;IF('Luisa'!$E$6:$E$300="",""," : "&amp;'Luisa'!$E$6:$E$300)&amp;" ["&amp;'Luisa'!$F$6:$F$300&amp;"]",""),IF('Lui'!$B$6:$B$300=$A352,"Lui"&amp;IF('Lui'!$E$6:$E$300="",""," : "&amp;'Lui'!$E$6:$E$300)&amp;" ["&amp;'Lui'!$F$6:$F$300&amp;"]",""),IF('Thaís'!$B$6:$B$300=$A352,"Thaís"&amp;IF('Thaís'!$E$6:$E$300="",""," : "&amp;'Thaís'!$E$6:$E$300)&amp;" ["&amp;'Thaís'!$F$6:$F$300&amp;"]",""),IF('Daniel'!$B$6:$B$300=$A352,"Daniel"&amp;IF('Daniel'!$E$6:$E$300="",""," : "&amp;'Daniel'!$E$6:$E$300)&amp;" ["&amp;'Daniel'!$F$6:$F$300&amp;"]",""),IF('Fernando'!$B$6:$B$300=$A352,"Fernando"&amp;IF('Fernando'!$E$6:$E$300="",""," : "&amp;'Fernando'!$E$6:$E$300)&amp;" ["&amp;'Fernando'!$F$6:$F$300&amp;"]",""),IF('Stephanie'!$B$6:$B$300=$A352,"Stephanie"&amp;IF('Stephanie'!$E$6:$E$300="",""," : "&amp;'Stephanie'!$E$6:$E$300)&amp;" ["&amp;'Stephanie'!$F$6:$F$300&amp;"]",""),IF('Fox'!$B$6:$B$300=$A352,"Fox"&amp;IF('Fox'!$E$6:$E$300="",""," : "&amp;'Fox'!$E$6:$E$300)&amp;" ["&amp;'Fox'!$F$6:$F$300&amp;"]",""),IF('Bruna'!$B$6:$B$300=$A352,"Bruna"&amp;IF('Bruna'!$E$6:$E$300="",""," : "&amp;'Bruna'!$E$6:$E$300)&amp;" ["&amp;'Bruna'!$F$6:$F$300&amp;"]",""),IF('Stella'!$B$6:$B$300=$A352,"Stella"&amp;IF('Stella'!$E$6:$E$300="",""," : "&amp;'Stella'!$E$6:$E$300)&amp;" ["&amp;'Stella'!$F$6:$F$300&amp;"]",""),IF('Igor'!$B$6:$B$300=$A352,"Igor"&amp;IF('Igor'!$E$6:$E$300="",""," : "&amp;'Igor'!$E$6:$E$300)&amp;" ["&amp;'Igor'!$F$6:$F$300&amp;"]","")))</f>
        <v/>
      </c>
    </row>
    <row r="353">
      <c r="G353" s="23">
        <f>IF($A353="","",_xlfn.TEXTJOIN("; ",TRUE,IF(COUNTIF('Clarice'!$B$6:$B$300,$A353)&gt;0,"Clarice",""),IF(COUNTIF('Luisa'!$B$6:$B$300,$A353)&gt;0,"Luisa",""),IF(COUNTIF('Lui'!$B$6:$B$300,$A353)&gt;0,"Lui",""),IF(COUNTIF('Thaís'!$B$6:$B$300,$A353)&gt;0,"Thaís",""),IF(COUNTIF('Daniel'!$B$6:$B$300,$A353)&gt;0,"Daniel",""),IF(COUNTIF('Fernando'!$B$6:$B$300,$A353)&gt;0,"Fernando",""),IF(COUNTIF('Stephanie'!$B$6:$B$300,$A353)&gt;0,"Stephanie",""),IF(COUNTIF('Fox'!$B$6:$B$300,$A353)&gt;0,"Fox",""),IF(COUNTIF('Bruna'!$B$6:$B$300,$A353)&gt;0,"Bruna",""),IF(COUNTIF('Stella'!$B$6:$B$300,$A353)&gt;0,"Stella",""),IF(COUNTIF('Igor'!$B$6:$B$300,$A353)&gt;0,"Igor","")))</f>
        <v/>
      </c>
      <c r="J353" s="24">
        <f>IF(OR($A353="",(COUNTIF('Clarice'!$B$6:$B$300,$A353)+COUNTIF('Luisa'!$B$6:$B$300,$A353)+COUNTIF('Lui'!$B$6:$B$300,$A353)+COUNTIF('Thaís'!$B$6:$B$300,$A353)+COUNTIF('Daniel'!$B$6:$B$300,$A353)+COUNTIF('Fernando'!$B$6:$B$300,$A353)+COUNTIF('Stephanie'!$B$6:$B$300,$A353)+COUNTIF('Fox'!$B$6:$B$300,$A353)+COUNTIF('Bruna'!$B$6:$B$300,$A353)+COUNTIF('Stella'!$B$6:$B$300,$A353)+COUNTIF('Igor'!$B$6:$B$300,$A353))=0),"",(COUNTIFS('Clarice'!$B$6:$B$300,$A353,'Clarice'!$F$6:$F$300,"Concluído")+COUNTIFS('Luisa'!$B$6:$B$300,$A353,'Luisa'!$F$6:$F$300,"Concluído")+COUNTIFS('Lui'!$B$6:$B$300,$A353,'Lui'!$F$6:$F$300,"Concluído")+COUNTIFS('Thaís'!$B$6:$B$300,$A353,'Thaís'!$F$6:$F$300,"Concluído")+COUNTIFS('Daniel'!$B$6:$B$300,$A353,'Daniel'!$F$6:$F$300,"Concluído")+COUNTIFS('Fernando'!$B$6:$B$300,$A353,'Fernando'!$F$6:$F$300,"Concluído")+COUNTIFS('Stephanie'!$B$6:$B$300,$A353,'Stephanie'!$F$6:$F$300,"Concluído")+COUNTIFS('Fox'!$B$6:$B$300,$A353,'Fox'!$F$6:$F$300,"Concluído")+COUNTIFS('Bruna'!$B$6:$B$300,$A353,'Bruna'!$F$6:$F$300,"Concluído")+COUNTIFS('Stella'!$B$6:$B$300,$A353,'Stella'!$F$6:$F$300,"Concluído")+COUNTIFS('Igor'!$B$6:$B$300,$A353,'Igor'!$F$6:$F$300,"Concluído"))&amp;" / "&amp;(COUNTIF('Clarice'!$B$6:$B$300,$A353)+COUNTIF('Luisa'!$B$6:$B$300,$A353)+COUNTIF('Lui'!$B$6:$B$300,$A353)+COUNTIF('Thaís'!$B$6:$B$300,$A353)+COUNTIF('Daniel'!$B$6:$B$300,$A353)+COUNTIF('Fernando'!$B$6:$B$300,$A353)+COUNTIF('Stephanie'!$B$6:$B$300,$A353)+COUNTIF('Fox'!$B$6:$B$300,$A353)+COUNTIF('Bruna'!$B$6:$B$300,$A353)+COUNTIF('Stella'!$B$6:$B$300,$A353)+COUNTIF('Igor'!$B$6:$B$300,$A353)))</f>
        <v/>
      </c>
      <c r="P353" s="25">
        <f>IF($A353="","",IF(M353&lt;&gt;"",M353,IF(K353&lt;&gt;"",K353,"")))</f>
        <v/>
      </c>
      <c r="Q353" s="25">
        <f>IF($A353="","",IF(N353&lt;&gt;"",N353,IF(L353&lt;&gt;"",L353,"")))</f>
        <v/>
      </c>
      <c r="S353" s="23">
        <f t="array" ref="S353">IF($A353="","",_xlfn.TEXTJOIN(CHAR(10),TRUE,IF('Clarice'!$B$6:$B$300=$A353,"Clarice"&amp;IF('Clarice'!$E$6:$E$300="",""," : "&amp;'Clarice'!$E$6:$E$300)&amp;" ["&amp;'Clarice'!$F$6:$F$300&amp;"]",""),IF('Luisa'!$B$6:$B$300=$A353,"Luisa"&amp;IF('Luisa'!$E$6:$E$300="",""," : "&amp;'Luisa'!$E$6:$E$300)&amp;" ["&amp;'Luisa'!$F$6:$F$300&amp;"]",""),IF('Lui'!$B$6:$B$300=$A353,"Lui"&amp;IF('Lui'!$E$6:$E$300="",""," : "&amp;'Lui'!$E$6:$E$300)&amp;" ["&amp;'Lui'!$F$6:$F$300&amp;"]",""),IF('Thaís'!$B$6:$B$300=$A353,"Thaís"&amp;IF('Thaís'!$E$6:$E$300="",""," : "&amp;'Thaís'!$E$6:$E$300)&amp;" ["&amp;'Thaís'!$F$6:$F$300&amp;"]",""),IF('Daniel'!$B$6:$B$300=$A353,"Daniel"&amp;IF('Daniel'!$E$6:$E$300="",""," : "&amp;'Daniel'!$E$6:$E$300)&amp;" ["&amp;'Daniel'!$F$6:$F$300&amp;"]",""),IF('Fernando'!$B$6:$B$300=$A353,"Fernando"&amp;IF('Fernando'!$E$6:$E$300="",""," : "&amp;'Fernando'!$E$6:$E$300)&amp;" ["&amp;'Fernando'!$F$6:$F$300&amp;"]",""),IF('Stephanie'!$B$6:$B$300=$A353,"Stephanie"&amp;IF('Stephanie'!$E$6:$E$300="",""," : "&amp;'Stephanie'!$E$6:$E$300)&amp;" ["&amp;'Stephanie'!$F$6:$F$300&amp;"]",""),IF('Fox'!$B$6:$B$300=$A353,"Fox"&amp;IF('Fox'!$E$6:$E$300="",""," : "&amp;'Fox'!$E$6:$E$300)&amp;" ["&amp;'Fox'!$F$6:$F$300&amp;"]",""),IF('Bruna'!$B$6:$B$300=$A353,"Bruna"&amp;IF('Bruna'!$E$6:$E$300="",""," : "&amp;'Bruna'!$E$6:$E$300)&amp;" ["&amp;'Bruna'!$F$6:$F$300&amp;"]",""),IF('Stella'!$B$6:$B$300=$A353,"Stella"&amp;IF('Stella'!$E$6:$E$300="",""," : "&amp;'Stella'!$E$6:$E$300)&amp;" ["&amp;'Stella'!$F$6:$F$300&amp;"]",""),IF('Igor'!$B$6:$B$300=$A353,"Igor"&amp;IF('Igor'!$E$6:$E$300="",""," : "&amp;'Igor'!$E$6:$E$300)&amp;" ["&amp;'Igor'!$F$6:$F$300&amp;"]","")))</f>
        <v/>
      </c>
    </row>
    <row r="354">
      <c r="G354" s="23">
        <f>IF($A354="","",_xlfn.TEXTJOIN("; ",TRUE,IF(COUNTIF('Clarice'!$B$6:$B$300,$A354)&gt;0,"Clarice",""),IF(COUNTIF('Luisa'!$B$6:$B$300,$A354)&gt;0,"Luisa",""),IF(COUNTIF('Lui'!$B$6:$B$300,$A354)&gt;0,"Lui",""),IF(COUNTIF('Thaís'!$B$6:$B$300,$A354)&gt;0,"Thaís",""),IF(COUNTIF('Daniel'!$B$6:$B$300,$A354)&gt;0,"Daniel",""),IF(COUNTIF('Fernando'!$B$6:$B$300,$A354)&gt;0,"Fernando",""),IF(COUNTIF('Stephanie'!$B$6:$B$300,$A354)&gt;0,"Stephanie",""),IF(COUNTIF('Fox'!$B$6:$B$300,$A354)&gt;0,"Fox",""),IF(COUNTIF('Bruna'!$B$6:$B$300,$A354)&gt;0,"Bruna",""),IF(COUNTIF('Stella'!$B$6:$B$300,$A354)&gt;0,"Stella",""),IF(COUNTIF('Igor'!$B$6:$B$300,$A354)&gt;0,"Igor","")))</f>
        <v/>
      </c>
      <c r="J354" s="24">
        <f>IF(OR($A354="",(COUNTIF('Clarice'!$B$6:$B$300,$A354)+COUNTIF('Luisa'!$B$6:$B$300,$A354)+COUNTIF('Lui'!$B$6:$B$300,$A354)+COUNTIF('Thaís'!$B$6:$B$300,$A354)+COUNTIF('Daniel'!$B$6:$B$300,$A354)+COUNTIF('Fernando'!$B$6:$B$300,$A354)+COUNTIF('Stephanie'!$B$6:$B$300,$A354)+COUNTIF('Fox'!$B$6:$B$300,$A354)+COUNTIF('Bruna'!$B$6:$B$300,$A354)+COUNTIF('Stella'!$B$6:$B$300,$A354)+COUNTIF('Igor'!$B$6:$B$300,$A354))=0),"",(COUNTIFS('Clarice'!$B$6:$B$300,$A354,'Clarice'!$F$6:$F$300,"Concluído")+COUNTIFS('Luisa'!$B$6:$B$300,$A354,'Luisa'!$F$6:$F$300,"Concluído")+COUNTIFS('Lui'!$B$6:$B$300,$A354,'Lui'!$F$6:$F$300,"Concluído")+COUNTIFS('Thaís'!$B$6:$B$300,$A354,'Thaís'!$F$6:$F$300,"Concluído")+COUNTIFS('Daniel'!$B$6:$B$300,$A354,'Daniel'!$F$6:$F$300,"Concluído")+COUNTIFS('Fernando'!$B$6:$B$300,$A354,'Fernando'!$F$6:$F$300,"Concluído")+COUNTIFS('Stephanie'!$B$6:$B$300,$A354,'Stephanie'!$F$6:$F$300,"Concluído")+COUNTIFS('Fox'!$B$6:$B$300,$A354,'Fox'!$F$6:$F$300,"Concluído")+COUNTIFS('Bruna'!$B$6:$B$300,$A354,'Bruna'!$F$6:$F$300,"Concluído")+COUNTIFS('Stella'!$B$6:$B$300,$A354,'Stella'!$F$6:$F$300,"Concluído")+COUNTIFS('Igor'!$B$6:$B$300,$A354,'Igor'!$F$6:$F$300,"Concluído"))&amp;" / "&amp;(COUNTIF('Clarice'!$B$6:$B$300,$A354)+COUNTIF('Luisa'!$B$6:$B$300,$A354)+COUNTIF('Lui'!$B$6:$B$300,$A354)+COUNTIF('Thaís'!$B$6:$B$300,$A354)+COUNTIF('Daniel'!$B$6:$B$300,$A354)+COUNTIF('Fernando'!$B$6:$B$300,$A354)+COUNTIF('Stephanie'!$B$6:$B$300,$A354)+COUNTIF('Fox'!$B$6:$B$300,$A354)+COUNTIF('Bruna'!$B$6:$B$300,$A354)+COUNTIF('Stella'!$B$6:$B$300,$A354)+COUNTIF('Igor'!$B$6:$B$300,$A354)))</f>
        <v/>
      </c>
      <c r="P354" s="25">
        <f>IF($A354="","",IF(M354&lt;&gt;"",M354,IF(K354&lt;&gt;"",K354,"")))</f>
        <v/>
      </c>
      <c r="Q354" s="25">
        <f>IF($A354="","",IF(N354&lt;&gt;"",N354,IF(L354&lt;&gt;"",L354,"")))</f>
        <v/>
      </c>
      <c r="S354" s="23">
        <f t="array" ref="S354">IF($A354="","",_xlfn.TEXTJOIN(CHAR(10),TRUE,IF('Clarice'!$B$6:$B$300=$A354,"Clarice"&amp;IF('Clarice'!$E$6:$E$300="",""," : "&amp;'Clarice'!$E$6:$E$300)&amp;" ["&amp;'Clarice'!$F$6:$F$300&amp;"]",""),IF('Luisa'!$B$6:$B$300=$A354,"Luisa"&amp;IF('Luisa'!$E$6:$E$300="",""," : "&amp;'Luisa'!$E$6:$E$300)&amp;" ["&amp;'Luisa'!$F$6:$F$300&amp;"]",""),IF('Lui'!$B$6:$B$300=$A354,"Lui"&amp;IF('Lui'!$E$6:$E$300="",""," : "&amp;'Lui'!$E$6:$E$300)&amp;" ["&amp;'Lui'!$F$6:$F$300&amp;"]",""),IF('Thaís'!$B$6:$B$300=$A354,"Thaís"&amp;IF('Thaís'!$E$6:$E$300="",""," : "&amp;'Thaís'!$E$6:$E$300)&amp;" ["&amp;'Thaís'!$F$6:$F$300&amp;"]",""),IF('Daniel'!$B$6:$B$300=$A354,"Daniel"&amp;IF('Daniel'!$E$6:$E$300="",""," : "&amp;'Daniel'!$E$6:$E$300)&amp;" ["&amp;'Daniel'!$F$6:$F$300&amp;"]",""),IF('Fernando'!$B$6:$B$300=$A354,"Fernando"&amp;IF('Fernando'!$E$6:$E$300="",""," : "&amp;'Fernando'!$E$6:$E$300)&amp;" ["&amp;'Fernando'!$F$6:$F$300&amp;"]",""),IF('Stephanie'!$B$6:$B$300=$A354,"Stephanie"&amp;IF('Stephanie'!$E$6:$E$300="",""," : "&amp;'Stephanie'!$E$6:$E$300)&amp;" ["&amp;'Stephanie'!$F$6:$F$300&amp;"]",""),IF('Fox'!$B$6:$B$300=$A354,"Fox"&amp;IF('Fox'!$E$6:$E$300="",""," : "&amp;'Fox'!$E$6:$E$300)&amp;" ["&amp;'Fox'!$F$6:$F$300&amp;"]",""),IF('Bruna'!$B$6:$B$300=$A354,"Bruna"&amp;IF('Bruna'!$E$6:$E$300="",""," : "&amp;'Bruna'!$E$6:$E$300)&amp;" ["&amp;'Bruna'!$F$6:$F$300&amp;"]",""),IF('Stella'!$B$6:$B$300=$A354,"Stella"&amp;IF('Stella'!$E$6:$E$300="",""," : "&amp;'Stella'!$E$6:$E$300)&amp;" ["&amp;'Stella'!$F$6:$F$300&amp;"]",""),IF('Igor'!$B$6:$B$300=$A354,"Igor"&amp;IF('Igor'!$E$6:$E$300="",""," : "&amp;'Igor'!$E$6:$E$300)&amp;" ["&amp;'Igor'!$F$6:$F$300&amp;"]","")))</f>
        <v/>
      </c>
    </row>
    <row r="355">
      <c r="G355" s="23">
        <f>IF($A355="","",_xlfn.TEXTJOIN("; ",TRUE,IF(COUNTIF('Clarice'!$B$6:$B$300,$A355)&gt;0,"Clarice",""),IF(COUNTIF('Luisa'!$B$6:$B$300,$A355)&gt;0,"Luisa",""),IF(COUNTIF('Lui'!$B$6:$B$300,$A355)&gt;0,"Lui",""),IF(COUNTIF('Thaís'!$B$6:$B$300,$A355)&gt;0,"Thaís",""),IF(COUNTIF('Daniel'!$B$6:$B$300,$A355)&gt;0,"Daniel",""),IF(COUNTIF('Fernando'!$B$6:$B$300,$A355)&gt;0,"Fernando",""),IF(COUNTIF('Stephanie'!$B$6:$B$300,$A355)&gt;0,"Stephanie",""),IF(COUNTIF('Fox'!$B$6:$B$300,$A355)&gt;0,"Fox",""),IF(COUNTIF('Bruna'!$B$6:$B$300,$A355)&gt;0,"Bruna",""),IF(COUNTIF('Stella'!$B$6:$B$300,$A355)&gt;0,"Stella",""),IF(COUNTIF('Igor'!$B$6:$B$300,$A355)&gt;0,"Igor","")))</f>
        <v/>
      </c>
      <c r="J355" s="24">
        <f>IF(OR($A355="",(COUNTIF('Clarice'!$B$6:$B$300,$A355)+COUNTIF('Luisa'!$B$6:$B$300,$A355)+COUNTIF('Lui'!$B$6:$B$300,$A355)+COUNTIF('Thaís'!$B$6:$B$300,$A355)+COUNTIF('Daniel'!$B$6:$B$300,$A355)+COUNTIF('Fernando'!$B$6:$B$300,$A355)+COUNTIF('Stephanie'!$B$6:$B$300,$A355)+COUNTIF('Fox'!$B$6:$B$300,$A355)+COUNTIF('Bruna'!$B$6:$B$300,$A355)+COUNTIF('Stella'!$B$6:$B$300,$A355)+COUNTIF('Igor'!$B$6:$B$300,$A355))=0),"",(COUNTIFS('Clarice'!$B$6:$B$300,$A355,'Clarice'!$F$6:$F$300,"Concluído")+COUNTIFS('Luisa'!$B$6:$B$300,$A355,'Luisa'!$F$6:$F$300,"Concluído")+COUNTIFS('Lui'!$B$6:$B$300,$A355,'Lui'!$F$6:$F$300,"Concluído")+COUNTIFS('Thaís'!$B$6:$B$300,$A355,'Thaís'!$F$6:$F$300,"Concluído")+COUNTIFS('Daniel'!$B$6:$B$300,$A355,'Daniel'!$F$6:$F$300,"Concluído")+COUNTIFS('Fernando'!$B$6:$B$300,$A355,'Fernando'!$F$6:$F$300,"Concluído")+COUNTIFS('Stephanie'!$B$6:$B$300,$A355,'Stephanie'!$F$6:$F$300,"Concluído")+COUNTIFS('Fox'!$B$6:$B$300,$A355,'Fox'!$F$6:$F$300,"Concluído")+COUNTIFS('Bruna'!$B$6:$B$300,$A355,'Bruna'!$F$6:$F$300,"Concluído")+COUNTIFS('Stella'!$B$6:$B$300,$A355,'Stella'!$F$6:$F$300,"Concluído")+COUNTIFS('Igor'!$B$6:$B$300,$A355,'Igor'!$F$6:$F$300,"Concluído"))&amp;" / "&amp;(COUNTIF('Clarice'!$B$6:$B$300,$A355)+COUNTIF('Luisa'!$B$6:$B$300,$A355)+COUNTIF('Lui'!$B$6:$B$300,$A355)+COUNTIF('Thaís'!$B$6:$B$300,$A355)+COUNTIF('Daniel'!$B$6:$B$300,$A355)+COUNTIF('Fernando'!$B$6:$B$300,$A355)+COUNTIF('Stephanie'!$B$6:$B$300,$A355)+COUNTIF('Fox'!$B$6:$B$300,$A355)+COUNTIF('Bruna'!$B$6:$B$300,$A355)+COUNTIF('Stella'!$B$6:$B$300,$A355)+COUNTIF('Igor'!$B$6:$B$300,$A355)))</f>
        <v/>
      </c>
      <c r="P355" s="25">
        <f>IF($A355="","",IF(M355&lt;&gt;"",M355,IF(K355&lt;&gt;"",K355,"")))</f>
        <v/>
      </c>
      <c r="Q355" s="25">
        <f>IF($A355="","",IF(N355&lt;&gt;"",N355,IF(L355&lt;&gt;"",L355,"")))</f>
        <v/>
      </c>
      <c r="S355" s="23">
        <f t="array" ref="S355">IF($A355="","",_xlfn.TEXTJOIN(CHAR(10),TRUE,IF('Clarice'!$B$6:$B$300=$A355,"Clarice"&amp;IF('Clarice'!$E$6:$E$300="",""," : "&amp;'Clarice'!$E$6:$E$300)&amp;" ["&amp;'Clarice'!$F$6:$F$300&amp;"]",""),IF('Luisa'!$B$6:$B$300=$A355,"Luisa"&amp;IF('Luisa'!$E$6:$E$300="",""," : "&amp;'Luisa'!$E$6:$E$300)&amp;" ["&amp;'Luisa'!$F$6:$F$300&amp;"]",""),IF('Lui'!$B$6:$B$300=$A355,"Lui"&amp;IF('Lui'!$E$6:$E$300="",""," : "&amp;'Lui'!$E$6:$E$300)&amp;" ["&amp;'Lui'!$F$6:$F$300&amp;"]",""),IF('Thaís'!$B$6:$B$300=$A355,"Thaís"&amp;IF('Thaís'!$E$6:$E$300="",""," : "&amp;'Thaís'!$E$6:$E$300)&amp;" ["&amp;'Thaís'!$F$6:$F$300&amp;"]",""),IF('Daniel'!$B$6:$B$300=$A355,"Daniel"&amp;IF('Daniel'!$E$6:$E$300="",""," : "&amp;'Daniel'!$E$6:$E$300)&amp;" ["&amp;'Daniel'!$F$6:$F$300&amp;"]",""),IF('Fernando'!$B$6:$B$300=$A355,"Fernando"&amp;IF('Fernando'!$E$6:$E$300="",""," : "&amp;'Fernando'!$E$6:$E$300)&amp;" ["&amp;'Fernando'!$F$6:$F$300&amp;"]",""),IF('Stephanie'!$B$6:$B$300=$A355,"Stephanie"&amp;IF('Stephanie'!$E$6:$E$300="",""," : "&amp;'Stephanie'!$E$6:$E$300)&amp;" ["&amp;'Stephanie'!$F$6:$F$300&amp;"]",""),IF('Fox'!$B$6:$B$300=$A355,"Fox"&amp;IF('Fox'!$E$6:$E$300="",""," : "&amp;'Fox'!$E$6:$E$300)&amp;" ["&amp;'Fox'!$F$6:$F$300&amp;"]",""),IF('Bruna'!$B$6:$B$300=$A355,"Bruna"&amp;IF('Bruna'!$E$6:$E$300="",""," : "&amp;'Bruna'!$E$6:$E$300)&amp;" ["&amp;'Bruna'!$F$6:$F$300&amp;"]",""),IF('Stella'!$B$6:$B$300=$A355,"Stella"&amp;IF('Stella'!$E$6:$E$300="",""," : "&amp;'Stella'!$E$6:$E$300)&amp;" ["&amp;'Stella'!$F$6:$F$300&amp;"]",""),IF('Igor'!$B$6:$B$300=$A355,"Igor"&amp;IF('Igor'!$E$6:$E$300="",""," : "&amp;'Igor'!$E$6:$E$300)&amp;" ["&amp;'Igor'!$F$6:$F$300&amp;"]","")))</f>
        <v/>
      </c>
    </row>
    <row r="356">
      <c r="G356" s="23">
        <f>IF($A356="","",_xlfn.TEXTJOIN("; ",TRUE,IF(COUNTIF('Clarice'!$B$6:$B$300,$A356)&gt;0,"Clarice",""),IF(COUNTIF('Luisa'!$B$6:$B$300,$A356)&gt;0,"Luisa",""),IF(COUNTIF('Lui'!$B$6:$B$300,$A356)&gt;0,"Lui",""),IF(COUNTIF('Thaís'!$B$6:$B$300,$A356)&gt;0,"Thaís",""),IF(COUNTIF('Daniel'!$B$6:$B$300,$A356)&gt;0,"Daniel",""),IF(COUNTIF('Fernando'!$B$6:$B$300,$A356)&gt;0,"Fernando",""),IF(COUNTIF('Stephanie'!$B$6:$B$300,$A356)&gt;0,"Stephanie",""),IF(COUNTIF('Fox'!$B$6:$B$300,$A356)&gt;0,"Fox",""),IF(COUNTIF('Bruna'!$B$6:$B$300,$A356)&gt;0,"Bruna",""),IF(COUNTIF('Stella'!$B$6:$B$300,$A356)&gt;0,"Stella",""),IF(COUNTIF('Igor'!$B$6:$B$300,$A356)&gt;0,"Igor","")))</f>
        <v/>
      </c>
      <c r="J356" s="24">
        <f>IF(OR($A356="",(COUNTIF('Clarice'!$B$6:$B$300,$A356)+COUNTIF('Luisa'!$B$6:$B$300,$A356)+COUNTIF('Lui'!$B$6:$B$300,$A356)+COUNTIF('Thaís'!$B$6:$B$300,$A356)+COUNTIF('Daniel'!$B$6:$B$300,$A356)+COUNTIF('Fernando'!$B$6:$B$300,$A356)+COUNTIF('Stephanie'!$B$6:$B$300,$A356)+COUNTIF('Fox'!$B$6:$B$300,$A356)+COUNTIF('Bruna'!$B$6:$B$300,$A356)+COUNTIF('Stella'!$B$6:$B$300,$A356)+COUNTIF('Igor'!$B$6:$B$300,$A356))=0),"",(COUNTIFS('Clarice'!$B$6:$B$300,$A356,'Clarice'!$F$6:$F$300,"Concluído")+COUNTIFS('Luisa'!$B$6:$B$300,$A356,'Luisa'!$F$6:$F$300,"Concluído")+COUNTIFS('Lui'!$B$6:$B$300,$A356,'Lui'!$F$6:$F$300,"Concluído")+COUNTIFS('Thaís'!$B$6:$B$300,$A356,'Thaís'!$F$6:$F$300,"Concluído")+COUNTIFS('Daniel'!$B$6:$B$300,$A356,'Daniel'!$F$6:$F$300,"Concluído")+COUNTIFS('Fernando'!$B$6:$B$300,$A356,'Fernando'!$F$6:$F$300,"Concluído")+COUNTIFS('Stephanie'!$B$6:$B$300,$A356,'Stephanie'!$F$6:$F$300,"Concluído")+COUNTIFS('Fox'!$B$6:$B$300,$A356,'Fox'!$F$6:$F$300,"Concluído")+COUNTIFS('Bruna'!$B$6:$B$300,$A356,'Bruna'!$F$6:$F$300,"Concluído")+COUNTIFS('Stella'!$B$6:$B$300,$A356,'Stella'!$F$6:$F$300,"Concluído")+COUNTIFS('Igor'!$B$6:$B$300,$A356,'Igor'!$F$6:$F$300,"Concluído"))&amp;" / "&amp;(COUNTIF('Clarice'!$B$6:$B$300,$A356)+COUNTIF('Luisa'!$B$6:$B$300,$A356)+COUNTIF('Lui'!$B$6:$B$300,$A356)+COUNTIF('Thaís'!$B$6:$B$300,$A356)+COUNTIF('Daniel'!$B$6:$B$300,$A356)+COUNTIF('Fernando'!$B$6:$B$300,$A356)+COUNTIF('Stephanie'!$B$6:$B$300,$A356)+COUNTIF('Fox'!$B$6:$B$300,$A356)+COUNTIF('Bruna'!$B$6:$B$300,$A356)+COUNTIF('Stella'!$B$6:$B$300,$A356)+COUNTIF('Igor'!$B$6:$B$300,$A356)))</f>
        <v/>
      </c>
      <c r="P356" s="25">
        <f>IF($A356="","",IF(M356&lt;&gt;"",M356,IF(K356&lt;&gt;"",K356,"")))</f>
        <v/>
      </c>
      <c r="Q356" s="25">
        <f>IF($A356="","",IF(N356&lt;&gt;"",N356,IF(L356&lt;&gt;"",L356,"")))</f>
        <v/>
      </c>
      <c r="S356" s="23">
        <f t="array" ref="S356">IF($A356="","",_xlfn.TEXTJOIN(CHAR(10),TRUE,IF('Clarice'!$B$6:$B$300=$A356,"Clarice"&amp;IF('Clarice'!$E$6:$E$300="",""," : "&amp;'Clarice'!$E$6:$E$300)&amp;" ["&amp;'Clarice'!$F$6:$F$300&amp;"]",""),IF('Luisa'!$B$6:$B$300=$A356,"Luisa"&amp;IF('Luisa'!$E$6:$E$300="",""," : "&amp;'Luisa'!$E$6:$E$300)&amp;" ["&amp;'Luisa'!$F$6:$F$300&amp;"]",""),IF('Lui'!$B$6:$B$300=$A356,"Lui"&amp;IF('Lui'!$E$6:$E$300="",""," : "&amp;'Lui'!$E$6:$E$300)&amp;" ["&amp;'Lui'!$F$6:$F$300&amp;"]",""),IF('Thaís'!$B$6:$B$300=$A356,"Thaís"&amp;IF('Thaís'!$E$6:$E$300="",""," : "&amp;'Thaís'!$E$6:$E$300)&amp;" ["&amp;'Thaís'!$F$6:$F$300&amp;"]",""),IF('Daniel'!$B$6:$B$300=$A356,"Daniel"&amp;IF('Daniel'!$E$6:$E$300="",""," : "&amp;'Daniel'!$E$6:$E$300)&amp;" ["&amp;'Daniel'!$F$6:$F$300&amp;"]",""),IF('Fernando'!$B$6:$B$300=$A356,"Fernando"&amp;IF('Fernando'!$E$6:$E$300="",""," : "&amp;'Fernando'!$E$6:$E$300)&amp;" ["&amp;'Fernando'!$F$6:$F$300&amp;"]",""),IF('Stephanie'!$B$6:$B$300=$A356,"Stephanie"&amp;IF('Stephanie'!$E$6:$E$300="",""," : "&amp;'Stephanie'!$E$6:$E$300)&amp;" ["&amp;'Stephanie'!$F$6:$F$300&amp;"]",""),IF('Fox'!$B$6:$B$300=$A356,"Fox"&amp;IF('Fox'!$E$6:$E$300="",""," : "&amp;'Fox'!$E$6:$E$300)&amp;" ["&amp;'Fox'!$F$6:$F$300&amp;"]",""),IF('Bruna'!$B$6:$B$300=$A356,"Bruna"&amp;IF('Bruna'!$E$6:$E$300="",""," : "&amp;'Bruna'!$E$6:$E$300)&amp;" ["&amp;'Bruna'!$F$6:$F$300&amp;"]",""),IF('Stella'!$B$6:$B$300=$A356,"Stella"&amp;IF('Stella'!$E$6:$E$300="",""," : "&amp;'Stella'!$E$6:$E$300)&amp;" ["&amp;'Stella'!$F$6:$F$300&amp;"]",""),IF('Igor'!$B$6:$B$300=$A356,"Igor"&amp;IF('Igor'!$E$6:$E$300="",""," : "&amp;'Igor'!$E$6:$E$300)&amp;" ["&amp;'Igor'!$F$6:$F$300&amp;"]","")))</f>
        <v/>
      </c>
    </row>
    <row r="357">
      <c r="G357" s="23">
        <f>IF($A357="","",_xlfn.TEXTJOIN("; ",TRUE,IF(COUNTIF('Clarice'!$B$6:$B$300,$A357)&gt;0,"Clarice",""),IF(COUNTIF('Luisa'!$B$6:$B$300,$A357)&gt;0,"Luisa",""),IF(COUNTIF('Lui'!$B$6:$B$300,$A357)&gt;0,"Lui",""),IF(COUNTIF('Thaís'!$B$6:$B$300,$A357)&gt;0,"Thaís",""),IF(COUNTIF('Daniel'!$B$6:$B$300,$A357)&gt;0,"Daniel",""),IF(COUNTIF('Fernando'!$B$6:$B$300,$A357)&gt;0,"Fernando",""),IF(COUNTIF('Stephanie'!$B$6:$B$300,$A357)&gt;0,"Stephanie",""),IF(COUNTIF('Fox'!$B$6:$B$300,$A357)&gt;0,"Fox",""),IF(COUNTIF('Bruna'!$B$6:$B$300,$A357)&gt;0,"Bruna",""),IF(COUNTIF('Stella'!$B$6:$B$300,$A357)&gt;0,"Stella",""),IF(COUNTIF('Igor'!$B$6:$B$300,$A357)&gt;0,"Igor","")))</f>
        <v/>
      </c>
      <c r="J357" s="24">
        <f>IF(OR($A357="",(COUNTIF('Clarice'!$B$6:$B$300,$A357)+COUNTIF('Luisa'!$B$6:$B$300,$A357)+COUNTIF('Lui'!$B$6:$B$300,$A357)+COUNTIF('Thaís'!$B$6:$B$300,$A357)+COUNTIF('Daniel'!$B$6:$B$300,$A357)+COUNTIF('Fernando'!$B$6:$B$300,$A357)+COUNTIF('Stephanie'!$B$6:$B$300,$A357)+COUNTIF('Fox'!$B$6:$B$300,$A357)+COUNTIF('Bruna'!$B$6:$B$300,$A357)+COUNTIF('Stella'!$B$6:$B$300,$A357)+COUNTIF('Igor'!$B$6:$B$300,$A357))=0),"",(COUNTIFS('Clarice'!$B$6:$B$300,$A357,'Clarice'!$F$6:$F$300,"Concluído")+COUNTIFS('Luisa'!$B$6:$B$300,$A357,'Luisa'!$F$6:$F$300,"Concluído")+COUNTIFS('Lui'!$B$6:$B$300,$A357,'Lui'!$F$6:$F$300,"Concluído")+COUNTIFS('Thaís'!$B$6:$B$300,$A357,'Thaís'!$F$6:$F$300,"Concluído")+COUNTIFS('Daniel'!$B$6:$B$300,$A357,'Daniel'!$F$6:$F$300,"Concluído")+COUNTIFS('Fernando'!$B$6:$B$300,$A357,'Fernando'!$F$6:$F$300,"Concluído")+COUNTIFS('Stephanie'!$B$6:$B$300,$A357,'Stephanie'!$F$6:$F$300,"Concluído")+COUNTIFS('Fox'!$B$6:$B$300,$A357,'Fox'!$F$6:$F$300,"Concluído")+COUNTIFS('Bruna'!$B$6:$B$300,$A357,'Bruna'!$F$6:$F$300,"Concluído")+COUNTIFS('Stella'!$B$6:$B$300,$A357,'Stella'!$F$6:$F$300,"Concluído")+COUNTIFS('Igor'!$B$6:$B$300,$A357,'Igor'!$F$6:$F$300,"Concluído"))&amp;" / "&amp;(COUNTIF('Clarice'!$B$6:$B$300,$A357)+COUNTIF('Luisa'!$B$6:$B$300,$A357)+COUNTIF('Lui'!$B$6:$B$300,$A357)+COUNTIF('Thaís'!$B$6:$B$300,$A357)+COUNTIF('Daniel'!$B$6:$B$300,$A357)+COUNTIF('Fernando'!$B$6:$B$300,$A357)+COUNTIF('Stephanie'!$B$6:$B$300,$A357)+COUNTIF('Fox'!$B$6:$B$300,$A357)+COUNTIF('Bruna'!$B$6:$B$300,$A357)+COUNTIF('Stella'!$B$6:$B$300,$A357)+COUNTIF('Igor'!$B$6:$B$300,$A357)))</f>
        <v/>
      </c>
      <c r="P357" s="25">
        <f>IF($A357="","",IF(M357&lt;&gt;"",M357,IF(K357&lt;&gt;"",K357,"")))</f>
        <v/>
      </c>
      <c r="Q357" s="25">
        <f>IF($A357="","",IF(N357&lt;&gt;"",N357,IF(L357&lt;&gt;"",L357,"")))</f>
        <v/>
      </c>
      <c r="S357" s="23">
        <f t="array" ref="S357">IF($A357="","",_xlfn.TEXTJOIN(CHAR(10),TRUE,IF('Clarice'!$B$6:$B$300=$A357,"Clarice"&amp;IF('Clarice'!$E$6:$E$300="",""," : "&amp;'Clarice'!$E$6:$E$300)&amp;" ["&amp;'Clarice'!$F$6:$F$300&amp;"]",""),IF('Luisa'!$B$6:$B$300=$A357,"Luisa"&amp;IF('Luisa'!$E$6:$E$300="",""," : "&amp;'Luisa'!$E$6:$E$300)&amp;" ["&amp;'Luisa'!$F$6:$F$300&amp;"]",""),IF('Lui'!$B$6:$B$300=$A357,"Lui"&amp;IF('Lui'!$E$6:$E$300="",""," : "&amp;'Lui'!$E$6:$E$300)&amp;" ["&amp;'Lui'!$F$6:$F$300&amp;"]",""),IF('Thaís'!$B$6:$B$300=$A357,"Thaís"&amp;IF('Thaís'!$E$6:$E$300="",""," : "&amp;'Thaís'!$E$6:$E$300)&amp;" ["&amp;'Thaís'!$F$6:$F$300&amp;"]",""),IF('Daniel'!$B$6:$B$300=$A357,"Daniel"&amp;IF('Daniel'!$E$6:$E$300="",""," : "&amp;'Daniel'!$E$6:$E$300)&amp;" ["&amp;'Daniel'!$F$6:$F$300&amp;"]",""),IF('Fernando'!$B$6:$B$300=$A357,"Fernando"&amp;IF('Fernando'!$E$6:$E$300="",""," : "&amp;'Fernando'!$E$6:$E$300)&amp;" ["&amp;'Fernando'!$F$6:$F$300&amp;"]",""),IF('Stephanie'!$B$6:$B$300=$A357,"Stephanie"&amp;IF('Stephanie'!$E$6:$E$300="",""," : "&amp;'Stephanie'!$E$6:$E$300)&amp;" ["&amp;'Stephanie'!$F$6:$F$300&amp;"]",""),IF('Fox'!$B$6:$B$300=$A357,"Fox"&amp;IF('Fox'!$E$6:$E$300="",""," : "&amp;'Fox'!$E$6:$E$300)&amp;" ["&amp;'Fox'!$F$6:$F$300&amp;"]",""),IF('Bruna'!$B$6:$B$300=$A357,"Bruna"&amp;IF('Bruna'!$E$6:$E$300="",""," : "&amp;'Bruna'!$E$6:$E$300)&amp;" ["&amp;'Bruna'!$F$6:$F$300&amp;"]",""),IF('Stella'!$B$6:$B$300=$A357,"Stella"&amp;IF('Stella'!$E$6:$E$300="",""," : "&amp;'Stella'!$E$6:$E$300)&amp;" ["&amp;'Stella'!$F$6:$F$300&amp;"]",""),IF('Igor'!$B$6:$B$300=$A357,"Igor"&amp;IF('Igor'!$E$6:$E$300="",""," : "&amp;'Igor'!$E$6:$E$300)&amp;" ["&amp;'Igor'!$F$6:$F$300&amp;"]","")))</f>
        <v/>
      </c>
    </row>
    <row r="358">
      <c r="G358" s="23">
        <f>IF($A358="","",_xlfn.TEXTJOIN("; ",TRUE,IF(COUNTIF('Clarice'!$B$6:$B$300,$A358)&gt;0,"Clarice",""),IF(COUNTIF('Luisa'!$B$6:$B$300,$A358)&gt;0,"Luisa",""),IF(COUNTIF('Lui'!$B$6:$B$300,$A358)&gt;0,"Lui",""),IF(COUNTIF('Thaís'!$B$6:$B$300,$A358)&gt;0,"Thaís",""),IF(COUNTIF('Daniel'!$B$6:$B$300,$A358)&gt;0,"Daniel",""),IF(COUNTIF('Fernando'!$B$6:$B$300,$A358)&gt;0,"Fernando",""),IF(COUNTIF('Stephanie'!$B$6:$B$300,$A358)&gt;0,"Stephanie",""),IF(COUNTIF('Fox'!$B$6:$B$300,$A358)&gt;0,"Fox",""),IF(COUNTIF('Bruna'!$B$6:$B$300,$A358)&gt;0,"Bruna",""),IF(COUNTIF('Stella'!$B$6:$B$300,$A358)&gt;0,"Stella",""),IF(COUNTIF('Igor'!$B$6:$B$300,$A358)&gt;0,"Igor","")))</f>
        <v/>
      </c>
      <c r="J358" s="24">
        <f>IF(OR($A358="",(COUNTIF('Clarice'!$B$6:$B$300,$A358)+COUNTIF('Luisa'!$B$6:$B$300,$A358)+COUNTIF('Lui'!$B$6:$B$300,$A358)+COUNTIF('Thaís'!$B$6:$B$300,$A358)+COUNTIF('Daniel'!$B$6:$B$300,$A358)+COUNTIF('Fernando'!$B$6:$B$300,$A358)+COUNTIF('Stephanie'!$B$6:$B$300,$A358)+COUNTIF('Fox'!$B$6:$B$300,$A358)+COUNTIF('Bruna'!$B$6:$B$300,$A358)+COUNTIF('Stella'!$B$6:$B$300,$A358)+COUNTIF('Igor'!$B$6:$B$300,$A358))=0),"",(COUNTIFS('Clarice'!$B$6:$B$300,$A358,'Clarice'!$F$6:$F$300,"Concluído")+COUNTIFS('Luisa'!$B$6:$B$300,$A358,'Luisa'!$F$6:$F$300,"Concluído")+COUNTIFS('Lui'!$B$6:$B$300,$A358,'Lui'!$F$6:$F$300,"Concluído")+COUNTIFS('Thaís'!$B$6:$B$300,$A358,'Thaís'!$F$6:$F$300,"Concluído")+COUNTIFS('Daniel'!$B$6:$B$300,$A358,'Daniel'!$F$6:$F$300,"Concluído")+COUNTIFS('Fernando'!$B$6:$B$300,$A358,'Fernando'!$F$6:$F$300,"Concluído")+COUNTIFS('Stephanie'!$B$6:$B$300,$A358,'Stephanie'!$F$6:$F$300,"Concluído")+COUNTIFS('Fox'!$B$6:$B$300,$A358,'Fox'!$F$6:$F$300,"Concluído")+COUNTIFS('Bruna'!$B$6:$B$300,$A358,'Bruna'!$F$6:$F$300,"Concluído")+COUNTIFS('Stella'!$B$6:$B$300,$A358,'Stella'!$F$6:$F$300,"Concluído")+COUNTIFS('Igor'!$B$6:$B$300,$A358,'Igor'!$F$6:$F$300,"Concluído"))&amp;" / "&amp;(COUNTIF('Clarice'!$B$6:$B$300,$A358)+COUNTIF('Luisa'!$B$6:$B$300,$A358)+COUNTIF('Lui'!$B$6:$B$300,$A358)+COUNTIF('Thaís'!$B$6:$B$300,$A358)+COUNTIF('Daniel'!$B$6:$B$300,$A358)+COUNTIF('Fernando'!$B$6:$B$300,$A358)+COUNTIF('Stephanie'!$B$6:$B$300,$A358)+COUNTIF('Fox'!$B$6:$B$300,$A358)+COUNTIF('Bruna'!$B$6:$B$300,$A358)+COUNTIF('Stella'!$B$6:$B$300,$A358)+COUNTIF('Igor'!$B$6:$B$300,$A358)))</f>
        <v/>
      </c>
      <c r="P358" s="25">
        <f>IF($A358="","",IF(M358&lt;&gt;"",M358,IF(K358&lt;&gt;"",K358,"")))</f>
        <v/>
      </c>
      <c r="Q358" s="25">
        <f>IF($A358="","",IF(N358&lt;&gt;"",N358,IF(L358&lt;&gt;"",L358,"")))</f>
        <v/>
      </c>
      <c r="S358" s="23">
        <f t="array" ref="S358">IF($A358="","",_xlfn.TEXTJOIN(CHAR(10),TRUE,IF('Clarice'!$B$6:$B$300=$A358,"Clarice"&amp;IF('Clarice'!$E$6:$E$300="",""," : "&amp;'Clarice'!$E$6:$E$300)&amp;" ["&amp;'Clarice'!$F$6:$F$300&amp;"]",""),IF('Luisa'!$B$6:$B$300=$A358,"Luisa"&amp;IF('Luisa'!$E$6:$E$300="",""," : "&amp;'Luisa'!$E$6:$E$300)&amp;" ["&amp;'Luisa'!$F$6:$F$300&amp;"]",""),IF('Lui'!$B$6:$B$300=$A358,"Lui"&amp;IF('Lui'!$E$6:$E$300="",""," : "&amp;'Lui'!$E$6:$E$300)&amp;" ["&amp;'Lui'!$F$6:$F$300&amp;"]",""),IF('Thaís'!$B$6:$B$300=$A358,"Thaís"&amp;IF('Thaís'!$E$6:$E$300="",""," : "&amp;'Thaís'!$E$6:$E$300)&amp;" ["&amp;'Thaís'!$F$6:$F$300&amp;"]",""),IF('Daniel'!$B$6:$B$300=$A358,"Daniel"&amp;IF('Daniel'!$E$6:$E$300="",""," : "&amp;'Daniel'!$E$6:$E$300)&amp;" ["&amp;'Daniel'!$F$6:$F$300&amp;"]",""),IF('Fernando'!$B$6:$B$300=$A358,"Fernando"&amp;IF('Fernando'!$E$6:$E$300="",""," : "&amp;'Fernando'!$E$6:$E$300)&amp;" ["&amp;'Fernando'!$F$6:$F$300&amp;"]",""),IF('Stephanie'!$B$6:$B$300=$A358,"Stephanie"&amp;IF('Stephanie'!$E$6:$E$300="",""," : "&amp;'Stephanie'!$E$6:$E$300)&amp;" ["&amp;'Stephanie'!$F$6:$F$300&amp;"]",""),IF('Fox'!$B$6:$B$300=$A358,"Fox"&amp;IF('Fox'!$E$6:$E$300="",""," : "&amp;'Fox'!$E$6:$E$300)&amp;" ["&amp;'Fox'!$F$6:$F$300&amp;"]",""),IF('Bruna'!$B$6:$B$300=$A358,"Bruna"&amp;IF('Bruna'!$E$6:$E$300="",""," : "&amp;'Bruna'!$E$6:$E$300)&amp;" ["&amp;'Bruna'!$F$6:$F$300&amp;"]",""),IF('Stella'!$B$6:$B$300=$A358,"Stella"&amp;IF('Stella'!$E$6:$E$300="",""," : "&amp;'Stella'!$E$6:$E$300)&amp;" ["&amp;'Stella'!$F$6:$F$300&amp;"]",""),IF('Igor'!$B$6:$B$300=$A358,"Igor"&amp;IF('Igor'!$E$6:$E$300="",""," : "&amp;'Igor'!$E$6:$E$300)&amp;" ["&amp;'Igor'!$F$6:$F$300&amp;"]","")))</f>
        <v/>
      </c>
    </row>
    <row r="359">
      <c r="G359" s="23">
        <f>IF($A359="","",_xlfn.TEXTJOIN("; ",TRUE,IF(COUNTIF('Clarice'!$B$6:$B$300,$A359)&gt;0,"Clarice",""),IF(COUNTIF('Luisa'!$B$6:$B$300,$A359)&gt;0,"Luisa",""),IF(COUNTIF('Lui'!$B$6:$B$300,$A359)&gt;0,"Lui",""),IF(COUNTIF('Thaís'!$B$6:$B$300,$A359)&gt;0,"Thaís",""),IF(COUNTIF('Daniel'!$B$6:$B$300,$A359)&gt;0,"Daniel",""),IF(COUNTIF('Fernando'!$B$6:$B$300,$A359)&gt;0,"Fernando",""),IF(COUNTIF('Stephanie'!$B$6:$B$300,$A359)&gt;0,"Stephanie",""),IF(COUNTIF('Fox'!$B$6:$B$300,$A359)&gt;0,"Fox",""),IF(COUNTIF('Bruna'!$B$6:$B$300,$A359)&gt;0,"Bruna",""),IF(COUNTIF('Stella'!$B$6:$B$300,$A359)&gt;0,"Stella",""),IF(COUNTIF('Igor'!$B$6:$B$300,$A359)&gt;0,"Igor","")))</f>
        <v/>
      </c>
      <c r="J359" s="24">
        <f>IF(OR($A359="",(COUNTIF('Clarice'!$B$6:$B$300,$A359)+COUNTIF('Luisa'!$B$6:$B$300,$A359)+COUNTIF('Lui'!$B$6:$B$300,$A359)+COUNTIF('Thaís'!$B$6:$B$300,$A359)+COUNTIF('Daniel'!$B$6:$B$300,$A359)+COUNTIF('Fernando'!$B$6:$B$300,$A359)+COUNTIF('Stephanie'!$B$6:$B$300,$A359)+COUNTIF('Fox'!$B$6:$B$300,$A359)+COUNTIF('Bruna'!$B$6:$B$300,$A359)+COUNTIF('Stella'!$B$6:$B$300,$A359)+COUNTIF('Igor'!$B$6:$B$300,$A359))=0),"",(COUNTIFS('Clarice'!$B$6:$B$300,$A359,'Clarice'!$F$6:$F$300,"Concluído")+COUNTIFS('Luisa'!$B$6:$B$300,$A359,'Luisa'!$F$6:$F$300,"Concluído")+COUNTIFS('Lui'!$B$6:$B$300,$A359,'Lui'!$F$6:$F$300,"Concluído")+COUNTIFS('Thaís'!$B$6:$B$300,$A359,'Thaís'!$F$6:$F$300,"Concluído")+COUNTIFS('Daniel'!$B$6:$B$300,$A359,'Daniel'!$F$6:$F$300,"Concluído")+COUNTIFS('Fernando'!$B$6:$B$300,$A359,'Fernando'!$F$6:$F$300,"Concluído")+COUNTIFS('Stephanie'!$B$6:$B$300,$A359,'Stephanie'!$F$6:$F$300,"Concluído")+COUNTIFS('Fox'!$B$6:$B$300,$A359,'Fox'!$F$6:$F$300,"Concluído")+COUNTIFS('Bruna'!$B$6:$B$300,$A359,'Bruna'!$F$6:$F$300,"Concluído")+COUNTIFS('Stella'!$B$6:$B$300,$A359,'Stella'!$F$6:$F$300,"Concluído")+COUNTIFS('Igor'!$B$6:$B$300,$A359,'Igor'!$F$6:$F$300,"Concluído"))&amp;" / "&amp;(COUNTIF('Clarice'!$B$6:$B$300,$A359)+COUNTIF('Luisa'!$B$6:$B$300,$A359)+COUNTIF('Lui'!$B$6:$B$300,$A359)+COUNTIF('Thaís'!$B$6:$B$300,$A359)+COUNTIF('Daniel'!$B$6:$B$300,$A359)+COUNTIF('Fernando'!$B$6:$B$300,$A359)+COUNTIF('Stephanie'!$B$6:$B$300,$A359)+COUNTIF('Fox'!$B$6:$B$300,$A359)+COUNTIF('Bruna'!$B$6:$B$300,$A359)+COUNTIF('Stella'!$B$6:$B$300,$A359)+COUNTIF('Igor'!$B$6:$B$300,$A359)))</f>
        <v/>
      </c>
      <c r="P359" s="25">
        <f>IF($A359="","",IF(M359&lt;&gt;"",M359,IF(K359&lt;&gt;"",K359,"")))</f>
        <v/>
      </c>
      <c r="Q359" s="25">
        <f>IF($A359="","",IF(N359&lt;&gt;"",N359,IF(L359&lt;&gt;"",L359,"")))</f>
        <v/>
      </c>
      <c r="S359" s="23">
        <f t="array" ref="S359">IF($A359="","",_xlfn.TEXTJOIN(CHAR(10),TRUE,IF('Clarice'!$B$6:$B$300=$A359,"Clarice"&amp;IF('Clarice'!$E$6:$E$300="",""," : "&amp;'Clarice'!$E$6:$E$300)&amp;" ["&amp;'Clarice'!$F$6:$F$300&amp;"]",""),IF('Luisa'!$B$6:$B$300=$A359,"Luisa"&amp;IF('Luisa'!$E$6:$E$300="",""," : "&amp;'Luisa'!$E$6:$E$300)&amp;" ["&amp;'Luisa'!$F$6:$F$300&amp;"]",""),IF('Lui'!$B$6:$B$300=$A359,"Lui"&amp;IF('Lui'!$E$6:$E$300="",""," : "&amp;'Lui'!$E$6:$E$300)&amp;" ["&amp;'Lui'!$F$6:$F$300&amp;"]",""),IF('Thaís'!$B$6:$B$300=$A359,"Thaís"&amp;IF('Thaís'!$E$6:$E$300="",""," : "&amp;'Thaís'!$E$6:$E$300)&amp;" ["&amp;'Thaís'!$F$6:$F$300&amp;"]",""),IF('Daniel'!$B$6:$B$300=$A359,"Daniel"&amp;IF('Daniel'!$E$6:$E$300="",""," : "&amp;'Daniel'!$E$6:$E$300)&amp;" ["&amp;'Daniel'!$F$6:$F$300&amp;"]",""),IF('Fernando'!$B$6:$B$300=$A359,"Fernando"&amp;IF('Fernando'!$E$6:$E$300="",""," : "&amp;'Fernando'!$E$6:$E$300)&amp;" ["&amp;'Fernando'!$F$6:$F$300&amp;"]",""),IF('Stephanie'!$B$6:$B$300=$A359,"Stephanie"&amp;IF('Stephanie'!$E$6:$E$300="",""," : "&amp;'Stephanie'!$E$6:$E$300)&amp;" ["&amp;'Stephanie'!$F$6:$F$300&amp;"]",""),IF('Fox'!$B$6:$B$300=$A359,"Fox"&amp;IF('Fox'!$E$6:$E$300="",""," : "&amp;'Fox'!$E$6:$E$300)&amp;" ["&amp;'Fox'!$F$6:$F$300&amp;"]",""),IF('Bruna'!$B$6:$B$300=$A359,"Bruna"&amp;IF('Bruna'!$E$6:$E$300="",""," : "&amp;'Bruna'!$E$6:$E$300)&amp;" ["&amp;'Bruna'!$F$6:$F$300&amp;"]",""),IF('Stella'!$B$6:$B$300=$A359,"Stella"&amp;IF('Stella'!$E$6:$E$300="",""," : "&amp;'Stella'!$E$6:$E$300)&amp;" ["&amp;'Stella'!$F$6:$F$300&amp;"]",""),IF('Igor'!$B$6:$B$300=$A359,"Igor"&amp;IF('Igor'!$E$6:$E$300="",""," : "&amp;'Igor'!$E$6:$E$300)&amp;" ["&amp;'Igor'!$F$6:$F$300&amp;"]","")))</f>
        <v/>
      </c>
    </row>
    <row r="360">
      <c r="G360" s="23">
        <f>IF($A360="","",_xlfn.TEXTJOIN("; ",TRUE,IF(COUNTIF('Clarice'!$B$6:$B$300,$A360)&gt;0,"Clarice",""),IF(COUNTIF('Luisa'!$B$6:$B$300,$A360)&gt;0,"Luisa",""),IF(COUNTIF('Lui'!$B$6:$B$300,$A360)&gt;0,"Lui",""),IF(COUNTIF('Thaís'!$B$6:$B$300,$A360)&gt;0,"Thaís",""),IF(COUNTIF('Daniel'!$B$6:$B$300,$A360)&gt;0,"Daniel",""),IF(COUNTIF('Fernando'!$B$6:$B$300,$A360)&gt;0,"Fernando",""),IF(COUNTIF('Stephanie'!$B$6:$B$300,$A360)&gt;0,"Stephanie",""),IF(COUNTIF('Fox'!$B$6:$B$300,$A360)&gt;0,"Fox",""),IF(COUNTIF('Bruna'!$B$6:$B$300,$A360)&gt;0,"Bruna",""),IF(COUNTIF('Stella'!$B$6:$B$300,$A360)&gt;0,"Stella",""),IF(COUNTIF('Igor'!$B$6:$B$300,$A360)&gt;0,"Igor","")))</f>
        <v/>
      </c>
      <c r="J360" s="24">
        <f>IF(OR($A360="",(COUNTIF('Clarice'!$B$6:$B$300,$A360)+COUNTIF('Luisa'!$B$6:$B$300,$A360)+COUNTIF('Lui'!$B$6:$B$300,$A360)+COUNTIF('Thaís'!$B$6:$B$300,$A360)+COUNTIF('Daniel'!$B$6:$B$300,$A360)+COUNTIF('Fernando'!$B$6:$B$300,$A360)+COUNTIF('Stephanie'!$B$6:$B$300,$A360)+COUNTIF('Fox'!$B$6:$B$300,$A360)+COUNTIF('Bruna'!$B$6:$B$300,$A360)+COUNTIF('Stella'!$B$6:$B$300,$A360)+COUNTIF('Igor'!$B$6:$B$300,$A360))=0),"",(COUNTIFS('Clarice'!$B$6:$B$300,$A360,'Clarice'!$F$6:$F$300,"Concluído")+COUNTIFS('Luisa'!$B$6:$B$300,$A360,'Luisa'!$F$6:$F$300,"Concluído")+COUNTIFS('Lui'!$B$6:$B$300,$A360,'Lui'!$F$6:$F$300,"Concluído")+COUNTIFS('Thaís'!$B$6:$B$300,$A360,'Thaís'!$F$6:$F$300,"Concluído")+COUNTIFS('Daniel'!$B$6:$B$300,$A360,'Daniel'!$F$6:$F$300,"Concluído")+COUNTIFS('Fernando'!$B$6:$B$300,$A360,'Fernando'!$F$6:$F$300,"Concluído")+COUNTIFS('Stephanie'!$B$6:$B$300,$A360,'Stephanie'!$F$6:$F$300,"Concluído")+COUNTIFS('Fox'!$B$6:$B$300,$A360,'Fox'!$F$6:$F$300,"Concluído")+COUNTIFS('Bruna'!$B$6:$B$300,$A360,'Bruna'!$F$6:$F$300,"Concluído")+COUNTIFS('Stella'!$B$6:$B$300,$A360,'Stella'!$F$6:$F$300,"Concluído")+COUNTIFS('Igor'!$B$6:$B$300,$A360,'Igor'!$F$6:$F$300,"Concluído"))&amp;" / "&amp;(COUNTIF('Clarice'!$B$6:$B$300,$A360)+COUNTIF('Luisa'!$B$6:$B$300,$A360)+COUNTIF('Lui'!$B$6:$B$300,$A360)+COUNTIF('Thaís'!$B$6:$B$300,$A360)+COUNTIF('Daniel'!$B$6:$B$300,$A360)+COUNTIF('Fernando'!$B$6:$B$300,$A360)+COUNTIF('Stephanie'!$B$6:$B$300,$A360)+COUNTIF('Fox'!$B$6:$B$300,$A360)+COUNTIF('Bruna'!$B$6:$B$300,$A360)+COUNTIF('Stella'!$B$6:$B$300,$A360)+COUNTIF('Igor'!$B$6:$B$300,$A360)))</f>
        <v/>
      </c>
      <c r="P360" s="25">
        <f>IF($A360="","",IF(M360&lt;&gt;"",M360,IF(K360&lt;&gt;"",K360,"")))</f>
        <v/>
      </c>
      <c r="Q360" s="25">
        <f>IF($A360="","",IF(N360&lt;&gt;"",N360,IF(L360&lt;&gt;"",L360,"")))</f>
        <v/>
      </c>
      <c r="S360" s="23">
        <f t="array" ref="S360">IF($A360="","",_xlfn.TEXTJOIN(CHAR(10),TRUE,IF('Clarice'!$B$6:$B$300=$A360,"Clarice"&amp;IF('Clarice'!$E$6:$E$300="",""," : "&amp;'Clarice'!$E$6:$E$300)&amp;" ["&amp;'Clarice'!$F$6:$F$300&amp;"]",""),IF('Luisa'!$B$6:$B$300=$A360,"Luisa"&amp;IF('Luisa'!$E$6:$E$300="",""," : "&amp;'Luisa'!$E$6:$E$300)&amp;" ["&amp;'Luisa'!$F$6:$F$300&amp;"]",""),IF('Lui'!$B$6:$B$300=$A360,"Lui"&amp;IF('Lui'!$E$6:$E$300="",""," : "&amp;'Lui'!$E$6:$E$300)&amp;" ["&amp;'Lui'!$F$6:$F$300&amp;"]",""),IF('Thaís'!$B$6:$B$300=$A360,"Thaís"&amp;IF('Thaís'!$E$6:$E$300="",""," : "&amp;'Thaís'!$E$6:$E$300)&amp;" ["&amp;'Thaís'!$F$6:$F$300&amp;"]",""),IF('Daniel'!$B$6:$B$300=$A360,"Daniel"&amp;IF('Daniel'!$E$6:$E$300="",""," : "&amp;'Daniel'!$E$6:$E$300)&amp;" ["&amp;'Daniel'!$F$6:$F$300&amp;"]",""),IF('Fernando'!$B$6:$B$300=$A360,"Fernando"&amp;IF('Fernando'!$E$6:$E$300="",""," : "&amp;'Fernando'!$E$6:$E$300)&amp;" ["&amp;'Fernando'!$F$6:$F$300&amp;"]",""),IF('Stephanie'!$B$6:$B$300=$A360,"Stephanie"&amp;IF('Stephanie'!$E$6:$E$300="",""," : "&amp;'Stephanie'!$E$6:$E$300)&amp;" ["&amp;'Stephanie'!$F$6:$F$300&amp;"]",""),IF('Fox'!$B$6:$B$300=$A360,"Fox"&amp;IF('Fox'!$E$6:$E$300="",""," : "&amp;'Fox'!$E$6:$E$300)&amp;" ["&amp;'Fox'!$F$6:$F$300&amp;"]",""),IF('Bruna'!$B$6:$B$300=$A360,"Bruna"&amp;IF('Bruna'!$E$6:$E$300="",""," : "&amp;'Bruna'!$E$6:$E$300)&amp;" ["&amp;'Bruna'!$F$6:$F$300&amp;"]",""),IF('Stella'!$B$6:$B$300=$A360,"Stella"&amp;IF('Stella'!$E$6:$E$300="",""," : "&amp;'Stella'!$E$6:$E$300)&amp;" ["&amp;'Stella'!$F$6:$F$300&amp;"]",""),IF('Igor'!$B$6:$B$300=$A360,"Igor"&amp;IF('Igor'!$E$6:$E$300="",""," : "&amp;'Igor'!$E$6:$E$300)&amp;" ["&amp;'Igor'!$F$6:$F$300&amp;"]","")))</f>
        <v/>
      </c>
    </row>
    <row r="361">
      <c r="G361" s="23">
        <f>IF($A361="","",_xlfn.TEXTJOIN("; ",TRUE,IF(COUNTIF('Clarice'!$B$6:$B$300,$A361)&gt;0,"Clarice",""),IF(COUNTIF('Luisa'!$B$6:$B$300,$A361)&gt;0,"Luisa",""),IF(COUNTIF('Lui'!$B$6:$B$300,$A361)&gt;0,"Lui",""),IF(COUNTIF('Thaís'!$B$6:$B$300,$A361)&gt;0,"Thaís",""),IF(COUNTIF('Daniel'!$B$6:$B$300,$A361)&gt;0,"Daniel",""),IF(COUNTIF('Fernando'!$B$6:$B$300,$A361)&gt;0,"Fernando",""),IF(COUNTIF('Stephanie'!$B$6:$B$300,$A361)&gt;0,"Stephanie",""),IF(COUNTIF('Fox'!$B$6:$B$300,$A361)&gt;0,"Fox",""),IF(COUNTIF('Bruna'!$B$6:$B$300,$A361)&gt;0,"Bruna",""),IF(COUNTIF('Stella'!$B$6:$B$300,$A361)&gt;0,"Stella",""),IF(COUNTIF('Igor'!$B$6:$B$300,$A361)&gt;0,"Igor","")))</f>
        <v/>
      </c>
      <c r="J361" s="24">
        <f>IF(OR($A361="",(COUNTIF('Clarice'!$B$6:$B$300,$A361)+COUNTIF('Luisa'!$B$6:$B$300,$A361)+COUNTIF('Lui'!$B$6:$B$300,$A361)+COUNTIF('Thaís'!$B$6:$B$300,$A361)+COUNTIF('Daniel'!$B$6:$B$300,$A361)+COUNTIF('Fernando'!$B$6:$B$300,$A361)+COUNTIF('Stephanie'!$B$6:$B$300,$A361)+COUNTIF('Fox'!$B$6:$B$300,$A361)+COUNTIF('Bruna'!$B$6:$B$300,$A361)+COUNTIF('Stella'!$B$6:$B$300,$A361)+COUNTIF('Igor'!$B$6:$B$300,$A361))=0),"",(COUNTIFS('Clarice'!$B$6:$B$300,$A361,'Clarice'!$F$6:$F$300,"Concluído")+COUNTIFS('Luisa'!$B$6:$B$300,$A361,'Luisa'!$F$6:$F$300,"Concluído")+COUNTIFS('Lui'!$B$6:$B$300,$A361,'Lui'!$F$6:$F$300,"Concluído")+COUNTIFS('Thaís'!$B$6:$B$300,$A361,'Thaís'!$F$6:$F$300,"Concluído")+COUNTIFS('Daniel'!$B$6:$B$300,$A361,'Daniel'!$F$6:$F$300,"Concluído")+COUNTIFS('Fernando'!$B$6:$B$300,$A361,'Fernando'!$F$6:$F$300,"Concluído")+COUNTIFS('Stephanie'!$B$6:$B$300,$A361,'Stephanie'!$F$6:$F$300,"Concluído")+COUNTIFS('Fox'!$B$6:$B$300,$A361,'Fox'!$F$6:$F$300,"Concluído")+COUNTIFS('Bruna'!$B$6:$B$300,$A361,'Bruna'!$F$6:$F$300,"Concluído")+COUNTIFS('Stella'!$B$6:$B$300,$A361,'Stella'!$F$6:$F$300,"Concluído")+COUNTIFS('Igor'!$B$6:$B$300,$A361,'Igor'!$F$6:$F$300,"Concluído"))&amp;" / "&amp;(COUNTIF('Clarice'!$B$6:$B$300,$A361)+COUNTIF('Luisa'!$B$6:$B$300,$A361)+COUNTIF('Lui'!$B$6:$B$300,$A361)+COUNTIF('Thaís'!$B$6:$B$300,$A361)+COUNTIF('Daniel'!$B$6:$B$300,$A361)+COUNTIF('Fernando'!$B$6:$B$300,$A361)+COUNTIF('Stephanie'!$B$6:$B$300,$A361)+COUNTIF('Fox'!$B$6:$B$300,$A361)+COUNTIF('Bruna'!$B$6:$B$300,$A361)+COUNTIF('Stella'!$B$6:$B$300,$A361)+COUNTIF('Igor'!$B$6:$B$300,$A361)))</f>
        <v/>
      </c>
      <c r="P361" s="25">
        <f>IF($A361="","",IF(M361&lt;&gt;"",M361,IF(K361&lt;&gt;"",K361,"")))</f>
        <v/>
      </c>
      <c r="Q361" s="25">
        <f>IF($A361="","",IF(N361&lt;&gt;"",N361,IF(L361&lt;&gt;"",L361,"")))</f>
        <v/>
      </c>
      <c r="S361" s="23">
        <f t="array" ref="S361">IF($A361="","",_xlfn.TEXTJOIN(CHAR(10),TRUE,IF('Clarice'!$B$6:$B$300=$A361,"Clarice"&amp;IF('Clarice'!$E$6:$E$300="",""," : "&amp;'Clarice'!$E$6:$E$300)&amp;" ["&amp;'Clarice'!$F$6:$F$300&amp;"]",""),IF('Luisa'!$B$6:$B$300=$A361,"Luisa"&amp;IF('Luisa'!$E$6:$E$300="",""," : "&amp;'Luisa'!$E$6:$E$300)&amp;" ["&amp;'Luisa'!$F$6:$F$300&amp;"]",""),IF('Lui'!$B$6:$B$300=$A361,"Lui"&amp;IF('Lui'!$E$6:$E$300="",""," : "&amp;'Lui'!$E$6:$E$300)&amp;" ["&amp;'Lui'!$F$6:$F$300&amp;"]",""),IF('Thaís'!$B$6:$B$300=$A361,"Thaís"&amp;IF('Thaís'!$E$6:$E$300="",""," : "&amp;'Thaís'!$E$6:$E$300)&amp;" ["&amp;'Thaís'!$F$6:$F$300&amp;"]",""),IF('Daniel'!$B$6:$B$300=$A361,"Daniel"&amp;IF('Daniel'!$E$6:$E$300="",""," : "&amp;'Daniel'!$E$6:$E$300)&amp;" ["&amp;'Daniel'!$F$6:$F$300&amp;"]",""),IF('Fernando'!$B$6:$B$300=$A361,"Fernando"&amp;IF('Fernando'!$E$6:$E$300="",""," : "&amp;'Fernando'!$E$6:$E$300)&amp;" ["&amp;'Fernando'!$F$6:$F$300&amp;"]",""),IF('Stephanie'!$B$6:$B$300=$A361,"Stephanie"&amp;IF('Stephanie'!$E$6:$E$300="",""," : "&amp;'Stephanie'!$E$6:$E$300)&amp;" ["&amp;'Stephanie'!$F$6:$F$300&amp;"]",""),IF('Fox'!$B$6:$B$300=$A361,"Fox"&amp;IF('Fox'!$E$6:$E$300="",""," : "&amp;'Fox'!$E$6:$E$300)&amp;" ["&amp;'Fox'!$F$6:$F$300&amp;"]",""),IF('Bruna'!$B$6:$B$300=$A361,"Bruna"&amp;IF('Bruna'!$E$6:$E$300="",""," : "&amp;'Bruna'!$E$6:$E$300)&amp;" ["&amp;'Bruna'!$F$6:$F$300&amp;"]",""),IF('Stella'!$B$6:$B$300=$A361,"Stella"&amp;IF('Stella'!$E$6:$E$300="",""," : "&amp;'Stella'!$E$6:$E$300)&amp;" ["&amp;'Stella'!$F$6:$F$300&amp;"]",""),IF('Igor'!$B$6:$B$300=$A361,"Igor"&amp;IF('Igor'!$E$6:$E$300="",""," : "&amp;'Igor'!$E$6:$E$300)&amp;" ["&amp;'Igor'!$F$6:$F$300&amp;"]","")))</f>
        <v/>
      </c>
    </row>
    <row r="362">
      <c r="G362" s="23">
        <f>IF($A362="","",_xlfn.TEXTJOIN("; ",TRUE,IF(COUNTIF('Clarice'!$B$6:$B$300,$A362)&gt;0,"Clarice",""),IF(COUNTIF('Luisa'!$B$6:$B$300,$A362)&gt;0,"Luisa",""),IF(COUNTIF('Lui'!$B$6:$B$300,$A362)&gt;0,"Lui",""),IF(COUNTIF('Thaís'!$B$6:$B$300,$A362)&gt;0,"Thaís",""),IF(COUNTIF('Daniel'!$B$6:$B$300,$A362)&gt;0,"Daniel",""),IF(COUNTIF('Fernando'!$B$6:$B$300,$A362)&gt;0,"Fernando",""),IF(COUNTIF('Stephanie'!$B$6:$B$300,$A362)&gt;0,"Stephanie",""),IF(COUNTIF('Fox'!$B$6:$B$300,$A362)&gt;0,"Fox",""),IF(COUNTIF('Bruna'!$B$6:$B$300,$A362)&gt;0,"Bruna",""),IF(COUNTIF('Stella'!$B$6:$B$300,$A362)&gt;0,"Stella",""),IF(COUNTIF('Igor'!$B$6:$B$300,$A362)&gt;0,"Igor","")))</f>
        <v/>
      </c>
      <c r="J362" s="24">
        <f>IF(OR($A362="",(COUNTIF('Clarice'!$B$6:$B$300,$A362)+COUNTIF('Luisa'!$B$6:$B$300,$A362)+COUNTIF('Lui'!$B$6:$B$300,$A362)+COUNTIF('Thaís'!$B$6:$B$300,$A362)+COUNTIF('Daniel'!$B$6:$B$300,$A362)+COUNTIF('Fernando'!$B$6:$B$300,$A362)+COUNTIF('Stephanie'!$B$6:$B$300,$A362)+COUNTIF('Fox'!$B$6:$B$300,$A362)+COUNTIF('Bruna'!$B$6:$B$300,$A362)+COUNTIF('Stella'!$B$6:$B$300,$A362)+COUNTIF('Igor'!$B$6:$B$300,$A362))=0),"",(COUNTIFS('Clarice'!$B$6:$B$300,$A362,'Clarice'!$F$6:$F$300,"Concluído")+COUNTIFS('Luisa'!$B$6:$B$300,$A362,'Luisa'!$F$6:$F$300,"Concluído")+COUNTIFS('Lui'!$B$6:$B$300,$A362,'Lui'!$F$6:$F$300,"Concluído")+COUNTIFS('Thaís'!$B$6:$B$300,$A362,'Thaís'!$F$6:$F$300,"Concluído")+COUNTIFS('Daniel'!$B$6:$B$300,$A362,'Daniel'!$F$6:$F$300,"Concluído")+COUNTIFS('Fernando'!$B$6:$B$300,$A362,'Fernando'!$F$6:$F$300,"Concluído")+COUNTIFS('Stephanie'!$B$6:$B$300,$A362,'Stephanie'!$F$6:$F$300,"Concluído")+COUNTIFS('Fox'!$B$6:$B$300,$A362,'Fox'!$F$6:$F$300,"Concluído")+COUNTIFS('Bruna'!$B$6:$B$300,$A362,'Bruna'!$F$6:$F$300,"Concluído")+COUNTIFS('Stella'!$B$6:$B$300,$A362,'Stella'!$F$6:$F$300,"Concluído")+COUNTIFS('Igor'!$B$6:$B$300,$A362,'Igor'!$F$6:$F$300,"Concluído"))&amp;" / "&amp;(COUNTIF('Clarice'!$B$6:$B$300,$A362)+COUNTIF('Luisa'!$B$6:$B$300,$A362)+COUNTIF('Lui'!$B$6:$B$300,$A362)+COUNTIF('Thaís'!$B$6:$B$300,$A362)+COUNTIF('Daniel'!$B$6:$B$300,$A362)+COUNTIF('Fernando'!$B$6:$B$300,$A362)+COUNTIF('Stephanie'!$B$6:$B$300,$A362)+COUNTIF('Fox'!$B$6:$B$300,$A362)+COUNTIF('Bruna'!$B$6:$B$300,$A362)+COUNTIF('Stella'!$B$6:$B$300,$A362)+COUNTIF('Igor'!$B$6:$B$300,$A362)))</f>
        <v/>
      </c>
      <c r="P362" s="25">
        <f>IF($A362="","",IF(M362&lt;&gt;"",M362,IF(K362&lt;&gt;"",K362,"")))</f>
        <v/>
      </c>
      <c r="Q362" s="25">
        <f>IF($A362="","",IF(N362&lt;&gt;"",N362,IF(L362&lt;&gt;"",L362,"")))</f>
        <v/>
      </c>
      <c r="S362" s="23">
        <f t="array" ref="S362">IF($A362="","",_xlfn.TEXTJOIN(CHAR(10),TRUE,IF('Clarice'!$B$6:$B$300=$A362,"Clarice"&amp;IF('Clarice'!$E$6:$E$300="",""," : "&amp;'Clarice'!$E$6:$E$300)&amp;" ["&amp;'Clarice'!$F$6:$F$300&amp;"]",""),IF('Luisa'!$B$6:$B$300=$A362,"Luisa"&amp;IF('Luisa'!$E$6:$E$300="",""," : "&amp;'Luisa'!$E$6:$E$300)&amp;" ["&amp;'Luisa'!$F$6:$F$300&amp;"]",""),IF('Lui'!$B$6:$B$300=$A362,"Lui"&amp;IF('Lui'!$E$6:$E$300="",""," : "&amp;'Lui'!$E$6:$E$300)&amp;" ["&amp;'Lui'!$F$6:$F$300&amp;"]",""),IF('Thaís'!$B$6:$B$300=$A362,"Thaís"&amp;IF('Thaís'!$E$6:$E$300="",""," : "&amp;'Thaís'!$E$6:$E$300)&amp;" ["&amp;'Thaís'!$F$6:$F$300&amp;"]",""),IF('Daniel'!$B$6:$B$300=$A362,"Daniel"&amp;IF('Daniel'!$E$6:$E$300="",""," : "&amp;'Daniel'!$E$6:$E$300)&amp;" ["&amp;'Daniel'!$F$6:$F$300&amp;"]",""),IF('Fernando'!$B$6:$B$300=$A362,"Fernando"&amp;IF('Fernando'!$E$6:$E$300="",""," : "&amp;'Fernando'!$E$6:$E$300)&amp;" ["&amp;'Fernando'!$F$6:$F$300&amp;"]",""),IF('Stephanie'!$B$6:$B$300=$A362,"Stephanie"&amp;IF('Stephanie'!$E$6:$E$300="",""," : "&amp;'Stephanie'!$E$6:$E$300)&amp;" ["&amp;'Stephanie'!$F$6:$F$300&amp;"]",""),IF('Fox'!$B$6:$B$300=$A362,"Fox"&amp;IF('Fox'!$E$6:$E$300="",""," : "&amp;'Fox'!$E$6:$E$300)&amp;" ["&amp;'Fox'!$F$6:$F$300&amp;"]",""),IF('Bruna'!$B$6:$B$300=$A362,"Bruna"&amp;IF('Bruna'!$E$6:$E$300="",""," : "&amp;'Bruna'!$E$6:$E$300)&amp;" ["&amp;'Bruna'!$F$6:$F$300&amp;"]",""),IF('Stella'!$B$6:$B$300=$A362,"Stella"&amp;IF('Stella'!$E$6:$E$300="",""," : "&amp;'Stella'!$E$6:$E$300)&amp;" ["&amp;'Stella'!$F$6:$F$300&amp;"]",""),IF('Igor'!$B$6:$B$300=$A362,"Igor"&amp;IF('Igor'!$E$6:$E$300="",""," : "&amp;'Igor'!$E$6:$E$300)&amp;" ["&amp;'Igor'!$F$6:$F$300&amp;"]","")))</f>
        <v/>
      </c>
    </row>
    <row r="363">
      <c r="G363" s="23">
        <f>IF($A363="","",_xlfn.TEXTJOIN("; ",TRUE,IF(COUNTIF('Clarice'!$B$6:$B$300,$A363)&gt;0,"Clarice",""),IF(COUNTIF('Luisa'!$B$6:$B$300,$A363)&gt;0,"Luisa",""),IF(COUNTIF('Lui'!$B$6:$B$300,$A363)&gt;0,"Lui",""),IF(COUNTIF('Thaís'!$B$6:$B$300,$A363)&gt;0,"Thaís",""),IF(COUNTIF('Daniel'!$B$6:$B$300,$A363)&gt;0,"Daniel",""),IF(COUNTIF('Fernando'!$B$6:$B$300,$A363)&gt;0,"Fernando",""),IF(COUNTIF('Stephanie'!$B$6:$B$300,$A363)&gt;0,"Stephanie",""),IF(COUNTIF('Fox'!$B$6:$B$300,$A363)&gt;0,"Fox",""),IF(COUNTIF('Bruna'!$B$6:$B$300,$A363)&gt;0,"Bruna",""),IF(COUNTIF('Stella'!$B$6:$B$300,$A363)&gt;0,"Stella",""),IF(COUNTIF('Igor'!$B$6:$B$300,$A363)&gt;0,"Igor","")))</f>
        <v/>
      </c>
      <c r="J363" s="24">
        <f>IF(OR($A363="",(COUNTIF('Clarice'!$B$6:$B$300,$A363)+COUNTIF('Luisa'!$B$6:$B$300,$A363)+COUNTIF('Lui'!$B$6:$B$300,$A363)+COUNTIF('Thaís'!$B$6:$B$300,$A363)+COUNTIF('Daniel'!$B$6:$B$300,$A363)+COUNTIF('Fernando'!$B$6:$B$300,$A363)+COUNTIF('Stephanie'!$B$6:$B$300,$A363)+COUNTIF('Fox'!$B$6:$B$300,$A363)+COUNTIF('Bruna'!$B$6:$B$300,$A363)+COUNTIF('Stella'!$B$6:$B$300,$A363)+COUNTIF('Igor'!$B$6:$B$300,$A363))=0),"",(COUNTIFS('Clarice'!$B$6:$B$300,$A363,'Clarice'!$F$6:$F$300,"Concluído")+COUNTIFS('Luisa'!$B$6:$B$300,$A363,'Luisa'!$F$6:$F$300,"Concluído")+COUNTIFS('Lui'!$B$6:$B$300,$A363,'Lui'!$F$6:$F$300,"Concluído")+COUNTIFS('Thaís'!$B$6:$B$300,$A363,'Thaís'!$F$6:$F$300,"Concluído")+COUNTIFS('Daniel'!$B$6:$B$300,$A363,'Daniel'!$F$6:$F$300,"Concluído")+COUNTIFS('Fernando'!$B$6:$B$300,$A363,'Fernando'!$F$6:$F$300,"Concluído")+COUNTIFS('Stephanie'!$B$6:$B$300,$A363,'Stephanie'!$F$6:$F$300,"Concluído")+COUNTIFS('Fox'!$B$6:$B$300,$A363,'Fox'!$F$6:$F$300,"Concluído")+COUNTIFS('Bruna'!$B$6:$B$300,$A363,'Bruna'!$F$6:$F$300,"Concluído")+COUNTIFS('Stella'!$B$6:$B$300,$A363,'Stella'!$F$6:$F$300,"Concluído")+COUNTIFS('Igor'!$B$6:$B$300,$A363,'Igor'!$F$6:$F$300,"Concluído"))&amp;" / "&amp;(COUNTIF('Clarice'!$B$6:$B$300,$A363)+COUNTIF('Luisa'!$B$6:$B$300,$A363)+COUNTIF('Lui'!$B$6:$B$300,$A363)+COUNTIF('Thaís'!$B$6:$B$300,$A363)+COUNTIF('Daniel'!$B$6:$B$300,$A363)+COUNTIF('Fernando'!$B$6:$B$300,$A363)+COUNTIF('Stephanie'!$B$6:$B$300,$A363)+COUNTIF('Fox'!$B$6:$B$300,$A363)+COUNTIF('Bruna'!$B$6:$B$300,$A363)+COUNTIF('Stella'!$B$6:$B$300,$A363)+COUNTIF('Igor'!$B$6:$B$300,$A363)))</f>
        <v/>
      </c>
      <c r="P363" s="25">
        <f>IF($A363="","",IF(M363&lt;&gt;"",M363,IF(K363&lt;&gt;"",K363,"")))</f>
        <v/>
      </c>
      <c r="Q363" s="25">
        <f>IF($A363="","",IF(N363&lt;&gt;"",N363,IF(L363&lt;&gt;"",L363,"")))</f>
        <v/>
      </c>
      <c r="S363" s="23">
        <f t="array" ref="S363">IF($A363="","",_xlfn.TEXTJOIN(CHAR(10),TRUE,IF('Clarice'!$B$6:$B$300=$A363,"Clarice"&amp;IF('Clarice'!$E$6:$E$300="",""," : "&amp;'Clarice'!$E$6:$E$300)&amp;" ["&amp;'Clarice'!$F$6:$F$300&amp;"]",""),IF('Luisa'!$B$6:$B$300=$A363,"Luisa"&amp;IF('Luisa'!$E$6:$E$300="",""," : "&amp;'Luisa'!$E$6:$E$300)&amp;" ["&amp;'Luisa'!$F$6:$F$300&amp;"]",""),IF('Lui'!$B$6:$B$300=$A363,"Lui"&amp;IF('Lui'!$E$6:$E$300="",""," : "&amp;'Lui'!$E$6:$E$300)&amp;" ["&amp;'Lui'!$F$6:$F$300&amp;"]",""),IF('Thaís'!$B$6:$B$300=$A363,"Thaís"&amp;IF('Thaís'!$E$6:$E$300="",""," : "&amp;'Thaís'!$E$6:$E$300)&amp;" ["&amp;'Thaís'!$F$6:$F$300&amp;"]",""),IF('Daniel'!$B$6:$B$300=$A363,"Daniel"&amp;IF('Daniel'!$E$6:$E$300="",""," : "&amp;'Daniel'!$E$6:$E$300)&amp;" ["&amp;'Daniel'!$F$6:$F$300&amp;"]",""),IF('Fernando'!$B$6:$B$300=$A363,"Fernando"&amp;IF('Fernando'!$E$6:$E$300="",""," : "&amp;'Fernando'!$E$6:$E$300)&amp;" ["&amp;'Fernando'!$F$6:$F$300&amp;"]",""),IF('Stephanie'!$B$6:$B$300=$A363,"Stephanie"&amp;IF('Stephanie'!$E$6:$E$300="",""," : "&amp;'Stephanie'!$E$6:$E$300)&amp;" ["&amp;'Stephanie'!$F$6:$F$300&amp;"]",""),IF('Fox'!$B$6:$B$300=$A363,"Fox"&amp;IF('Fox'!$E$6:$E$300="",""," : "&amp;'Fox'!$E$6:$E$300)&amp;" ["&amp;'Fox'!$F$6:$F$300&amp;"]",""),IF('Bruna'!$B$6:$B$300=$A363,"Bruna"&amp;IF('Bruna'!$E$6:$E$300="",""," : "&amp;'Bruna'!$E$6:$E$300)&amp;" ["&amp;'Bruna'!$F$6:$F$300&amp;"]",""),IF('Stella'!$B$6:$B$300=$A363,"Stella"&amp;IF('Stella'!$E$6:$E$300="",""," : "&amp;'Stella'!$E$6:$E$300)&amp;" ["&amp;'Stella'!$F$6:$F$300&amp;"]",""),IF('Igor'!$B$6:$B$300=$A363,"Igor"&amp;IF('Igor'!$E$6:$E$300="",""," : "&amp;'Igor'!$E$6:$E$300)&amp;" ["&amp;'Igor'!$F$6:$F$300&amp;"]","")))</f>
        <v/>
      </c>
    </row>
    <row r="364">
      <c r="G364" s="23">
        <f>IF($A364="","",_xlfn.TEXTJOIN("; ",TRUE,IF(COUNTIF('Clarice'!$B$6:$B$300,$A364)&gt;0,"Clarice",""),IF(COUNTIF('Luisa'!$B$6:$B$300,$A364)&gt;0,"Luisa",""),IF(COUNTIF('Lui'!$B$6:$B$300,$A364)&gt;0,"Lui",""),IF(COUNTIF('Thaís'!$B$6:$B$300,$A364)&gt;0,"Thaís",""),IF(COUNTIF('Daniel'!$B$6:$B$300,$A364)&gt;0,"Daniel",""),IF(COUNTIF('Fernando'!$B$6:$B$300,$A364)&gt;0,"Fernando",""),IF(COUNTIF('Stephanie'!$B$6:$B$300,$A364)&gt;0,"Stephanie",""),IF(COUNTIF('Fox'!$B$6:$B$300,$A364)&gt;0,"Fox",""),IF(COUNTIF('Bruna'!$B$6:$B$300,$A364)&gt;0,"Bruna",""),IF(COUNTIF('Stella'!$B$6:$B$300,$A364)&gt;0,"Stella",""),IF(COUNTIF('Igor'!$B$6:$B$300,$A364)&gt;0,"Igor","")))</f>
        <v/>
      </c>
      <c r="J364" s="24">
        <f>IF(OR($A364="",(COUNTIF('Clarice'!$B$6:$B$300,$A364)+COUNTIF('Luisa'!$B$6:$B$300,$A364)+COUNTIF('Lui'!$B$6:$B$300,$A364)+COUNTIF('Thaís'!$B$6:$B$300,$A364)+COUNTIF('Daniel'!$B$6:$B$300,$A364)+COUNTIF('Fernando'!$B$6:$B$300,$A364)+COUNTIF('Stephanie'!$B$6:$B$300,$A364)+COUNTIF('Fox'!$B$6:$B$300,$A364)+COUNTIF('Bruna'!$B$6:$B$300,$A364)+COUNTIF('Stella'!$B$6:$B$300,$A364)+COUNTIF('Igor'!$B$6:$B$300,$A364))=0),"",(COUNTIFS('Clarice'!$B$6:$B$300,$A364,'Clarice'!$F$6:$F$300,"Concluído")+COUNTIFS('Luisa'!$B$6:$B$300,$A364,'Luisa'!$F$6:$F$300,"Concluído")+COUNTIFS('Lui'!$B$6:$B$300,$A364,'Lui'!$F$6:$F$300,"Concluído")+COUNTIFS('Thaís'!$B$6:$B$300,$A364,'Thaís'!$F$6:$F$300,"Concluído")+COUNTIFS('Daniel'!$B$6:$B$300,$A364,'Daniel'!$F$6:$F$300,"Concluído")+COUNTIFS('Fernando'!$B$6:$B$300,$A364,'Fernando'!$F$6:$F$300,"Concluído")+COUNTIFS('Stephanie'!$B$6:$B$300,$A364,'Stephanie'!$F$6:$F$300,"Concluído")+COUNTIFS('Fox'!$B$6:$B$300,$A364,'Fox'!$F$6:$F$300,"Concluído")+COUNTIFS('Bruna'!$B$6:$B$300,$A364,'Bruna'!$F$6:$F$300,"Concluído")+COUNTIFS('Stella'!$B$6:$B$300,$A364,'Stella'!$F$6:$F$300,"Concluído")+COUNTIFS('Igor'!$B$6:$B$300,$A364,'Igor'!$F$6:$F$300,"Concluído"))&amp;" / "&amp;(COUNTIF('Clarice'!$B$6:$B$300,$A364)+COUNTIF('Luisa'!$B$6:$B$300,$A364)+COUNTIF('Lui'!$B$6:$B$300,$A364)+COUNTIF('Thaís'!$B$6:$B$300,$A364)+COUNTIF('Daniel'!$B$6:$B$300,$A364)+COUNTIF('Fernando'!$B$6:$B$300,$A364)+COUNTIF('Stephanie'!$B$6:$B$300,$A364)+COUNTIF('Fox'!$B$6:$B$300,$A364)+COUNTIF('Bruna'!$B$6:$B$300,$A364)+COUNTIF('Stella'!$B$6:$B$300,$A364)+COUNTIF('Igor'!$B$6:$B$300,$A364)))</f>
        <v/>
      </c>
      <c r="P364" s="25">
        <f>IF($A364="","",IF(M364&lt;&gt;"",M364,IF(K364&lt;&gt;"",K364,"")))</f>
        <v/>
      </c>
      <c r="Q364" s="25">
        <f>IF($A364="","",IF(N364&lt;&gt;"",N364,IF(L364&lt;&gt;"",L364,"")))</f>
        <v/>
      </c>
      <c r="S364" s="23">
        <f t="array" ref="S364">IF($A364="","",_xlfn.TEXTJOIN(CHAR(10),TRUE,IF('Clarice'!$B$6:$B$300=$A364,"Clarice"&amp;IF('Clarice'!$E$6:$E$300="",""," : "&amp;'Clarice'!$E$6:$E$300)&amp;" ["&amp;'Clarice'!$F$6:$F$300&amp;"]",""),IF('Luisa'!$B$6:$B$300=$A364,"Luisa"&amp;IF('Luisa'!$E$6:$E$300="",""," : "&amp;'Luisa'!$E$6:$E$300)&amp;" ["&amp;'Luisa'!$F$6:$F$300&amp;"]",""),IF('Lui'!$B$6:$B$300=$A364,"Lui"&amp;IF('Lui'!$E$6:$E$300="",""," : "&amp;'Lui'!$E$6:$E$300)&amp;" ["&amp;'Lui'!$F$6:$F$300&amp;"]",""),IF('Thaís'!$B$6:$B$300=$A364,"Thaís"&amp;IF('Thaís'!$E$6:$E$300="",""," : "&amp;'Thaís'!$E$6:$E$300)&amp;" ["&amp;'Thaís'!$F$6:$F$300&amp;"]",""),IF('Daniel'!$B$6:$B$300=$A364,"Daniel"&amp;IF('Daniel'!$E$6:$E$300="",""," : "&amp;'Daniel'!$E$6:$E$300)&amp;" ["&amp;'Daniel'!$F$6:$F$300&amp;"]",""),IF('Fernando'!$B$6:$B$300=$A364,"Fernando"&amp;IF('Fernando'!$E$6:$E$300="",""," : "&amp;'Fernando'!$E$6:$E$300)&amp;" ["&amp;'Fernando'!$F$6:$F$300&amp;"]",""),IF('Stephanie'!$B$6:$B$300=$A364,"Stephanie"&amp;IF('Stephanie'!$E$6:$E$300="",""," : "&amp;'Stephanie'!$E$6:$E$300)&amp;" ["&amp;'Stephanie'!$F$6:$F$300&amp;"]",""),IF('Fox'!$B$6:$B$300=$A364,"Fox"&amp;IF('Fox'!$E$6:$E$300="",""," : "&amp;'Fox'!$E$6:$E$300)&amp;" ["&amp;'Fox'!$F$6:$F$300&amp;"]",""),IF('Bruna'!$B$6:$B$300=$A364,"Bruna"&amp;IF('Bruna'!$E$6:$E$300="",""," : "&amp;'Bruna'!$E$6:$E$300)&amp;" ["&amp;'Bruna'!$F$6:$F$300&amp;"]",""),IF('Stella'!$B$6:$B$300=$A364,"Stella"&amp;IF('Stella'!$E$6:$E$300="",""," : "&amp;'Stella'!$E$6:$E$300)&amp;" ["&amp;'Stella'!$F$6:$F$300&amp;"]",""),IF('Igor'!$B$6:$B$300=$A364,"Igor"&amp;IF('Igor'!$E$6:$E$300="",""," : "&amp;'Igor'!$E$6:$E$300)&amp;" ["&amp;'Igor'!$F$6:$F$300&amp;"]","")))</f>
        <v/>
      </c>
    </row>
    <row r="365">
      <c r="G365" s="23">
        <f>IF($A365="","",_xlfn.TEXTJOIN("; ",TRUE,IF(COUNTIF('Clarice'!$B$6:$B$300,$A365)&gt;0,"Clarice",""),IF(COUNTIF('Luisa'!$B$6:$B$300,$A365)&gt;0,"Luisa",""),IF(COUNTIF('Lui'!$B$6:$B$300,$A365)&gt;0,"Lui",""),IF(COUNTIF('Thaís'!$B$6:$B$300,$A365)&gt;0,"Thaís",""),IF(COUNTIF('Daniel'!$B$6:$B$300,$A365)&gt;0,"Daniel",""),IF(COUNTIF('Fernando'!$B$6:$B$300,$A365)&gt;0,"Fernando",""),IF(COUNTIF('Stephanie'!$B$6:$B$300,$A365)&gt;0,"Stephanie",""),IF(COUNTIF('Fox'!$B$6:$B$300,$A365)&gt;0,"Fox",""),IF(COUNTIF('Bruna'!$B$6:$B$300,$A365)&gt;0,"Bruna",""),IF(COUNTIF('Stella'!$B$6:$B$300,$A365)&gt;0,"Stella",""),IF(COUNTIF('Igor'!$B$6:$B$300,$A365)&gt;0,"Igor","")))</f>
        <v/>
      </c>
      <c r="J365" s="24">
        <f>IF(OR($A365="",(COUNTIF('Clarice'!$B$6:$B$300,$A365)+COUNTIF('Luisa'!$B$6:$B$300,$A365)+COUNTIF('Lui'!$B$6:$B$300,$A365)+COUNTIF('Thaís'!$B$6:$B$300,$A365)+COUNTIF('Daniel'!$B$6:$B$300,$A365)+COUNTIF('Fernando'!$B$6:$B$300,$A365)+COUNTIF('Stephanie'!$B$6:$B$300,$A365)+COUNTIF('Fox'!$B$6:$B$300,$A365)+COUNTIF('Bruna'!$B$6:$B$300,$A365)+COUNTIF('Stella'!$B$6:$B$300,$A365)+COUNTIF('Igor'!$B$6:$B$300,$A365))=0),"",(COUNTIFS('Clarice'!$B$6:$B$300,$A365,'Clarice'!$F$6:$F$300,"Concluído")+COUNTIFS('Luisa'!$B$6:$B$300,$A365,'Luisa'!$F$6:$F$300,"Concluído")+COUNTIFS('Lui'!$B$6:$B$300,$A365,'Lui'!$F$6:$F$300,"Concluído")+COUNTIFS('Thaís'!$B$6:$B$300,$A365,'Thaís'!$F$6:$F$300,"Concluído")+COUNTIFS('Daniel'!$B$6:$B$300,$A365,'Daniel'!$F$6:$F$300,"Concluído")+COUNTIFS('Fernando'!$B$6:$B$300,$A365,'Fernando'!$F$6:$F$300,"Concluído")+COUNTIFS('Stephanie'!$B$6:$B$300,$A365,'Stephanie'!$F$6:$F$300,"Concluído")+COUNTIFS('Fox'!$B$6:$B$300,$A365,'Fox'!$F$6:$F$300,"Concluído")+COUNTIFS('Bruna'!$B$6:$B$300,$A365,'Bruna'!$F$6:$F$300,"Concluído")+COUNTIFS('Stella'!$B$6:$B$300,$A365,'Stella'!$F$6:$F$300,"Concluído")+COUNTIFS('Igor'!$B$6:$B$300,$A365,'Igor'!$F$6:$F$300,"Concluído"))&amp;" / "&amp;(COUNTIF('Clarice'!$B$6:$B$300,$A365)+COUNTIF('Luisa'!$B$6:$B$300,$A365)+COUNTIF('Lui'!$B$6:$B$300,$A365)+COUNTIF('Thaís'!$B$6:$B$300,$A365)+COUNTIF('Daniel'!$B$6:$B$300,$A365)+COUNTIF('Fernando'!$B$6:$B$300,$A365)+COUNTIF('Stephanie'!$B$6:$B$300,$A365)+COUNTIF('Fox'!$B$6:$B$300,$A365)+COUNTIF('Bruna'!$B$6:$B$300,$A365)+COUNTIF('Stella'!$B$6:$B$300,$A365)+COUNTIF('Igor'!$B$6:$B$300,$A365)))</f>
        <v/>
      </c>
      <c r="P365" s="25">
        <f>IF($A365="","",IF(M365&lt;&gt;"",M365,IF(K365&lt;&gt;"",K365,"")))</f>
        <v/>
      </c>
      <c r="Q365" s="25">
        <f>IF($A365="","",IF(N365&lt;&gt;"",N365,IF(L365&lt;&gt;"",L365,"")))</f>
        <v/>
      </c>
      <c r="S365" s="23">
        <f t="array" ref="S365">IF($A365="","",_xlfn.TEXTJOIN(CHAR(10),TRUE,IF('Clarice'!$B$6:$B$300=$A365,"Clarice"&amp;IF('Clarice'!$E$6:$E$300="",""," : "&amp;'Clarice'!$E$6:$E$300)&amp;" ["&amp;'Clarice'!$F$6:$F$300&amp;"]",""),IF('Luisa'!$B$6:$B$300=$A365,"Luisa"&amp;IF('Luisa'!$E$6:$E$300="",""," : "&amp;'Luisa'!$E$6:$E$300)&amp;" ["&amp;'Luisa'!$F$6:$F$300&amp;"]",""),IF('Lui'!$B$6:$B$300=$A365,"Lui"&amp;IF('Lui'!$E$6:$E$300="",""," : "&amp;'Lui'!$E$6:$E$300)&amp;" ["&amp;'Lui'!$F$6:$F$300&amp;"]",""),IF('Thaís'!$B$6:$B$300=$A365,"Thaís"&amp;IF('Thaís'!$E$6:$E$300="",""," : "&amp;'Thaís'!$E$6:$E$300)&amp;" ["&amp;'Thaís'!$F$6:$F$300&amp;"]",""),IF('Daniel'!$B$6:$B$300=$A365,"Daniel"&amp;IF('Daniel'!$E$6:$E$300="",""," : "&amp;'Daniel'!$E$6:$E$300)&amp;" ["&amp;'Daniel'!$F$6:$F$300&amp;"]",""),IF('Fernando'!$B$6:$B$300=$A365,"Fernando"&amp;IF('Fernando'!$E$6:$E$300="",""," : "&amp;'Fernando'!$E$6:$E$300)&amp;" ["&amp;'Fernando'!$F$6:$F$300&amp;"]",""),IF('Stephanie'!$B$6:$B$300=$A365,"Stephanie"&amp;IF('Stephanie'!$E$6:$E$300="",""," : "&amp;'Stephanie'!$E$6:$E$300)&amp;" ["&amp;'Stephanie'!$F$6:$F$300&amp;"]",""),IF('Fox'!$B$6:$B$300=$A365,"Fox"&amp;IF('Fox'!$E$6:$E$300="",""," : "&amp;'Fox'!$E$6:$E$300)&amp;" ["&amp;'Fox'!$F$6:$F$300&amp;"]",""),IF('Bruna'!$B$6:$B$300=$A365,"Bruna"&amp;IF('Bruna'!$E$6:$E$300="",""," : "&amp;'Bruna'!$E$6:$E$300)&amp;" ["&amp;'Bruna'!$F$6:$F$300&amp;"]",""),IF('Stella'!$B$6:$B$300=$A365,"Stella"&amp;IF('Stella'!$E$6:$E$300="",""," : "&amp;'Stella'!$E$6:$E$300)&amp;" ["&amp;'Stella'!$F$6:$F$300&amp;"]",""),IF('Igor'!$B$6:$B$300=$A365,"Igor"&amp;IF('Igor'!$E$6:$E$300="",""," : "&amp;'Igor'!$E$6:$E$300)&amp;" ["&amp;'Igor'!$F$6:$F$300&amp;"]","")))</f>
        <v/>
      </c>
    </row>
    <row r="366">
      <c r="G366" s="23">
        <f>IF($A366="","",_xlfn.TEXTJOIN("; ",TRUE,IF(COUNTIF('Clarice'!$B$6:$B$300,$A366)&gt;0,"Clarice",""),IF(COUNTIF('Luisa'!$B$6:$B$300,$A366)&gt;0,"Luisa",""),IF(COUNTIF('Lui'!$B$6:$B$300,$A366)&gt;0,"Lui",""),IF(COUNTIF('Thaís'!$B$6:$B$300,$A366)&gt;0,"Thaís",""),IF(COUNTIF('Daniel'!$B$6:$B$300,$A366)&gt;0,"Daniel",""),IF(COUNTIF('Fernando'!$B$6:$B$300,$A366)&gt;0,"Fernando",""),IF(COUNTIF('Stephanie'!$B$6:$B$300,$A366)&gt;0,"Stephanie",""),IF(COUNTIF('Fox'!$B$6:$B$300,$A366)&gt;0,"Fox",""),IF(COUNTIF('Bruna'!$B$6:$B$300,$A366)&gt;0,"Bruna",""),IF(COUNTIF('Stella'!$B$6:$B$300,$A366)&gt;0,"Stella",""),IF(COUNTIF('Igor'!$B$6:$B$300,$A366)&gt;0,"Igor","")))</f>
        <v/>
      </c>
      <c r="J366" s="24">
        <f>IF(OR($A366="",(COUNTIF('Clarice'!$B$6:$B$300,$A366)+COUNTIF('Luisa'!$B$6:$B$300,$A366)+COUNTIF('Lui'!$B$6:$B$300,$A366)+COUNTIF('Thaís'!$B$6:$B$300,$A366)+COUNTIF('Daniel'!$B$6:$B$300,$A366)+COUNTIF('Fernando'!$B$6:$B$300,$A366)+COUNTIF('Stephanie'!$B$6:$B$300,$A366)+COUNTIF('Fox'!$B$6:$B$300,$A366)+COUNTIF('Bruna'!$B$6:$B$300,$A366)+COUNTIF('Stella'!$B$6:$B$300,$A366)+COUNTIF('Igor'!$B$6:$B$300,$A366))=0),"",(COUNTIFS('Clarice'!$B$6:$B$300,$A366,'Clarice'!$F$6:$F$300,"Concluído")+COUNTIFS('Luisa'!$B$6:$B$300,$A366,'Luisa'!$F$6:$F$300,"Concluído")+COUNTIFS('Lui'!$B$6:$B$300,$A366,'Lui'!$F$6:$F$300,"Concluído")+COUNTIFS('Thaís'!$B$6:$B$300,$A366,'Thaís'!$F$6:$F$300,"Concluído")+COUNTIFS('Daniel'!$B$6:$B$300,$A366,'Daniel'!$F$6:$F$300,"Concluído")+COUNTIFS('Fernando'!$B$6:$B$300,$A366,'Fernando'!$F$6:$F$300,"Concluído")+COUNTIFS('Stephanie'!$B$6:$B$300,$A366,'Stephanie'!$F$6:$F$300,"Concluído")+COUNTIFS('Fox'!$B$6:$B$300,$A366,'Fox'!$F$6:$F$300,"Concluído")+COUNTIFS('Bruna'!$B$6:$B$300,$A366,'Bruna'!$F$6:$F$300,"Concluído")+COUNTIFS('Stella'!$B$6:$B$300,$A366,'Stella'!$F$6:$F$300,"Concluído")+COUNTIFS('Igor'!$B$6:$B$300,$A366,'Igor'!$F$6:$F$300,"Concluído"))&amp;" / "&amp;(COUNTIF('Clarice'!$B$6:$B$300,$A366)+COUNTIF('Luisa'!$B$6:$B$300,$A366)+COUNTIF('Lui'!$B$6:$B$300,$A366)+COUNTIF('Thaís'!$B$6:$B$300,$A366)+COUNTIF('Daniel'!$B$6:$B$300,$A366)+COUNTIF('Fernando'!$B$6:$B$300,$A366)+COUNTIF('Stephanie'!$B$6:$B$300,$A366)+COUNTIF('Fox'!$B$6:$B$300,$A366)+COUNTIF('Bruna'!$B$6:$B$300,$A366)+COUNTIF('Stella'!$B$6:$B$300,$A366)+COUNTIF('Igor'!$B$6:$B$300,$A366)))</f>
        <v/>
      </c>
      <c r="P366" s="25">
        <f>IF($A366="","",IF(M366&lt;&gt;"",M366,IF(K366&lt;&gt;"",K366,"")))</f>
        <v/>
      </c>
      <c r="Q366" s="25">
        <f>IF($A366="","",IF(N366&lt;&gt;"",N366,IF(L366&lt;&gt;"",L366,"")))</f>
        <v/>
      </c>
      <c r="S366" s="23">
        <f t="array" ref="S366">IF($A366="","",_xlfn.TEXTJOIN(CHAR(10),TRUE,IF('Clarice'!$B$6:$B$300=$A366,"Clarice"&amp;IF('Clarice'!$E$6:$E$300="",""," : "&amp;'Clarice'!$E$6:$E$300)&amp;" ["&amp;'Clarice'!$F$6:$F$300&amp;"]",""),IF('Luisa'!$B$6:$B$300=$A366,"Luisa"&amp;IF('Luisa'!$E$6:$E$300="",""," : "&amp;'Luisa'!$E$6:$E$300)&amp;" ["&amp;'Luisa'!$F$6:$F$300&amp;"]",""),IF('Lui'!$B$6:$B$300=$A366,"Lui"&amp;IF('Lui'!$E$6:$E$300="",""," : "&amp;'Lui'!$E$6:$E$300)&amp;" ["&amp;'Lui'!$F$6:$F$300&amp;"]",""),IF('Thaís'!$B$6:$B$300=$A366,"Thaís"&amp;IF('Thaís'!$E$6:$E$300="",""," : "&amp;'Thaís'!$E$6:$E$300)&amp;" ["&amp;'Thaís'!$F$6:$F$300&amp;"]",""),IF('Daniel'!$B$6:$B$300=$A366,"Daniel"&amp;IF('Daniel'!$E$6:$E$300="",""," : "&amp;'Daniel'!$E$6:$E$300)&amp;" ["&amp;'Daniel'!$F$6:$F$300&amp;"]",""),IF('Fernando'!$B$6:$B$300=$A366,"Fernando"&amp;IF('Fernando'!$E$6:$E$300="",""," : "&amp;'Fernando'!$E$6:$E$300)&amp;" ["&amp;'Fernando'!$F$6:$F$300&amp;"]",""),IF('Stephanie'!$B$6:$B$300=$A366,"Stephanie"&amp;IF('Stephanie'!$E$6:$E$300="",""," : "&amp;'Stephanie'!$E$6:$E$300)&amp;" ["&amp;'Stephanie'!$F$6:$F$300&amp;"]",""),IF('Fox'!$B$6:$B$300=$A366,"Fox"&amp;IF('Fox'!$E$6:$E$300="",""," : "&amp;'Fox'!$E$6:$E$300)&amp;" ["&amp;'Fox'!$F$6:$F$300&amp;"]",""),IF('Bruna'!$B$6:$B$300=$A366,"Bruna"&amp;IF('Bruna'!$E$6:$E$300="",""," : "&amp;'Bruna'!$E$6:$E$300)&amp;" ["&amp;'Bruna'!$F$6:$F$300&amp;"]",""),IF('Stella'!$B$6:$B$300=$A366,"Stella"&amp;IF('Stella'!$E$6:$E$300="",""," : "&amp;'Stella'!$E$6:$E$300)&amp;" ["&amp;'Stella'!$F$6:$F$300&amp;"]",""),IF('Igor'!$B$6:$B$300=$A366,"Igor"&amp;IF('Igor'!$E$6:$E$300="",""," : "&amp;'Igor'!$E$6:$E$300)&amp;" ["&amp;'Igor'!$F$6:$F$300&amp;"]","")))</f>
        <v/>
      </c>
    </row>
    <row r="367">
      <c r="G367" s="23">
        <f>IF($A367="","",_xlfn.TEXTJOIN("; ",TRUE,IF(COUNTIF('Clarice'!$B$6:$B$300,$A367)&gt;0,"Clarice",""),IF(COUNTIF('Luisa'!$B$6:$B$300,$A367)&gt;0,"Luisa",""),IF(COUNTIF('Lui'!$B$6:$B$300,$A367)&gt;0,"Lui",""),IF(COUNTIF('Thaís'!$B$6:$B$300,$A367)&gt;0,"Thaís",""),IF(COUNTIF('Daniel'!$B$6:$B$300,$A367)&gt;0,"Daniel",""),IF(COUNTIF('Fernando'!$B$6:$B$300,$A367)&gt;0,"Fernando",""),IF(COUNTIF('Stephanie'!$B$6:$B$300,$A367)&gt;0,"Stephanie",""),IF(COUNTIF('Fox'!$B$6:$B$300,$A367)&gt;0,"Fox",""),IF(COUNTIF('Bruna'!$B$6:$B$300,$A367)&gt;0,"Bruna",""),IF(COUNTIF('Stella'!$B$6:$B$300,$A367)&gt;0,"Stella",""),IF(COUNTIF('Igor'!$B$6:$B$300,$A367)&gt;0,"Igor","")))</f>
        <v/>
      </c>
      <c r="J367" s="24">
        <f>IF(OR($A367="",(COUNTIF('Clarice'!$B$6:$B$300,$A367)+COUNTIF('Luisa'!$B$6:$B$300,$A367)+COUNTIF('Lui'!$B$6:$B$300,$A367)+COUNTIF('Thaís'!$B$6:$B$300,$A367)+COUNTIF('Daniel'!$B$6:$B$300,$A367)+COUNTIF('Fernando'!$B$6:$B$300,$A367)+COUNTIF('Stephanie'!$B$6:$B$300,$A367)+COUNTIF('Fox'!$B$6:$B$300,$A367)+COUNTIF('Bruna'!$B$6:$B$300,$A367)+COUNTIF('Stella'!$B$6:$B$300,$A367)+COUNTIF('Igor'!$B$6:$B$300,$A367))=0),"",(COUNTIFS('Clarice'!$B$6:$B$300,$A367,'Clarice'!$F$6:$F$300,"Concluído")+COUNTIFS('Luisa'!$B$6:$B$300,$A367,'Luisa'!$F$6:$F$300,"Concluído")+COUNTIFS('Lui'!$B$6:$B$300,$A367,'Lui'!$F$6:$F$300,"Concluído")+COUNTIFS('Thaís'!$B$6:$B$300,$A367,'Thaís'!$F$6:$F$300,"Concluído")+COUNTIFS('Daniel'!$B$6:$B$300,$A367,'Daniel'!$F$6:$F$300,"Concluído")+COUNTIFS('Fernando'!$B$6:$B$300,$A367,'Fernando'!$F$6:$F$300,"Concluído")+COUNTIFS('Stephanie'!$B$6:$B$300,$A367,'Stephanie'!$F$6:$F$300,"Concluído")+COUNTIFS('Fox'!$B$6:$B$300,$A367,'Fox'!$F$6:$F$300,"Concluído")+COUNTIFS('Bruna'!$B$6:$B$300,$A367,'Bruna'!$F$6:$F$300,"Concluído")+COUNTIFS('Stella'!$B$6:$B$300,$A367,'Stella'!$F$6:$F$300,"Concluído")+COUNTIFS('Igor'!$B$6:$B$300,$A367,'Igor'!$F$6:$F$300,"Concluído"))&amp;" / "&amp;(COUNTIF('Clarice'!$B$6:$B$300,$A367)+COUNTIF('Luisa'!$B$6:$B$300,$A367)+COUNTIF('Lui'!$B$6:$B$300,$A367)+COUNTIF('Thaís'!$B$6:$B$300,$A367)+COUNTIF('Daniel'!$B$6:$B$300,$A367)+COUNTIF('Fernando'!$B$6:$B$300,$A367)+COUNTIF('Stephanie'!$B$6:$B$300,$A367)+COUNTIF('Fox'!$B$6:$B$300,$A367)+COUNTIF('Bruna'!$B$6:$B$300,$A367)+COUNTIF('Stella'!$B$6:$B$300,$A367)+COUNTIF('Igor'!$B$6:$B$300,$A367)))</f>
        <v/>
      </c>
      <c r="P367" s="25">
        <f>IF($A367="","",IF(M367&lt;&gt;"",M367,IF(K367&lt;&gt;"",K367,"")))</f>
        <v/>
      </c>
      <c r="Q367" s="25">
        <f>IF($A367="","",IF(N367&lt;&gt;"",N367,IF(L367&lt;&gt;"",L367,"")))</f>
        <v/>
      </c>
      <c r="S367" s="23">
        <f t="array" ref="S367">IF($A367="","",_xlfn.TEXTJOIN(CHAR(10),TRUE,IF('Clarice'!$B$6:$B$300=$A367,"Clarice"&amp;IF('Clarice'!$E$6:$E$300="",""," : "&amp;'Clarice'!$E$6:$E$300)&amp;" ["&amp;'Clarice'!$F$6:$F$300&amp;"]",""),IF('Luisa'!$B$6:$B$300=$A367,"Luisa"&amp;IF('Luisa'!$E$6:$E$300="",""," : "&amp;'Luisa'!$E$6:$E$300)&amp;" ["&amp;'Luisa'!$F$6:$F$300&amp;"]",""),IF('Lui'!$B$6:$B$300=$A367,"Lui"&amp;IF('Lui'!$E$6:$E$300="",""," : "&amp;'Lui'!$E$6:$E$300)&amp;" ["&amp;'Lui'!$F$6:$F$300&amp;"]",""),IF('Thaís'!$B$6:$B$300=$A367,"Thaís"&amp;IF('Thaís'!$E$6:$E$300="",""," : "&amp;'Thaís'!$E$6:$E$300)&amp;" ["&amp;'Thaís'!$F$6:$F$300&amp;"]",""),IF('Daniel'!$B$6:$B$300=$A367,"Daniel"&amp;IF('Daniel'!$E$6:$E$300="",""," : "&amp;'Daniel'!$E$6:$E$300)&amp;" ["&amp;'Daniel'!$F$6:$F$300&amp;"]",""),IF('Fernando'!$B$6:$B$300=$A367,"Fernando"&amp;IF('Fernando'!$E$6:$E$300="",""," : "&amp;'Fernando'!$E$6:$E$300)&amp;" ["&amp;'Fernando'!$F$6:$F$300&amp;"]",""),IF('Stephanie'!$B$6:$B$300=$A367,"Stephanie"&amp;IF('Stephanie'!$E$6:$E$300="",""," : "&amp;'Stephanie'!$E$6:$E$300)&amp;" ["&amp;'Stephanie'!$F$6:$F$300&amp;"]",""),IF('Fox'!$B$6:$B$300=$A367,"Fox"&amp;IF('Fox'!$E$6:$E$300="",""," : "&amp;'Fox'!$E$6:$E$300)&amp;" ["&amp;'Fox'!$F$6:$F$300&amp;"]",""),IF('Bruna'!$B$6:$B$300=$A367,"Bruna"&amp;IF('Bruna'!$E$6:$E$300="",""," : "&amp;'Bruna'!$E$6:$E$300)&amp;" ["&amp;'Bruna'!$F$6:$F$300&amp;"]",""),IF('Stella'!$B$6:$B$300=$A367,"Stella"&amp;IF('Stella'!$E$6:$E$300="",""," : "&amp;'Stella'!$E$6:$E$300)&amp;" ["&amp;'Stella'!$F$6:$F$300&amp;"]",""),IF('Igor'!$B$6:$B$300=$A367,"Igor"&amp;IF('Igor'!$E$6:$E$300="",""," : "&amp;'Igor'!$E$6:$E$300)&amp;" ["&amp;'Igor'!$F$6:$F$300&amp;"]","")))</f>
        <v/>
      </c>
    </row>
    <row r="368">
      <c r="G368" s="23">
        <f>IF($A368="","",_xlfn.TEXTJOIN("; ",TRUE,IF(COUNTIF('Clarice'!$B$6:$B$300,$A368)&gt;0,"Clarice",""),IF(COUNTIF('Luisa'!$B$6:$B$300,$A368)&gt;0,"Luisa",""),IF(COUNTIF('Lui'!$B$6:$B$300,$A368)&gt;0,"Lui",""),IF(COUNTIF('Thaís'!$B$6:$B$300,$A368)&gt;0,"Thaís",""),IF(COUNTIF('Daniel'!$B$6:$B$300,$A368)&gt;0,"Daniel",""),IF(COUNTIF('Fernando'!$B$6:$B$300,$A368)&gt;0,"Fernando",""),IF(COUNTIF('Stephanie'!$B$6:$B$300,$A368)&gt;0,"Stephanie",""),IF(COUNTIF('Fox'!$B$6:$B$300,$A368)&gt;0,"Fox",""),IF(COUNTIF('Bruna'!$B$6:$B$300,$A368)&gt;0,"Bruna",""),IF(COUNTIF('Stella'!$B$6:$B$300,$A368)&gt;0,"Stella",""),IF(COUNTIF('Igor'!$B$6:$B$300,$A368)&gt;0,"Igor","")))</f>
        <v/>
      </c>
      <c r="J368" s="24">
        <f>IF(OR($A368="",(COUNTIF('Clarice'!$B$6:$B$300,$A368)+COUNTIF('Luisa'!$B$6:$B$300,$A368)+COUNTIF('Lui'!$B$6:$B$300,$A368)+COUNTIF('Thaís'!$B$6:$B$300,$A368)+COUNTIF('Daniel'!$B$6:$B$300,$A368)+COUNTIF('Fernando'!$B$6:$B$300,$A368)+COUNTIF('Stephanie'!$B$6:$B$300,$A368)+COUNTIF('Fox'!$B$6:$B$300,$A368)+COUNTIF('Bruna'!$B$6:$B$300,$A368)+COUNTIF('Stella'!$B$6:$B$300,$A368)+COUNTIF('Igor'!$B$6:$B$300,$A368))=0),"",(COUNTIFS('Clarice'!$B$6:$B$300,$A368,'Clarice'!$F$6:$F$300,"Concluído")+COUNTIFS('Luisa'!$B$6:$B$300,$A368,'Luisa'!$F$6:$F$300,"Concluído")+COUNTIFS('Lui'!$B$6:$B$300,$A368,'Lui'!$F$6:$F$300,"Concluído")+COUNTIFS('Thaís'!$B$6:$B$300,$A368,'Thaís'!$F$6:$F$300,"Concluído")+COUNTIFS('Daniel'!$B$6:$B$300,$A368,'Daniel'!$F$6:$F$300,"Concluído")+COUNTIFS('Fernando'!$B$6:$B$300,$A368,'Fernando'!$F$6:$F$300,"Concluído")+COUNTIFS('Stephanie'!$B$6:$B$300,$A368,'Stephanie'!$F$6:$F$300,"Concluído")+COUNTIFS('Fox'!$B$6:$B$300,$A368,'Fox'!$F$6:$F$300,"Concluído")+COUNTIFS('Bruna'!$B$6:$B$300,$A368,'Bruna'!$F$6:$F$300,"Concluído")+COUNTIFS('Stella'!$B$6:$B$300,$A368,'Stella'!$F$6:$F$300,"Concluído")+COUNTIFS('Igor'!$B$6:$B$300,$A368,'Igor'!$F$6:$F$300,"Concluído"))&amp;" / "&amp;(COUNTIF('Clarice'!$B$6:$B$300,$A368)+COUNTIF('Luisa'!$B$6:$B$300,$A368)+COUNTIF('Lui'!$B$6:$B$300,$A368)+COUNTIF('Thaís'!$B$6:$B$300,$A368)+COUNTIF('Daniel'!$B$6:$B$300,$A368)+COUNTIF('Fernando'!$B$6:$B$300,$A368)+COUNTIF('Stephanie'!$B$6:$B$300,$A368)+COUNTIF('Fox'!$B$6:$B$300,$A368)+COUNTIF('Bruna'!$B$6:$B$300,$A368)+COUNTIF('Stella'!$B$6:$B$300,$A368)+COUNTIF('Igor'!$B$6:$B$300,$A368)))</f>
        <v/>
      </c>
      <c r="P368" s="25">
        <f>IF($A368="","",IF(M368&lt;&gt;"",M368,IF(K368&lt;&gt;"",K368,"")))</f>
        <v/>
      </c>
      <c r="Q368" s="25">
        <f>IF($A368="","",IF(N368&lt;&gt;"",N368,IF(L368&lt;&gt;"",L368,"")))</f>
        <v/>
      </c>
      <c r="S368" s="23">
        <f t="array" ref="S368">IF($A368="","",_xlfn.TEXTJOIN(CHAR(10),TRUE,IF('Clarice'!$B$6:$B$300=$A368,"Clarice"&amp;IF('Clarice'!$E$6:$E$300="",""," : "&amp;'Clarice'!$E$6:$E$300)&amp;" ["&amp;'Clarice'!$F$6:$F$300&amp;"]",""),IF('Luisa'!$B$6:$B$300=$A368,"Luisa"&amp;IF('Luisa'!$E$6:$E$300="",""," : "&amp;'Luisa'!$E$6:$E$300)&amp;" ["&amp;'Luisa'!$F$6:$F$300&amp;"]",""),IF('Lui'!$B$6:$B$300=$A368,"Lui"&amp;IF('Lui'!$E$6:$E$300="",""," : "&amp;'Lui'!$E$6:$E$300)&amp;" ["&amp;'Lui'!$F$6:$F$300&amp;"]",""),IF('Thaís'!$B$6:$B$300=$A368,"Thaís"&amp;IF('Thaís'!$E$6:$E$300="",""," : "&amp;'Thaís'!$E$6:$E$300)&amp;" ["&amp;'Thaís'!$F$6:$F$300&amp;"]",""),IF('Daniel'!$B$6:$B$300=$A368,"Daniel"&amp;IF('Daniel'!$E$6:$E$300="",""," : "&amp;'Daniel'!$E$6:$E$300)&amp;" ["&amp;'Daniel'!$F$6:$F$300&amp;"]",""),IF('Fernando'!$B$6:$B$300=$A368,"Fernando"&amp;IF('Fernando'!$E$6:$E$300="",""," : "&amp;'Fernando'!$E$6:$E$300)&amp;" ["&amp;'Fernando'!$F$6:$F$300&amp;"]",""),IF('Stephanie'!$B$6:$B$300=$A368,"Stephanie"&amp;IF('Stephanie'!$E$6:$E$300="",""," : "&amp;'Stephanie'!$E$6:$E$300)&amp;" ["&amp;'Stephanie'!$F$6:$F$300&amp;"]",""),IF('Fox'!$B$6:$B$300=$A368,"Fox"&amp;IF('Fox'!$E$6:$E$300="",""," : "&amp;'Fox'!$E$6:$E$300)&amp;" ["&amp;'Fox'!$F$6:$F$300&amp;"]",""),IF('Bruna'!$B$6:$B$300=$A368,"Bruna"&amp;IF('Bruna'!$E$6:$E$300="",""," : "&amp;'Bruna'!$E$6:$E$300)&amp;" ["&amp;'Bruna'!$F$6:$F$300&amp;"]",""),IF('Stella'!$B$6:$B$300=$A368,"Stella"&amp;IF('Stella'!$E$6:$E$300="",""," : "&amp;'Stella'!$E$6:$E$300)&amp;" ["&amp;'Stella'!$F$6:$F$300&amp;"]",""),IF('Igor'!$B$6:$B$300=$A368,"Igor"&amp;IF('Igor'!$E$6:$E$300="",""," : "&amp;'Igor'!$E$6:$E$300)&amp;" ["&amp;'Igor'!$F$6:$F$300&amp;"]","")))</f>
        <v/>
      </c>
    </row>
    <row r="369">
      <c r="G369" s="23">
        <f>IF($A369="","",_xlfn.TEXTJOIN("; ",TRUE,IF(COUNTIF('Clarice'!$B$6:$B$300,$A369)&gt;0,"Clarice",""),IF(COUNTIF('Luisa'!$B$6:$B$300,$A369)&gt;0,"Luisa",""),IF(COUNTIF('Lui'!$B$6:$B$300,$A369)&gt;0,"Lui",""),IF(COUNTIF('Thaís'!$B$6:$B$300,$A369)&gt;0,"Thaís",""),IF(COUNTIF('Daniel'!$B$6:$B$300,$A369)&gt;0,"Daniel",""),IF(COUNTIF('Fernando'!$B$6:$B$300,$A369)&gt;0,"Fernando",""),IF(COUNTIF('Stephanie'!$B$6:$B$300,$A369)&gt;0,"Stephanie",""),IF(COUNTIF('Fox'!$B$6:$B$300,$A369)&gt;0,"Fox",""),IF(COUNTIF('Bruna'!$B$6:$B$300,$A369)&gt;0,"Bruna",""),IF(COUNTIF('Stella'!$B$6:$B$300,$A369)&gt;0,"Stella",""),IF(COUNTIF('Igor'!$B$6:$B$300,$A369)&gt;0,"Igor","")))</f>
        <v/>
      </c>
      <c r="J369" s="24">
        <f>IF(OR($A369="",(COUNTIF('Clarice'!$B$6:$B$300,$A369)+COUNTIF('Luisa'!$B$6:$B$300,$A369)+COUNTIF('Lui'!$B$6:$B$300,$A369)+COUNTIF('Thaís'!$B$6:$B$300,$A369)+COUNTIF('Daniel'!$B$6:$B$300,$A369)+COUNTIF('Fernando'!$B$6:$B$300,$A369)+COUNTIF('Stephanie'!$B$6:$B$300,$A369)+COUNTIF('Fox'!$B$6:$B$300,$A369)+COUNTIF('Bruna'!$B$6:$B$300,$A369)+COUNTIF('Stella'!$B$6:$B$300,$A369)+COUNTIF('Igor'!$B$6:$B$300,$A369))=0),"",(COUNTIFS('Clarice'!$B$6:$B$300,$A369,'Clarice'!$F$6:$F$300,"Concluído")+COUNTIFS('Luisa'!$B$6:$B$300,$A369,'Luisa'!$F$6:$F$300,"Concluído")+COUNTIFS('Lui'!$B$6:$B$300,$A369,'Lui'!$F$6:$F$300,"Concluído")+COUNTIFS('Thaís'!$B$6:$B$300,$A369,'Thaís'!$F$6:$F$300,"Concluído")+COUNTIFS('Daniel'!$B$6:$B$300,$A369,'Daniel'!$F$6:$F$300,"Concluído")+COUNTIFS('Fernando'!$B$6:$B$300,$A369,'Fernando'!$F$6:$F$300,"Concluído")+COUNTIFS('Stephanie'!$B$6:$B$300,$A369,'Stephanie'!$F$6:$F$300,"Concluído")+COUNTIFS('Fox'!$B$6:$B$300,$A369,'Fox'!$F$6:$F$300,"Concluído")+COUNTIFS('Bruna'!$B$6:$B$300,$A369,'Bruna'!$F$6:$F$300,"Concluído")+COUNTIFS('Stella'!$B$6:$B$300,$A369,'Stella'!$F$6:$F$300,"Concluído")+COUNTIFS('Igor'!$B$6:$B$300,$A369,'Igor'!$F$6:$F$300,"Concluído"))&amp;" / "&amp;(COUNTIF('Clarice'!$B$6:$B$300,$A369)+COUNTIF('Luisa'!$B$6:$B$300,$A369)+COUNTIF('Lui'!$B$6:$B$300,$A369)+COUNTIF('Thaís'!$B$6:$B$300,$A369)+COUNTIF('Daniel'!$B$6:$B$300,$A369)+COUNTIF('Fernando'!$B$6:$B$300,$A369)+COUNTIF('Stephanie'!$B$6:$B$300,$A369)+COUNTIF('Fox'!$B$6:$B$300,$A369)+COUNTIF('Bruna'!$B$6:$B$300,$A369)+COUNTIF('Stella'!$B$6:$B$300,$A369)+COUNTIF('Igor'!$B$6:$B$300,$A369)))</f>
        <v/>
      </c>
      <c r="P369" s="25">
        <f>IF($A369="","",IF(M369&lt;&gt;"",M369,IF(K369&lt;&gt;"",K369,"")))</f>
        <v/>
      </c>
      <c r="Q369" s="25">
        <f>IF($A369="","",IF(N369&lt;&gt;"",N369,IF(L369&lt;&gt;"",L369,"")))</f>
        <v/>
      </c>
      <c r="S369" s="23">
        <f t="array" ref="S369">IF($A369="","",_xlfn.TEXTJOIN(CHAR(10),TRUE,IF('Clarice'!$B$6:$B$300=$A369,"Clarice"&amp;IF('Clarice'!$E$6:$E$300="",""," : "&amp;'Clarice'!$E$6:$E$300)&amp;" ["&amp;'Clarice'!$F$6:$F$300&amp;"]",""),IF('Luisa'!$B$6:$B$300=$A369,"Luisa"&amp;IF('Luisa'!$E$6:$E$300="",""," : "&amp;'Luisa'!$E$6:$E$300)&amp;" ["&amp;'Luisa'!$F$6:$F$300&amp;"]",""),IF('Lui'!$B$6:$B$300=$A369,"Lui"&amp;IF('Lui'!$E$6:$E$300="",""," : "&amp;'Lui'!$E$6:$E$300)&amp;" ["&amp;'Lui'!$F$6:$F$300&amp;"]",""),IF('Thaís'!$B$6:$B$300=$A369,"Thaís"&amp;IF('Thaís'!$E$6:$E$300="",""," : "&amp;'Thaís'!$E$6:$E$300)&amp;" ["&amp;'Thaís'!$F$6:$F$300&amp;"]",""),IF('Daniel'!$B$6:$B$300=$A369,"Daniel"&amp;IF('Daniel'!$E$6:$E$300="",""," : "&amp;'Daniel'!$E$6:$E$300)&amp;" ["&amp;'Daniel'!$F$6:$F$300&amp;"]",""),IF('Fernando'!$B$6:$B$300=$A369,"Fernando"&amp;IF('Fernando'!$E$6:$E$300="",""," : "&amp;'Fernando'!$E$6:$E$300)&amp;" ["&amp;'Fernando'!$F$6:$F$300&amp;"]",""),IF('Stephanie'!$B$6:$B$300=$A369,"Stephanie"&amp;IF('Stephanie'!$E$6:$E$300="",""," : "&amp;'Stephanie'!$E$6:$E$300)&amp;" ["&amp;'Stephanie'!$F$6:$F$300&amp;"]",""),IF('Fox'!$B$6:$B$300=$A369,"Fox"&amp;IF('Fox'!$E$6:$E$300="",""," : "&amp;'Fox'!$E$6:$E$300)&amp;" ["&amp;'Fox'!$F$6:$F$300&amp;"]",""),IF('Bruna'!$B$6:$B$300=$A369,"Bruna"&amp;IF('Bruna'!$E$6:$E$300="",""," : "&amp;'Bruna'!$E$6:$E$300)&amp;" ["&amp;'Bruna'!$F$6:$F$300&amp;"]",""),IF('Stella'!$B$6:$B$300=$A369,"Stella"&amp;IF('Stella'!$E$6:$E$300="",""," : "&amp;'Stella'!$E$6:$E$300)&amp;" ["&amp;'Stella'!$F$6:$F$300&amp;"]",""),IF('Igor'!$B$6:$B$300=$A369,"Igor"&amp;IF('Igor'!$E$6:$E$300="",""," : "&amp;'Igor'!$E$6:$E$300)&amp;" ["&amp;'Igor'!$F$6:$F$300&amp;"]","")))</f>
        <v/>
      </c>
    </row>
    <row r="370">
      <c r="G370" s="23">
        <f>IF($A370="","",_xlfn.TEXTJOIN("; ",TRUE,IF(COUNTIF('Clarice'!$B$6:$B$300,$A370)&gt;0,"Clarice",""),IF(COUNTIF('Luisa'!$B$6:$B$300,$A370)&gt;0,"Luisa",""),IF(COUNTIF('Lui'!$B$6:$B$300,$A370)&gt;0,"Lui",""),IF(COUNTIF('Thaís'!$B$6:$B$300,$A370)&gt;0,"Thaís",""),IF(COUNTIF('Daniel'!$B$6:$B$300,$A370)&gt;0,"Daniel",""),IF(COUNTIF('Fernando'!$B$6:$B$300,$A370)&gt;0,"Fernando",""),IF(COUNTIF('Stephanie'!$B$6:$B$300,$A370)&gt;0,"Stephanie",""),IF(COUNTIF('Fox'!$B$6:$B$300,$A370)&gt;0,"Fox",""),IF(COUNTIF('Bruna'!$B$6:$B$300,$A370)&gt;0,"Bruna",""),IF(COUNTIF('Stella'!$B$6:$B$300,$A370)&gt;0,"Stella",""),IF(COUNTIF('Igor'!$B$6:$B$300,$A370)&gt;0,"Igor","")))</f>
        <v/>
      </c>
      <c r="J370" s="24">
        <f>IF(OR($A370="",(COUNTIF('Clarice'!$B$6:$B$300,$A370)+COUNTIF('Luisa'!$B$6:$B$300,$A370)+COUNTIF('Lui'!$B$6:$B$300,$A370)+COUNTIF('Thaís'!$B$6:$B$300,$A370)+COUNTIF('Daniel'!$B$6:$B$300,$A370)+COUNTIF('Fernando'!$B$6:$B$300,$A370)+COUNTIF('Stephanie'!$B$6:$B$300,$A370)+COUNTIF('Fox'!$B$6:$B$300,$A370)+COUNTIF('Bruna'!$B$6:$B$300,$A370)+COUNTIF('Stella'!$B$6:$B$300,$A370)+COUNTIF('Igor'!$B$6:$B$300,$A370))=0),"",(COUNTIFS('Clarice'!$B$6:$B$300,$A370,'Clarice'!$F$6:$F$300,"Concluído")+COUNTIFS('Luisa'!$B$6:$B$300,$A370,'Luisa'!$F$6:$F$300,"Concluído")+COUNTIFS('Lui'!$B$6:$B$300,$A370,'Lui'!$F$6:$F$300,"Concluído")+COUNTIFS('Thaís'!$B$6:$B$300,$A370,'Thaís'!$F$6:$F$300,"Concluído")+COUNTIFS('Daniel'!$B$6:$B$300,$A370,'Daniel'!$F$6:$F$300,"Concluído")+COUNTIFS('Fernando'!$B$6:$B$300,$A370,'Fernando'!$F$6:$F$300,"Concluído")+COUNTIFS('Stephanie'!$B$6:$B$300,$A370,'Stephanie'!$F$6:$F$300,"Concluído")+COUNTIFS('Fox'!$B$6:$B$300,$A370,'Fox'!$F$6:$F$300,"Concluído")+COUNTIFS('Bruna'!$B$6:$B$300,$A370,'Bruna'!$F$6:$F$300,"Concluído")+COUNTIFS('Stella'!$B$6:$B$300,$A370,'Stella'!$F$6:$F$300,"Concluído")+COUNTIFS('Igor'!$B$6:$B$300,$A370,'Igor'!$F$6:$F$300,"Concluído"))&amp;" / "&amp;(COUNTIF('Clarice'!$B$6:$B$300,$A370)+COUNTIF('Luisa'!$B$6:$B$300,$A370)+COUNTIF('Lui'!$B$6:$B$300,$A370)+COUNTIF('Thaís'!$B$6:$B$300,$A370)+COUNTIF('Daniel'!$B$6:$B$300,$A370)+COUNTIF('Fernando'!$B$6:$B$300,$A370)+COUNTIF('Stephanie'!$B$6:$B$300,$A370)+COUNTIF('Fox'!$B$6:$B$300,$A370)+COUNTIF('Bruna'!$B$6:$B$300,$A370)+COUNTIF('Stella'!$B$6:$B$300,$A370)+COUNTIF('Igor'!$B$6:$B$300,$A370)))</f>
        <v/>
      </c>
      <c r="P370" s="25">
        <f>IF($A370="","",IF(M370&lt;&gt;"",M370,IF(K370&lt;&gt;"",K370,"")))</f>
        <v/>
      </c>
      <c r="Q370" s="25">
        <f>IF($A370="","",IF(N370&lt;&gt;"",N370,IF(L370&lt;&gt;"",L370,"")))</f>
        <v/>
      </c>
      <c r="S370" s="23">
        <f t="array" ref="S370">IF($A370="","",_xlfn.TEXTJOIN(CHAR(10),TRUE,IF('Clarice'!$B$6:$B$300=$A370,"Clarice"&amp;IF('Clarice'!$E$6:$E$300="",""," : "&amp;'Clarice'!$E$6:$E$300)&amp;" ["&amp;'Clarice'!$F$6:$F$300&amp;"]",""),IF('Luisa'!$B$6:$B$300=$A370,"Luisa"&amp;IF('Luisa'!$E$6:$E$300="",""," : "&amp;'Luisa'!$E$6:$E$300)&amp;" ["&amp;'Luisa'!$F$6:$F$300&amp;"]",""),IF('Lui'!$B$6:$B$300=$A370,"Lui"&amp;IF('Lui'!$E$6:$E$300="",""," : "&amp;'Lui'!$E$6:$E$300)&amp;" ["&amp;'Lui'!$F$6:$F$300&amp;"]",""),IF('Thaís'!$B$6:$B$300=$A370,"Thaís"&amp;IF('Thaís'!$E$6:$E$300="",""," : "&amp;'Thaís'!$E$6:$E$300)&amp;" ["&amp;'Thaís'!$F$6:$F$300&amp;"]",""),IF('Daniel'!$B$6:$B$300=$A370,"Daniel"&amp;IF('Daniel'!$E$6:$E$300="",""," : "&amp;'Daniel'!$E$6:$E$300)&amp;" ["&amp;'Daniel'!$F$6:$F$300&amp;"]",""),IF('Fernando'!$B$6:$B$300=$A370,"Fernando"&amp;IF('Fernando'!$E$6:$E$300="",""," : "&amp;'Fernando'!$E$6:$E$300)&amp;" ["&amp;'Fernando'!$F$6:$F$300&amp;"]",""),IF('Stephanie'!$B$6:$B$300=$A370,"Stephanie"&amp;IF('Stephanie'!$E$6:$E$300="",""," : "&amp;'Stephanie'!$E$6:$E$300)&amp;" ["&amp;'Stephanie'!$F$6:$F$300&amp;"]",""),IF('Fox'!$B$6:$B$300=$A370,"Fox"&amp;IF('Fox'!$E$6:$E$300="",""," : "&amp;'Fox'!$E$6:$E$300)&amp;" ["&amp;'Fox'!$F$6:$F$300&amp;"]",""),IF('Bruna'!$B$6:$B$300=$A370,"Bruna"&amp;IF('Bruna'!$E$6:$E$300="",""," : "&amp;'Bruna'!$E$6:$E$300)&amp;" ["&amp;'Bruna'!$F$6:$F$300&amp;"]",""),IF('Stella'!$B$6:$B$300=$A370,"Stella"&amp;IF('Stella'!$E$6:$E$300="",""," : "&amp;'Stella'!$E$6:$E$300)&amp;" ["&amp;'Stella'!$F$6:$F$300&amp;"]",""),IF('Igor'!$B$6:$B$300=$A370,"Igor"&amp;IF('Igor'!$E$6:$E$300="",""," : "&amp;'Igor'!$E$6:$E$300)&amp;" ["&amp;'Igor'!$F$6:$F$300&amp;"]","")))</f>
        <v/>
      </c>
    </row>
    <row r="371">
      <c r="G371" s="23">
        <f>IF($A371="","",_xlfn.TEXTJOIN("; ",TRUE,IF(COUNTIF('Clarice'!$B$6:$B$300,$A371)&gt;0,"Clarice",""),IF(COUNTIF('Luisa'!$B$6:$B$300,$A371)&gt;0,"Luisa",""),IF(COUNTIF('Lui'!$B$6:$B$300,$A371)&gt;0,"Lui",""),IF(COUNTIF('Thaís'!$B$6:$B$300,$A371)&gt;0,"Thaís",""),IF(COUNTIF('Daniel'!$B$6:$B$300,$A371)&gt;0,"Daniel",""),IF(COUNTIF('Fernando'!$B$6:$B$300,$A371)&gt;0,"Fernando",""),IF(COUNTIF('Stephanie'!$B$6:$B$300,$A371)&gt;0,"Stephanie",""),IF(COUNTIF('Fox'!$B$6:$B$300,$A371)&gt;0,"Fox",""),IF(COUNTIF('Bruna'!$B$6:$B$300,$A371)&gt;0,"Bruna",""),IF(COUNTIF('Stella'!$B$6:$B$300,$A371)&gt;0,"Stella",""),IF(COUNTIF('Igor'!$B$6:$B$300,$A371)&gt;0,"Igor","")))</f>
        <v/>
      </c>
      <c r="J371" s="24">
        <f>IF(OR($A371="",(COUNTIF('Clarice'!$B$6:$B$300,$A371)+COUNTIF('Luisa'!$B$6:$B$300,$A371)+COUNTIF('Lui'!$B$6:$B$300,$A371)+COUNTIF('Thaís'!$B$6:$B$300,$A371)+COUNTIF('Daniel'!$B$6:$B$300,$A371)+COUNTIF('Fernando'!$B$6:$B$300,$A371)+COUNTIF('Stephanie'!$B$6:$B$300,$A371)+COUNTIF('Fox'!$B$6:$B$300,$A371)+COUNTIF('Bruna'!$B$6:$B$300,$A371)+COUNTIF('Stella'!$B$6:$B$300,$A371)+COUNTIF('Igor'!$B$6:$B$300,$A371))=0),"",(COUNTIFS('Clarice'!$B$6:$B$300,$A371,'Clarice'!$F$6:$F$300,"Concluído")+COUNTIFS('Luisa'!$B$6:$B$300,$A371,'Luisa'!$F$6:$F$300,"Concluído")+COUNTIFS('Lui'!$B$6:$B$300,$A371,'Lui'!$F$6:$F$300,"Concluído")+COUNTIFS('Thaís'!$B$6:$B$300,$A371,'Thaís'!$F$6:$F$300,"Concluído")+COUNTIFS('Daniel'!$B$6:$B$300,$A371,'Daniel'!$F$6:$F$300,"Concluído")+COUNTIFS('Fernando'!$B$6:$B$300,$A371,'Fernando'!$F$6:$F$300,"Concluído")+COUNTIFS('Stephanie'!$B$6:$B$300,$A371,'Stephanie'!$F$6:$F$300,"Concluído")+COUNTIFS('Fox'!$B$6:$B$300,$A371,'Fox'!$F$6:$F$300,"Concluído")+COUNTIFS('Bruna'!$B$6:$B$300,$A371,'Bruna'!$F$6:$F$300,"Concluído")+COUNTIFS('Stella'!$B$6:$B$300,$A371,'Stella'!$F$6:$F$300,"Concluído")+COUNTIFS('Igor'!$B$6:$B$300,$A371,'Igor'!$F$6:$F$300,"Concluído"))&amp;" / "&amp;(COUNTIF('Clarice'!$B$6:$B$300,$A371)+COUNTIF('Luisa'!$B$6:$B$300,$A371)+COUNTIF('Lui'!$B$6:$B$300,$A371)+COUNTIF('Thaís'!$B$6:$B$300,$A371)+COUNTIF('Daniel'!$B$6:$B$300,$A371)+COUNTIF('Fernando'!$B$6:$B$300,$A371)+COUNTIF('Stephanie'!$B$6:$B$300,$A371)+COUNTIF('Fox'!$B$6:$B$300,$A371)+COUNTIF('Bruna'!$B$6:$B$300,$A371)+COUNTIF('Stella'!$B$6:$B$300,$A371)+COUNTIF('Igor'!$B$6:$B$300,$A371)))</f>
        <v/>
      </c>
      <c r="P371" s="25">
        <f>IF($A371="","",IF(M371&lt;&gt;"",M371,IF(K371&lt;&gt;"",K371,"")))</f>
        <v/>
      </c>
      <c r="Q371" s="25">
        <f>IF($A371="","",IF(N371&lt;&gt;"",N371,IF(L371&lt;&gt;"",L371,"")))</f>
        <v/>
      </c>
      <c r="S371" s="23">
        <f t="array" ref="S371">IF($A371="","",_xlfn.TEXTJOIN(CHAR(10),TRUE,IF('Clarice'!$B$6:$B$300=$A371,"Clarice"&amp;IF('Clarice'!$E$6:$E$300="",""," : "&amp;'Clarice'!$E$6:$E$300)&amp;" ["&amp;'Clarice'!$F$6:$F$300&amp;"]",""),IF('Luisa'!$B$6:$B$300=$A371,"Luisa"&amp;IF('Luisa'!$E$6:$E$300="",""," : "&amp;'Luisa'!$E$6:$E$300)&amp;" ["&amp;'Luisa'!$F$6:$F$300&amp;"]",""),IF('Lui'!$B$6:$B$300=$A371,"Lui"&amp;IF('Lui'!$E$6:$E$300="",""," : "&amp;'Lui'!$E$6:$E$300)&amp;" ["&amp;'Lui'!$F$6:$F$300&amp;"]",""),IF('Thaís'!$B$6:$B$300=$A371,"Thaís"&amp;IF('Thaís'!$E$6:$E$300="",""," : "&amp;'Thaís'!$E$6:$E$300)&amp;" ["&amp;'Thaís'!$F$6:$F$300&amp;"]",""),IF('Daniel'!$B$6:$B$300=$A371,"Daniel"&amp;IF('Daniel'!$E$6:$E$300="",""," : "&amp;'Daniel'!$E$6:$E$300)&amp;" ["&amp;'Daniel'!$F$6:$F$300&amp;"]",""),IF('Fernando'!$B$6:$B$300=$A371,"Fernando"&amp;IF('Fernando'!$E$6:$E$300="",""," : "&amp;'Fernando'!$E$6:$E$300)&amp;" ["&amp;'Fernando'!$F$6:$F$300&amp;"]",""),IF('Stephanie'!$B$6:$B$300=$A371,"Stephanie"&amp;IF('Stephanie'!$E$6:$E$300="",""," : "&amp;'Stephanie'!$E$6:$E$300)&amp;" ["&amp;'Stephanie'!$F$6:$F$300&amp;"]",""),IF('Fox'!$B$6:$B$300=$A371,"Fox"&amp;IF('Fox'!$E$6:$E$300="",""," : "&amp;'Fox'!$E$6:$E$300)&amp;" ["&amp;'Fox'!$F$6:$F$300&amp;"]",""),IF('Bruna'!$B$6:$B$300=$A371,"Bruna"&amp;IF('Bruna'!$E$6:$E$300="",""," : "&amp;'Bruna'!$E$6:$E$300)&amp;" ["&amp;'Bruna'!$F$6:$F$300&amp;"]",""),IF('Stella'!$B$6:$B$300=$A371,"Stella"&amp;IF('Stella'!$E$6:$E$300="",""," : "&amp;'Stella'!$E$6:$E$300)&amp;" ["&amp;'Stella'!$F$6:$F$300&amp;"]",""),IF('Igor'!$B$6:$B$300=$A371,"Igor"&amp;IF('Igor'!$E$6:$E$300="",""," : "&amp;'Igor'!$E$6:$E$300)&amp;" ["&amp;'Igor'!$F$6:$F$300&amp;"]","")))</f>
        <v/>
      </c>
    </row>
    <row r="372">
      <c r="G372" s="23">
        <f>IF($A372="","",_xlfn.TEXTJOIN("; ",TRUE,IF(COUNTIF('Clarice'!$B$6:$B$300,$A372)&gt;0,"Clarice",""),IF(COUNTIF('Luisa'!$B$6:$B$300,$A372)&gt;0,"Luisa",""),IF(COUNTIF('Lui'!$B$6:$B$300,$A372)&gt;0,"Lui",""),IF(COUNTIF('Thaís'!$B$6:$B$300,$A372)&gt;0,"Thaís",""),IF(COUNTIF('Daniel'!$B$6:$B$300,$A372)&gt;0,"Daniel",""),IF(COUNTIF('Fernando'!$B$6:$B$300,$A372)&gt;0,"Fernando",""),IF(COUNTIF('Stephanie'!$B$6:$B$300,$A372)&gt;0,"Stephanie",""),IF(COUNTIF('Fox'!$B$6:$B$300,$A372)&gt;0,"Fox",""),IF(COUNTIF('Bruna'!$B$6:$B$300,$A372)&gt;0,"Bruna",""),IF(COUNTIF('Stella'!$B$6:$B$300,$A372)&gt;0,"Stella",""),IF(COUNTIF('Igor'!$B$6:$B$300,$A372)&gt;0,"Igor","")))</f>
        <v/>
      </c>
      <c r="J372" s="24">
        <f>IF(OR($A372="",(COUNTIF('Clarice'!$B$6:$B$300,$A372)+COUNTIF('Luisa'!$B$6:$B$300,$A372)+COUNTIF('Lui'!$B$6:$B$300,$A372)+COUNTIF('Thaís'!$B$6:$B$300,$A372)+COUNTIF('Daniel'!$B$6:$B$300,$A372)+COUNTIF('Fernando'!$B$6:$B$300,$A372)+COUNTIF('Stephanie'!$B$6:$B$300,$A372)+COUNTIF('Fox'!$B$6:$B$300,$A372)+COUNTIF('Bruna'!$B$6:$B$300,$A372)+COUNTIF('Stella'!$B$6:$B$300,$A372)+COUNTIF('Igor'!$B$6:$B$300,$A372))=0),"",(COUNTIFS('Clarice'!$B$6:$B$300,$A372,'Clarice'!$F$6:$F$300,"Concluído")+COUNTIFS('Luisa'!$B$6:$B$300,$A372,'Luisa'!$F$6:$F$300,"Concluído")+COUNTIFS('Lui'!$B$6:$B$300,$A372,'Lui'!$F$6:$F$300,"Concluído")+COUNTIFS('Thaís'!$B$6:$B$300,$A372,'Thaís'!$F$6:$F$300,"Concluído")+COUNTIFS('Daniel'!$B$6:$B$300,$A372,'Daniel'!$F$6:$F$300,"Concluído")+COUNTIFS('Fernando'!$B$6:$B$300,$A372,'Fernando'!$F$6:$F$300,"Concluído")+COUNTIFS('Stephanie'!$B$6:$B$300,$A372,'Stephanie'!$F$6:$F$300,"Concluído")+COUNTIFS('Fox'!$B$6:$B$300,$A372,'Fox'!$F$6:$F$300,"Concluído")+COUNTIFS('Bruna'!$B$6:$B$300,$A372,'Bruna'!$F$6:$F$300,"Concluído")+COUNTIFS('Stella'!$B$6:$B$300,$A372,'Stella'!$F$6:$F$300,"Concluído")+COUNTIFS('Igor'!$B$6:$B$300,$A372,'Igor'!$F$6:$F$300,"Concluído"))&amp;" / "&amp;(COUNTIF('Clarice'!$B$6:$B$300,$A372)+COUNTIF('Luisa'!$B$6:$B$300,$A372)+COUNTIF('Lui'!$B$6:$B$300,$A372)+COUNTIF('Thaís'!$B$6:$B$300,$A372)+COUNTIF('Daniel'!$B$6:$B$300,$A372)+COUNTIF('Fernando'!$B$6:$B$300,$A372)+COUNTIF('Stephanie'!$B$6:$B$300,$A372)+COUNTIF('Fox'!$B$6:$B$300,$A372)+COUNTIF('Bruna'!$B$6:$B$300,$A372)+COUNTIF('Stella'!$B$6:$B$300,$A372)+COUNTIF('Igor'!$B$6:$B$300,$A372)))</f>
        <v/>
      </c>
      <c r="P372" s="25">
        <f>IF($A372="","",IF(M372&lt;&gt;"",M372,IF(K372&lt;&gt;"",K372,"")))</f>
        <v/>
      </c>
      <c r="Q372" s="25">
        <f>IF($A372="","",IF(N372&lt;&gt;"",N372,IF(L372&lt;&gt;"",L372,"")))</f>
        <v/>
      </c>
      <c r="S372" s="23">
        <f t="array" ref="S372">IF($A372="","",_xlfn.TEXTJOIN(CHAR(10),TRUE,IF('Clarice'!$B$6:$B$300=$A372,"Clarice"&amp;IF('Clarice'!$E$6:$E$300="",""," : "&amp;'Clarice'!$E$6:$E$300)&amp;" ["&amp;'Clarice'!$F$6:$F$300&amp;"]",""),IF('Luisa'!$B$6:$B$300=$A372,"Luisa"&amp;IF('Luisa'!$E$6:$E$300="",""," : "&amp;'Luisa'!$E$6:$E$300)&amp;" ["&amp;'Luisa'!$F$6:$F$300&amp;"]",""),IF('Lui'!$B$6:$B$300=$A372,"Lui"&amp;IF('Lui'!$E$6:$E$300="",""," : "&amp;'Lui'!$E$6:$E$300)&amp;" ["&amp;'Lui'!$F$6:$F$300&amp;"]",""),IF('Thaís'!$B$6:$B$300=$A372,"Thaís"&amp;IF('Thaís'!$E$6:$E$300="",""," : "&amp;'Thaís'!$E$6:$E$300)&amp;" ["&amp;'Thaís'!$F$6:$F$300&amp;"]",""),IF('Daniel'!$B$6:$B$300=$A372,"Daniel"&amp;IF('Daniel'!$E$6:$E$300="",""," : "&amp;'Daniel'!$E$6:$E$300)&amp;" ["&amp;'Daniel'!$F$6:$F$300&amp;"]",""),IF('Fernando'!$B$6:$B$300=$A372,"Fernando"&amp;IF('Fernando'!$E$6:$E$300="",""," : "&amp;'Fernando'!$E$6:$E$300)&amp;" ["&amp;'Fernando'!$F$6:$F$300&amp;"]",""),IF('Stephanie'!$B$6:$B$300=$A372,"Stephanie"&amp;IF('Stephanie'!$E$6:$E$300="",""," : "&amp;'Stephanie'!$E$6:$E$300)&amp;" ["&amp;'Stephanie'!$F$6:$F$300&amp;"]",""),IF('Fox'!$B$6:$B$300=$A372,"Fox"&amp;IF('Fox'!$E$6:$E$300="",""," : "&amp;'Fox'!$E$6:$E$300)&amp;" ["&amp;'Fox'!$F$6:$F$300&amp;"]",""),IF('Bruna'!$B$6:$B$300=$A372,"Bruna"&amp;IF('Bruna'!$E$6:$E$300="",""," : "&amp;'Bruna'!$E$6:$E$300)&amp;" ["&amp;'Bruna'!$F$6:$F$300&amp;"]",""),IF('Stella'!$B$6:$B$300=$A372,"Stella"&amp;IF('Stella'!$E$6:$E$300="",""," : "&amp;'Stella'!$E$6:$E$300)&amp;" ["&amp;'Stella'!$F$6:$F$300&amp;"]",""),IF('Igor'!$B$6:$B$300=$A372,"Igor"&amp;IF('Igor'!$E$6:$E$300="",""," : "&amp;'Igor'!$E$6:$E$300)&amp;" ["&amp;'Igor'!$F$6:$F$300&amp;"]","")))</f>
        <v/>
      </c>
    </row>
    <row r="373">
      <c r="G373" s="23">
        <f>IF($A373="","",_xlfn.TEXTJOIN("; ",TRUE,IF(COUNTIF('Clarice'!$B$6:$B$300,$A373)&gt;0,"Clarice",""),IF(COUNTIF('Luisa'!$B$6:$B$300,$A373)&gt;0,"Luisa",""),IF(COUNTIF('Lui'!$B$6:$B$300,$A373)&gt;0,"Lui",""),IF(COUNTIF('Thaís'!$B$6:$B$300,$A373)&gt;0,"Thaís",""),IF(COUNTIF('Daniel'!$B$6:$B$300,$A373)&gt;0,"Daniel",""),IF(COUNTIF('Fernando'!$B$6:$B$300,$A373)&gt;0,"Fernando",""),IF(COUNTIF('Stephanie'!$B$6:$B$300,$A373)&gt;0,"Stephanie",""),IF(COUNTIF('Fox'!$B$6:$B$300,$A373)&gt;0,"Fox",""),IF(COUNTIF('Bruna'!$B$6:$B$300,$A373)&gt;0,"Bruna",""),IF(COUNTIF('Stella'!$B$6:$B$300,$A373)&gt;0,"Stella",""),IF(COUNTIF('Igor'!$B$6:$B$300,$A373)&gt;0,"Igor","")))</f>
        <v/>
      </c>
      <c r="J373" s="24">
        <f>IF(OR($A373="",(COUNTIF('Clarice'!$B$6:$B$300,$A373)+COUNTIF('Luisa'!$B$6:$B$300,$A373)+COUNTIF('Lui'!$B$6:$B$300,$A373)+COUNTIF('Thaís'!$B$6:$B$300,$A373)+COUNTIF('Daniel'!$B$6:$B$300,$A373)+COUNTIF('Fernando'!$B$6:$B$300,$A373)+COUNTIF('Stephanie'!$B$6:$B$300,$A373)+COUNTIF('Fox'!$B$6:$B$300,$A373)+COUNTIF('Bruna'!$B$6:$B$300,$A373)+COUNTIF('Stella'!$B$6:$B$300,$A373)+COUNTIF('Igor'!$B$6:$B$300,$A373))=0),"",(COUNTIFS('Clarice'!$B$6:$B$300,$A373,'Clarice'!$F$6:$F$300,"Concluído")+COUNTIFS('Luisa'!$B$6:$B$300,$A373,'Luisa'!$F$6:$F$300,"Concluído")+COUNTIFS('Lui'!$B$6:$B$300,$A373,'Lui'!$F$6:$F$300,"Concluído")+COUNTIFS('Thaís'!$B$6:$B$300,$A373,'Thaís'!$F$6:$F$300,"Concluído")+COUNTIFS('Daniel'!$B$6:$B$300,$A373,'Daniel'!$F$6:$F$300,"Concluído")+COUNTIFS('Fernando'!$B$6:$B$300,$A373,'Fernando'!$F$6:$F$300,"Concluído")+COUNTIFS('Stephanie'!$B$6:$B$300,$A373,'Stephanie'!$F$6:$F$300,"Concluído")+COUNTIFS('Fox'!$B$6:$B$300,$A373,'Fox'!$F$6:$F$300,"Concluído")+COUNTIFS('Bruna'!$B$6:$B$300,$A373,'Bruna'!$F$6:$F$300,"Concluído")+COUNTIFS('Stella'!$B$6:$B$300,$A373,'Stella'!$F$6:$F$300,"Concluído")+COUNTIFS('Igor'!$B$6:$B$300,$A373,'Igor'!$F$6:$F$300,"Concluído"))&amp;" / "&amp;(COUNTIF('Clarice'!$B$6:$B$300,$A373)+COUNTIF('Luisa'!$B$6:$B$300,$A373)+COUNTIF('Lui'!$B$6:$B$300,$A373)+COUNTIF('Thaís'!$B$6:$B$300,$A373)+COUNTIF('Daniel'!$B$6:$B$300,$A373)+COUNTIF('Fernando'!$B$6:$B$300,$A373)+COUNTIF('Stephanie'!$B$6:$B$300,$A373)+COUNTIF('Fox'!$B$6:$B$300,$A373)+COUNTIF('Bruna'!$B$6:$B$300,$A373)+COUNTIF('Stella'!$B$6:$B$300,$A373)+COUNTIF('Igor'!$B$6:$B$300,$A373)))</f>
        <v/>
      </c>
      <c r="P373" s="25">
        <f>IF($A373="","",IF(M373&lt;&gt;"",M373,IF(K373&lt;&gt;"",K373,"")))</f>
        <v/>
      </c>
      <c r="Q373" s="25">
        <f>IF($A373="","",IF(N373&lt;&gt;"",N373,IF(L373&lt;&gt;"",L373,"")))</f>
        <v/>
      </c>
      <c r="S373" s="23">
        <f t="array" ref="S373">IF($A373="","",_xlfn.TEXTJOIN(CHAR(10),TRUE,IF('Clarice'!$B$6:$B$300=$A373,"Clarice"&amp;IF('Clarice'!$E$6:$E$300="",""," : "&amp;'Clarice'!$E$6:$E$300)&amp;" ["&amp;'Clarice'!$F$6:$F$300&amp;"]",""),IF('Luisa'!$B$6:$B$300=$A373,"Luisa"&amp;IF('Luisa'!$E$6:$E$300="",""," : "&amp;'Luisa'!$E$6:$E$300)&amp;" ["&amp;'Luisa'!$F$6:$F$300&amp;"]",""),IF('Lui'!$B$6:$B$300=$A373,"Lui"&amp;IF('Lui'!$E$6:$E$300="",""," : "&amp;'Lui'!$E$6:$E$300)&amp;" ["&amp;'Lui'!$F$6:$F$300&amp;"]",""),IF('Thaís'!$B$6:$B$300=$A373,"Thaís"&amp;IF('Thaís'!$E$6:$E$300="",""," : "&amp;'Thaís'!$E$6:$E$300)&amp;" ["&amp;'Thaís'!$F$6:$F$300&amp;"]",""),IF('Daniel'!$B$6:$B$300=$A373,"Daniel"&amp;IF('Daniel'!$E$6:$E$300="",""," : "&amp;'Daniel'!$E$6:$E$300)&amp;" ["&amp;'Daniel'!$F$6:$F$300&amp;"]",""),IF('Fernando'!$B$6:$B$300=$A373,"Fernando"&amp;IF('Fernando'!$E$6:$E$300="",""," : "&amp;'Fernando'!$E$6:$E$300)&amp;" ["&amp;'Fernando'!$F$6:$F$300&amp;"]",""),IF('Stephanie'!$B$6:$B$300=$A373,"Stephanie"&amp;IF('Stephanie'!$E$6:$E$300="",""," : "&amp;'Stephanie'!$E$6:$E$300)&amp;" ["&amp;'Stephanie'!$F$6:$F$300&amp;"]",""),IF('Fox'!$B$6:$B$300=$A373,"Fox"&amp;IF('Fox'!$E$6:$E$300="",""," : "&amp;'Fox'!$E$6:$E$300)&amp;" ["&amp;'Fox'!$F$6:$F$300&amp;"]",""),IF('Bruna'!$B$6:$B$300=$A373,"Bruna"&amp;IF('Bruna'!$E$6:$E$300="",""," : "&amp;'Bruna'!$E$6:$E$300)&amp;" ["&amp;'Bruna'!$F$6:$F$300&amp;"]",""),IF('Stella'!$B$6:$B$300=$A373,"Stella"&amp;IF('Stella'!$E$6:$E$300="",""," : "&amp;'Stella'!$E$6:$E$300)&amp;" ["&amp;'Stella'!$F$6:$F$300&amp;"]",""),IF('Igor'!$B$6:$B$300=$A373,"Igor"&amp;IF('Igor'!$E$6:$E$300="",""," : "&amp;'Igor'!$E$6:$E$300)&amp;" ["&amp;'Igor'!$F$6:$F$300&amp;"]","")))</f>
        <v/>
      </c>
    </row>
    <row r="374">
      <c r="G374" s="23">
        <f>IF($A374="","",_xlfn.TEXTJOIN("; ",TRUE,IF(COUNTIF('Clarice'!$B$6:$B$300,$A374)&gt;0,"Clarice",""),IF(COUNTIF('Luisa'!$B$6:$B$300,$A374)&gt;0,"Luisa",""),IF(COUNTIF('Lui'!$B$6:$B$300,$A374)&gt;0,"Lui",""),IF(COUNTIF('Thaís'!$B$6:$B$300,$A374)&gt;0,"Thaís",""),IF(COUNTIF('Daniel'!$B$6:$B$300,$A374)&gt;0,"Daniel",""),IF(COUNTIF('Fernando'!$B$6:$B$300,$A374)&gt;0,"Fernando",""),IF(COUNTIF('Stephanie'!$B$6:$B$300,$A374)&gt;0,"Stephanie",""),IF(COUNTIF('Fox'!$B$6:$B$300,$A374)&gt;0,"Fox",""),IF(COUNTIF('Bruna'!$B$6:$B$300,$A374)&gt;0,"Bruna",""),IF(COUNTIF('Stella'!$B$6:$B$300,$A374)&gt;0,"Stella",""),IF(COUNTIF('Igor'!$B$6:$B$300,$A374)&gt;0,"Igor","")))</f>
        <v/>
      </c>
      <c r="J374" s="24">
        <f>IF(OR($A374="",(COUNTIF('Clarice'!$B$6:$B$300,$A374)+COUNTIF('Luisa'!$B$6:$B$300,$A374)+COUNTIF('Lui'!$B$6:$B$300,$A374)+COUNTIF('Thaís'!$B$6:$B$300,$A374)+COUNTIF('Daniel'!$B$6:$B$300,$A374)+COUNTIF('Fernando'!$B$6:$B$300,$A374)+COUNTIF('Stephanie'!$B$6:$B$300,$A374)+COUNTIF('Fox'!$B$6:$B$300,$A374)+COUNTIF('Bruna'!$B$6:$B$300,$A374)+COUNTIF('Stella'!$B$6:$B$300,$A374)+COUNTIF('Igor'!$B$6:$B$300,$A374))=0),"",(COUNTIFS('Clarice'!$B$6:$B$300,$A374,'Clarice'!$F$6:$F$300,"Concluído")+COUNTIFS('Luisa'!$B$6:$B$300,$A374,'Luisa'!$F$6:$F$300,"Concluído")+COUNTIFS('Lui'!$B$6:$B$300,$A374,'Lui'!$F$6:$F$300,"Concluído")+COUNTIFS('Thaís'!$B$6:$B$300,$A374,'Thaís'!$F$6:$F$300,"Concluído")+COUNTIFS('Daniel'!$B$6:$B$300,$A374,'Daniel'!$F$6:$F$300,"Concluído")+COUNTIFS('Fernando'!$B$6:$B$300,$A374,'Fernando'!$F$6:$F$300,"Concluído")+COUNTIFS('Stephanie'!$B$6:$B$300,$A374,'Stephanie'!$F$6:$F$300,"Concluído")+COUNTIFS('Fox'!$B$6:$B$300,$A374,'Fox'!$F$6:$F$300,"Concluído")+COUNTIFS('Bruna'!$B$6:$B$300,$A374,'Bruna'!$F$6:$F$300,"Concluído")+COUNTIFS('Stella'!$B$6:$B$300,$A374,'Stella'!$F$6:$F$300,"Concluído")+COUNTIFS('Igor'!$B$6:$B$300,$A374,'Igor'!$F$6:$F$300,"Concluído"))&amp;" / "&amp;(COUNTIF('Clarice'!$B$6:$B$300,$A374)+COUNTIF('Luisa'!$B$6:$B$300,$A374)+COUNTIF('Lui'!$B$6:$B$300,$A374)+COUNTIF('Thaís'!$B$6:$B$300,$A374)+COUNTIF('Daniel'!$B$6:$B$300,$A374)+COUNTIF('Fernando'!$B$6:$B$300,$A374)+COUNTIF('Stephanie'!$B$6:$B$300,$A374)+COUNTIF('Fox'!$B$6:$B$300,$A374)+COUNTIF('Bruna'!$B$6:$B$300,$A374)+COUNTIF('Stella'!$B$6:$B$300,$A374)+COUNTIF('Igor'!$B$6:$B$300,$A374)))</f>
        <v/>
      </c>
      <c r="P374" s="25">
        <f>IF($A374="","",IF(M374&lt;&gt;"",M374,IF(K374&lt;&gt;"",K374,"")))</f>
        <v/>
      </c>
      <c r="Q374" s="25">
        <f>IF($A374="","",IF(N374&lt;&gt;"",N374,IF(L374&lt;&gt;"",L374,"")))</f>
        <v/>
      </c>
      <c r="S374" s="23">
        <f t="array" ref="S374">IF($A374="","",_xlfn.TEXTJOIN(CHAR(10),TRUE,IF('Clarice'!$B$6:$B$300=$A374,"Clarice"&amp;IF('Clarice'!$E$6:$E$300="",""," : "&amp;'Clarice'!$E$6:$E$300)&amp;" ["&amp;'Clarice'!$F$6:$F$300&amp;"]",""),IF('Luisa'!$B$6:$B$300=$A374,"Luisa"&amp;IF('Luisa'!$E$6:$E$300="",""," : "&amp;'Luisa'!$E$6:$E$300)&amp;" ["&amp;'Luisa'!$F$6:$F$300&amp;"]",""),IF('Lui'!$B$6:$B$300=$A374,"Lui"&amp;IF('Lui'!$E$6:$E$300="",""," : "&amp;'Lui'!$E$6:$E$300)&amp;" ["&amp;'Lui'!$F$6:$F$300&amp;"]",""),IF('Thaís'!$B$6:$B$300=$A374,"Thaís"&amp;IF('Thaís'!$E$6:$E$300="",""," : "&amp;'Thaís'!$E$6:$E$300)&amp;" ["&amp;'Thaís'!$F$6:$F$300&amp;"]",""),IF('Daniel'!$B$6:$B$300=$A374,"Daniel"&amp;IF('Daniel'!$E$6:$E$300="",""," : "&amp;'Daniel'!$E$6:$E$300)&amp;" ["&amp;'Daniel'!$F$6:$F$300&amp;"]",""),IF('Fernando'!$B$6:$B$300=$A374,"Fernando"&amp;IF('Fernando'!$E$6:$E$300="",""," : "&amp;'Fernando'!$E$6:$E$300)&amp;" ["&amp;'Fernando'!$F$6:$F$300&amp;"]",""),IF('Stephanie'!$B$6:$B$300=$A374,"Stephanie"&amp;IF('Stephanie'!$E$6:$E$300="",""," : "&amp;'Stephanie'!$E$6:$E$300)&amp;" ["&amp;'Stephanie'!$F$6:$F$300&amp;"]",""),IF('Fox'!$B$6:$B$300=$A374,"Fox"&amp;IF('Fox'!$E$6:$E$300="",""," : "&amp;'Fox'!$E$6:$E$300)&amp;" ["&amp;'Fox'!$F$6:$F$300&amp;"]",""),IF('Bruna'!$B$6:$B$300=$A374,"Bruna"&amp;IF('Bruna'!$E$6:$E$300="",""," : "&amp;'Bruna'!$E$6:$E$300)&amp;" ["&amp;'Bruna'!$F$6:$F$300&amp;"]",""),IF('Stella'!$B$6:$B$300=$A374,"Stella"&amp;IF('Stella'!$E$6:$E$300="",""," : "&amp;'Stella'!$E$6:$E$300)&amp;" ["&amp;'Stella'!$F$6:$F$300&amp;"]",""),IF('Igor'!$B$6:$B$300=$A374,"Igor"&amp;IF('Igor'!$E$6:$E$300="",""," : "&amp;'Igor'!$E$6:$E$300)&amp;" ["&amp;'Igor'!$F$6:$F$300&amp;"]","")))</f>
        <v/>
      </c>
    </row>
    <row r="375">
      <c r="G375" s="23">
        <f>IF($A375="","",_xlfn.TEXTJOIN("; ",TRUE,IF(COUNTIF('Clarice'!$B$6:$B$300,$A375)&gt;0,"Clarice",""),IF(COUNTIF('Luisa'!$B$6:$B$300,$A375)&gt;0,"Luisa",""),IF(COUNTIF('Lui'!$B$6:$B$300,$A375)&gt;0,"Lui",""),IF(COUNTIF('Thaís'!$B$6:$B$300,$A375)&gt;0,"Thaís",""),IF(COUNTIF('Daniel'!$B$6:$B$300,$A375)&gt;0,"Daniel",""),IF(COUNTIF('Fernando'!$B$6:$B$300,$A375)&gt;0,"Fernando",""),IF(COUNTIF('Stephanie'!$B$6:$B$300,$A375)&gt;0,"Stephanie",""),IF(COUNTIF('Fox'!$B$6:$B$300,$A375)&gt;0,"Fox",""),IF(COUNTIF('Bruna'!$B$6:$B$300,$A375)&gt;0,"Bruna",""),IF(COUNTIF('Stella'!$B$6:$B$300,$A375)&gt;0,"Stella",""),IF(COUNTIF('Igor'!$B$6:$B$300,$A375)&gt;0,"Igor","")))</f>
        <v/>
      </c>
      <c r="J375" s="24">
        <f>IF(OR($A375="",(COUNTIF('Clarice'!$B$6:$B$300,$A375)+COUNTIF('Luisa'!$B$6:$B$300,$A375)+COUNTIF('Lui'!$B$6:$B$300,$A375)+COUNTIF('Thaís'!$B$6:$B$300,$A375)+COUNTIF('Daniel'!$B$6:$B$300,$A375)+COUNTIF('Fernando'!$B$6:$B$300,$A375)+COUNTIF('Stephanie'!$B$6:$B$300,$A375)+COUNTIF('Fox'!$B$6:$B$300,$A375)+COUNTIF('Bruna'!$B$6:$B$300,$A375)+COUNTIF('Stella'!$B$6:$B$300,$A375)+COUNTIF('Igor'!$B$6:$B$300,$A375))=0),"",(COUNTIFS('Clarice'!$B$6:$B$300,$A375,'Clarice'!$F$6:$F$300,"Concluído")+COUNTIFS('Luisa'!$B$6:$B$300,$A375,'Luisa'!$F$6:$F$300,"Concluído")+COUNTIFS('Lui'!$B$6:$B$300,$A375,'Lui'!$F$6:$F$300,"Concluído")+COUNTIFS('Thaís'!$B$6:$B$300,$A375,'Thaís'!$F$6:$F$300,"Concluído")+COUNTIFS('Daniel'!$B$6:$B$300,$A375,'Daniel'!$F$6:$F$300,"Concluído")+COUNTIFS('Fernando'!$B$6:$B$300,$A375,'Fernando'!$F$6:$F$300,"Concluído")+COUNTIFS('Stephanie'!$B$6:$B$300,$A375,'Stephanie'!$F$6:$F$300,"Concluído")+COUNTIFS('Fox'!$B$6:$B$300,$A375,'Fox'!$F$6:$F$300,"Concluído")+COUNTIFS('Bruna'!$B$6:$B$300,$A375,'Bruna'!$F$6:$F$300,"Concluído")+COUNTIFS('Stella'!$B$6:$B$300,$A375,'Stella'!$F$6:$F$300,"Concluído")+COUNTIFS('Igor'!$B$6:$B$300,$A375,'Igor'!$F$6:$F$300,"Concluído"))&amp;" / "&amp;(COUNTIF('Clarice'!$B$6:$B$300,$A375)+COUNTIF('Luisa'!$B$6:$B$300,$A375)+COUNTIF('Lui'!$B$6:$B$300,$A375)+COUNTIF('Thaís'!$B$6:$B$300,$A375)+COUNTIF('Daniel'!$B$6:$B$300,$A375)+COUNTIF('Fernando'!$B$6:$B$300,$A375)+COUNTIF('Stephanie'!$B$6:$B$300,$A375)+COUNTIF('Fox'!$B$6:$B$300,$A375)+COUNTIF('Bruna'!$B$6:$B$300,$A375)+COUNTIF('Stella'!$B$6:$B$300,$A375)+COUNTIF('Igor'!$B$6:$B$300,$A375)))</f>
        <v/>
      </c>
      <c r="P375" s="25">
        <f>IF($A375="","",IF(M375&lt;&gt;"",M375,IF(K375&lt;&gt;"",K375,"")))</f>
        <v/>
      </c>
      <c r="Q375" s="25">
        <f>IF($A375="","",IF(N375&lt;&gt;"",N375,IF(L375&lt;&gt;"",L375,"")))</f>
        <v/>
      </c>
      <c r="S375" s="23">
        <f t="array" ref="S375">IF($A375="","",_xlfn.TEXTJOIN(CHAR(10),TRUE,IF('Clarice'!$B$6:$B$300=$A375,"Clarice"&amp;IF('Clarice'!$E$6:$E$300="",""," : "&amp;'Clarice'!$E$6:$E$300)&amp;" ["&amp;'Clarice'!$F$6:$F$300&amp;"]",""),IF('Luisa'!$B$6:$B$300=$A375,"Luisa"&amp;IF('Luisa'!$E$6:$E$300="",""," : "&amp;'Luisa'!$E$6:$E$300)&amp;" ["&amp;'Luisa'!$F$6:$F$300&amp;"]",""),IF('Lui'!$B$6:$B$300=$A375,"Lui"&amp;IF('Lui'!$E$6:$E$300="",""," : "&amp;'Lui'!$E$6:$E$300)&amp;" ["&amp;'Lui'!$F$6:$F$300&amp;"]",""),IF('Thaís'!$B$6:$B$300=$A375,"Thaís"&amp;IF('Thaís'!$E$6:$E$300="",""," : "&amp;'Thaís'!$E$6:$E$300)&amp;" ["&amp;'Thaís'!$F$6:$F$300&amp;"]",""),IF('Daniel'!$B$6:$B$300=$A375,"Daniel"&amp;IF('Daniel'!$E$6:$E$300="",""," : "&amp;'Daniel'!$E$6:$E$300)&amp;" ["&amp;'Daniel'!$F$6:$F$300&amp;"]",""),IF('Fernando'!$B$6:$B$300=$A375,"Fernando"&amp;IF('Fernando'!$E$6:$E$300="",""," : "&amp;'Fernando'!$E$6:$E$300)&amp;" ["&amp;'Fernando'!$F$6:$F$300&amp;"]",""),IF('Stephanie'!$B$6:$B$300=$A375,"Stephanie"&amp;IF('Stephanie'!$E$6:$E$300="",""," : "&amp;'Stephanie'!$E$6:$E$300)&amp;" ["&amp;'Stephanie'!$F$6:$F$300&amp;"]",""),IF('Fox'!$B$6:$B$300=$A375,"Fox"&amp;IF('Fox'!$E$6:$E$300="",""," : "&amp;'Fox'!$E$6:$E$300)&amp;" ["&amp;'Fox'!$F$6:$F$300&amp;"]",""),IF('Bruna'!$B$6:$B$300=$A375,"Bruna"&amp;IF('Bruna'!$E$6:$E$300="",""," : "&amp;'Bruna'!$E$6:$E$300)&amp;" ["&amp;'Bruna'!$F$6:$F$300&amp;"]",""),IF('Stella'!$B$6:$B$300=$A375,"Stella"&amp;IF('Stella'!$E$6:$E$300="",""," : "&amp;'Stella'!$E$6:$E$300)&amp;" ["&amp;'Stella'!$F$6:$F$300&amp;"]",""),IF('Igor'!$B$6:$B$300=$A375,"Igor"&amp;IF('Igor'!$E$6:$E$300="",""," : "&amp;'Igor'!$E$6:$E$300)&amp;" ["&amp;'Igor'!$F$6:$F$300&amp;"]","")))</f>
        <v/>
      </c>
    </row>
    <row r="376">
      <c r="G376" s="23">
        <f>IF($A376="","",_xlfn.TEXTJOIN("; ",TRUE,IF(COUNTIF('Clarice'!$B$6:$B$300,$A376)&gt;0,"Clarice",""),IF(COUNTIF('Luisa'!$B$6:$B$300,$A376)&gt;0,"Luisa",""),IF(COUNTIF('Lui'!$B$6:$B$300,$A376)&gt;0,"Lui",""),IF(COUNTIF('Thaís'!$B$6:$B$300,$A376)&gt;0,"Thaís",""),IF(COUNTIF('Daniel'!$B$6:$B$300,$A376)&gt;0,"Daniel",""),IF(COUNTIF('Fernando'!$B$6:$B$300,$A376)&gt;0,"Fernando",""),IF(COUNTIF('Stephanie'!$B$6:$B$300,$A376)&gt;0,"Stephanie",""),IF(COUNTIF('Fox'!$B$6:$B$300,$A376)&gt;0,"Fox",""),IF(COUNTIF('Bruna'!$B$6:$B$300,$A376)&gt;0,"Bruna",""),IF(COUNTIF('Stella'!$B$6:$B$300,$A376)&gt;0,"Stella",""),IF(COUNTIF('Igor'!$B$6:$B$300,$A376)&gt;0,"Igor","")))</f>
        <v/>
      </c>
      <c r="J376" s="24">
        <f>IF(OR($A376="",(COUNTIF('Clarice'!$B$6:$B$300,$A376)+COUNTIF('Luisa'!$B$6:$B$300,$A376)+COUNTIF('Lui'!$B$6:$B$300,$A376)+COUNTIF('Thaís'!$B$6:$B$300,$A376)+COUNTIF('Daniel'!$B$6:$B$300,$A376)+COUNTIF('Fernando'!$B$6:$B$300,$A376)+COUNTIF('Stephanie'!$B$6:$B$300,$A376)+COUNTIF('Fox'!$B$6:$B$300,$A376)+COUNTIF('Bruna'!$B$6:$B$300,$A376)+COUNTIF('Stella'!$B$6:$B$300,$A376)+COUNTIF('Igor'!$B$6:$B$300,$A376))=0),"",(COUNTIFS('Clarice'!$B$6:$B$300,$A376,'Clarice'!$F$6:$F$300,"Concluído")+COUNTIFS('Luisa'!$B$6:$B$300,$A376,'Luisa'!$F$6:$F$300,"Concluído")+COUNTIFS('Lui'!$B$6:$B$300,$A376,'Lui'!$F$6:$F$300,"Concluído")+COUNTIFS('Thaís'!$B$6:$B$300,$A376,'Thaís'!$F$6:$F$300,"Concluído")+COUNTIFS('Daniel'!$B$6:$B$300,$A376,'Daniel'!$F$6:$F$300,"Concluído")+COUNTIFS('Fernando'!$B$6:$B$300,$A376,'Fernando'!$F$6:$F$300,"Concluído")+COUNTIFS('Stephanie'!$B$6:$B$300,$A376,'Stephanie'!$F$6:$F$300,"Concluído")+COUNTIFS('Fox'!$B$6:$B$300,$A376,'Fox'!$F$6:$F$300,"Concluído")+COUNTIFS('Bruna'!$B$6:$B$300,$A376,'Bruna'!$F$6:$F$300,"Concluído")+COUNTIFS('Stella'!$B$6:$B$300,$A376,'Stella'!$F$6:$F$300,"Concluído")+COUNTIFS('Igor'!$B$6:$B$300,$A376,'Igor'!$F$6:$F$300,"Concluído"))&amp;" / "&amp;(COUNTIF('Clarice'!$B$6:$B$300,$A376)+COUNTIF('Luisa'!$B$6:$B$300,$A376)+COUNTIF('Lui'!$B$6:$B$300,$A376)+COUNTIF('Thaís'!$B$6:$B$300,$A376)+COUNTIF('Daniel'!$B$6:$B$300,$A376)+COUNTIF('Fernando'!$B$6:$B$300,$A376)+COUNTIF('Stephanie'!$B$6:$B$300,$A376)+COUNTIF('Fox'!$B$6:$B$300,$A376)+COUNTIF('Bruna'!$B$6:$B$300,$A376)+COUNTIF('Stella'!$B$6:$B$300,$A376)+COUNTIF('Igor'!$B$6:$B$300,$A376)))</f>
        <v/>
      </c>
      <c r="P376" s="25">
        <f>IF($A376="","",IF(M376&lt;&gt;"",M376,IF(K376&lt;&gt;"",K376,"")))</f>
        <v/>
      </c>
      <c r="Q376" s="25">
        <f>IF($A376="","",IF(N376&lt;&gt;"",N376,IF(L376&lt;&gt;"",L376,"")))</f>
        <v/>
      </c>
      <c r="S376" s="23">
        <f t="array" ref="S376">IF($A376="","",_xlfn.TEXTJOIN(CHAR(10),TRUE,IF('Clarice'!$B$6:$B$300=$A376,"Clarice"&amp;IF('Clarice'!$E$6:$E$300="",""," : "&amp;'Clarice'!$E$6:$E$300)&amp;" ["&amp;'Clarice'!$F$6:$F$300&amp;"]",""),IF('Luisa'!$B$6:$B$300=$A376,"Luisa"&amp;IF('Luisa'!$E$6:$E$300="",""," : "&amp;'Luisa'!$E$6:$E$300)&amp;" ["&amp;'Luisa'!$F$6:$F$300&amp;"]",""),IF('Lui'!$B$6:$B$300=$A376,"Lui"&amp;IF('Lui'!$E$6:$E$300="",""," : "&amp;'Lui'!$E$6:$E$300)&amp;" ["&amp;'Lui'!$F$6:$F$300&amp;"]",""),IF('Thaís'!$B$6:$B$300=$A376,"Thaís"&amp;IF('Thaís'!$E$6:$E$300="",""," : "&amp;'Thaís'!$E$6:$E$300)&amp;" ["&amp;'Thaís'!$F$6:$F$300&amp;"]",""),IF('Daniel'!$B$6:$B$300=$A376,"Daniel"&amp;IF('Daniel'!$E$6:$E$300="",""," : "&amp;'Daniel'!$E$6:$E$300)&amp;" ["&amp;'Daniel'!$F$6:$F$300&amp;"]",""),IF('Fernando'!$B$6:$B$300=$A376,"Fernando"&amp;IF('Fernando'!$E$6:$E$300="",""," : "&amp;'Fernando'!$E$6:$E$300)&amp;" ["&amp;'Fernando'!$F$6:$F$300&amp;"]",""),IF('Stephanie'!$B$6:$B$300=$A376,"Stephanie"&amp;IF('Stephanie'!$E$6:$E$300="",""," : "&amp;'Stephanie'!$E$6:$E$300)&amp;" ["&amp;'Stephanie'!$F$6:$F$300&amp;"]",""),IF('Fox'!$B$6:$B$300=$A376,"Fox"&amp;IF('Fox'!$E$6:$E$300="",""," : "&amp;'Fox'!$E$6:$E$300)&amp;" ["&amp;'Fox'!$F$6:$F$300&amp;"]",""),IF('Bruna'!$B$6:$B$300=$A376,"Bruna"&amp;IF('Bruna'!$E$6:$E$300="",""," : "&amp;'Bruna'!$E$6:$E$300)&amp;" ["&amp;'Bruna'!$F$6:$F$300&amp;"]",""),IF('Stella'!$B$6:$B$300=$A376,"Stella"&amp;IF('Stella'!$E$6:$E$300="",""," : "&amp;'Stella'!$E$6:$E$300)&amp;" ["&amp;'Stella'!$F$6:$F$300&amp;"]",""),IF('Igor'!$B$6:$B$300=$A376,"Igor"&amp;IF('Igor'!$E$6:$E$300="",""," : "&amp;'Igor'!$E$6:$E$300)&amp;" ["&amp;'Igor'!$F$6:$F$300&amp;"]","")))</f>
        <v/>
      </c>
    </row>
    <row r="377">
      <c r="G377" s="23">
        <f>IF($A377="","",_xlfn.TEXTJOIN("; ",TRUE,IF(COUNTIF('Clarice'!$B$6:$B$300,$A377)&gt;0,"Clarice",""),IF(COUNTIF('Luisa'!$B$6:$B$300,$A377)&gt;0,"Luisa",""),IF(COUNTIF('Lui'!$B$6:$B$300,$A377)&gt;0,"Lui",""),IF(COUNTIF('Thaís'!$B$6:$B$300,$A377)&gt;0,"Thaís",""),IF(COUNTIF('Daniel'!$B$6:$B$300,$A377)&gt;0,"Daniel",""),IF(COUNTIF('Fernando'!$B$6:$B$300,$A377)&gt;0,"Fernando",""),IF(COUNTIF('Stephanie'!$B$6:$B$300,$A377)&gt;0,"Stephanie",""),IF(COUNTIF('Fox'!$B$6:$B$300,$A377)&gt;0,"Fox",""),IF(COUNTIF('Bruna'!$B$6:$B$300,$A377)&gt;0,"Bruna",""),IF(COUNTIF('Stella'!$B$6:$B$300,$A377)&gt;0,"Stella",""),IF(COUNTIF('Igor'!$B$6:$B$300,$A377)&gt;0,"Igor","")))</f>
        <v/>
      </c>
      <c r="J377" s="24">
        <f>IF(OR($A377="",(COUNTIF('Clarice'!$B$6:$B$300,$A377)+COUNTIF('Luisa'!$B$6:$B$300,$A377)+COUNTIF('Lui'!$B$6:$B$300,$A377)+COUNTIF('Thaís'!$B$6:$B$300,$A377)+COUNTIF('Daniel'!$B$6:$B$300,$A377)+COUNTIF('Fernando'!$B$6:$B$300,$A377)+COUNTIF('Stephanie'!$B$6:$B$300,$A377)+COUNTIF('Fox'!$B$6:$B$300,$A377)+COUNTIF('Bruna'!$B$6:$B$300,$A377)+COUNTIF('Stella'!$B$6:$B$300,$A377)+COUNTIF('Igor'!$B$6:$B$300,$A377))=0),"",(COUNTIFS('Clarice'!$B$6:$B$300,$A377,'Clarice'!$F$6:$F$300,"Concluído")+COUNTIFS('Luisa'!$B$6:$B$300,$A377,'Luisa'!$F$6:$F$300,"Concluído")+COUNTIFS('Lui'!$B$6:$B$300,$A377,'Lui'!$F$6:$F$300,"Concluído")+COUNTIFS('Thaís'!$B$6:$B$300,$A377,'Thaís'!$F$6:$F$300,"Concluído")+COUNTIFS('Daniel'!$B$6:$B$300,$A377,'Daniel'!$F$6:$F$300,"Concluído")+COUNTIFS('Fernando'!$B$6:$B$300,$A377,'Fernando'!$F$6:$F$300,"Concluído")+COUNTIFS('Stephanie'!$B$6:$B$300,$A377,'Stephanie'!$F$6:$F$300,"Concluído")+COUNTIFS('Fox'!$B$6:$B$300,$A377,'Fox'!$F$6:$F$300,"Concluído")+COUNTIFS('Bruna'!$B$6:$B$300,$A377,'Bruna'!$F$6:$F$300,"Concluído")+COUNTIFS('Stella'!$B$6:$B$300,$A377,'Stella'!$F$6:$F$300,"Concluído")+COUNTIFS('Igor'!$B$6:$B$300,$A377,'Igor'!$F$6:$F$300,"Concluído"))&amp;" / "&amp;(COUNTIF('Clarice'!$B$6:$B$300,$A377)+COUNTIF('Luisa'!$B$6:$B$300,$A377)+COUNTIF('Lui'!$B$6:$B$300,$A377)+COUNTIF('Thaís'!$B$6:$B$300,$A377)+COUNTIF('Daniel'!$B$6:$B$300,$A377)+COUNTIF('Fernando'!$B$6:$B$300,$A377)+COUNTIF('Stephanie'!$B$6:$B$300,$A377)+COUNTIF('Fox'!$B$6:$B$300,$A377)+COUNTIF('Bruna'!$B$6:$B$300,$A377)+COUNTIF('Stella'!$B$6:$B$300,$A377)+COUNTIF('Igor'!$B$6:$B$300,$A377)))</f>
        <v/>
      </c>
      <c r="P377" s="25">
        <f>IF($A377="","",IF(M377&lt;&gt;"",M377,IF(K377&lt;&gt;"",K377,"")))</f>
        <v/>
      </c>
      <c r="Q377" s="25">
        <f>IF($A377="","",IF(N377&lt;&gt;"",N377,IF(L377&lt;&gt;"",L377,"")))</f>
        <v/>
      </c>
      <c r="S377" s="23">
        <f t="array" ref="S377">IF($A377="","",_xlfn.TEXTJOIN(CHAR(10),TRUE,IF('Clarice'!$B$6:$B$300=$A377,"Clarice"&amp;IF('Clarice'!$E$6:$E$300="",""," : "&amp;'Clarice'!$E$6:$E$300)&amp;" ["&amp;'Clarice'!$F$6:$F$300&amp;"]",""),IF('Luisa'!$B$6:$B$300=$A377,"Luisa"&amp;IF('Luisa'!$E$6:$E$300="",""," : "&amp;'Luisa'!$E$6:$E$300)&amp;" ["&amp;'Luisa'!$F$6:$F$300&amp;"]",""),IF('Lui'!$B$6:$B$300=$A377,"Lui"&amp;IF('Lui'!$E$6:$E$300="",""," : "&amp;'Lui'!$E$6:$E$300)&amp;" ["&amp;'Lui'!$F$6:$F$300&amp;"]",""),IF('Thaís'!$B$6:$B$300=$A377,"Thaís"&amp;IF('Thaís'!$E$6:$E$300="",""," : "&amp;'Thaís'!$E$6:$E$300)&amp;" ["&amp;'Thaís'!$F$6:$F$300&amp;"]",""),IF('Daniel'!$B$6:$B$300=$A377,"Daniel"&amp;IF('Daniel'!$E$6:$E$300="",""," : "&amp;'Daniel'!$E$6:$E$300)&amp;" ["&amp;'Daniel'!$F$6:$F$300&amp;"]",""),IF('Fernando'!$B$6:$B$300=$A377,"Fernando"&amp;IF('Fernando'!$E$6:$E$300="",""," : "&amp;'Fernando'!$E$6:$E$300)&amp;" ["&amp;'Fernando'!$F$6:$F$300&amp;"]",""),IF('Stephanie'!$B$6:$B$300=$A377,"Stephanie"&amp;IF('Stephanie'!$E$6:$E$300="",""," : "&amp;'Stephanie'!$E$6:$E$300)&amp;" ["&amp;'Stephanie'!$F$6:$F$300&amp;"]",""),IF('Fox'!$B$6:$B$300=$A377,"Fox"&amp;IF('Fox'!$E$6:$E$300="",""," : "&amp;'Fox'!$E$6:$E$300)&amp;" ["&amp;'Fox'!$F$6:$F$300&amp;"]",""),IF('Bruna'!$B$6:$B$300=$A377,"Bruna"&amp;IF('Bruna'!$E$6:$E$300="",""," : "&amp;'Bruna'!$E$6:$E$300)&amp;" ["&amp;'Bruna'!$F$6:$F$300&amp;"]",""),IF('Stella'!$B$6:$B$300=$A377,"Stella"&amp;IF('Stella'!$E$6:$E$300="",""," : "&amp;'Stella'!$E$6:$E$300)&amp;" ["&amp;'Stella'!$F$6:$F$300&amp;"]",""),IF('Igor'!$B$6:$B$300=$A377,"Igor"&amp;IF('Igor'!$E$6:$E$300="",""," : "&amp;'Igor'!$E$6:$E$300)&amp;" ["&amp;'Igor'!$F$6:$F$300&amp;"]","")))</f>
        <v/>
      </c>
    </row>
    <row r="378">
      <c r="G378" s="23">
        <f>IF($A378="","",_xlfn.TEXTJOIN("; ",TRUE,IF(COUNTIF('Clarice'!$B$6:$B$300,$A378)&gt;0,"Clarice",""),IF(COUNTIF('Luisa'!$B$6:$B$300,$A378)&gt;0,"Luisa",""),IF(COUNTIF('Lui'!$B$6:$B$300,$A378)&gt;0,"Lui",""),IF(COUNTIF('Thaís'!$B$6:$B$300,$A378)&gt;0,"Thaís",""),IF(COUNTIF('Daniel'!$B$6:$B$300,$A378)&gt;0,"Daniel",""),IF(COUNTIF('Fernando'!$B$6:$B$300,$A378)&gt;0,"Fernando",""),IF(COUNTIF('Stephanie'!$B$6:$B$300,$A378)&gt;0,"Stephanie",""),IF(COUNTIF('Fox'!$B$6:$B$300,$A378)&gt;0,"Fox",""),IF(COUNTIF('Bruna'!$B$6:$B$300,$A378)&gt;0,"Bruna",""),IF(COUNTIF('Stella'!$B$6:$B$300,$A378)&gt;0,"Stella",""),IF(COUNTIF('Igor'!$B$6:$B$300,$A378)&gt;0,"Igor","")))</f>
        <v/>
      </c>
      <c r="J378" s="24">
        <f>IF(OR($A378="",(COUNTIF('Clarice'!$B$6:$B$300,$A378)+COUNTIF('Luisa'!$B$6:$B$300,$A378)+COUNTIF('Lui'!$B$6:$B$300,$A378)+COUNTIF('Thaís'!$B$6:$B$300,$A378)+COUNTIF('Daniel'!$B$6:$B$300,$A378)+COUNTIF('Fernando'!$B$6:$B$300,$A378)+COUNTIF('Stephanie'!$B$6:$B$300,$A378)+COUNTIF('Fox'!$B$6:$B$300,$A378)+COUNTIF('Bruna'!$B$6:$B$300,$A378)+COUNTIF('Stella'!$B$6:$B$300,$A378)+COUNTIF('Igor'!$B$6:$B$300,$A378))=0),"",(COUNTIFS('Clarice'!$B$6:$B$300,$A378,'Clarice'!$F$6:$F$300,"Concluído")+COUNTIFS('Luisa'!$B$6:$B$300,$A378,'Luisa'!$F$6:$F$300,"Concluído")+COUNTIFS('Lui'!$B$6:$B$300,$A378,'Lui'!$F$6:$F$300,"Concluído")+COUNTIFS('Thaís'!$B$6:$B$300,$A378,'Thaís'!$F$6:$F$300,"Concluído")+COUNTIFS('Daniel'!$B$6:$B$300,$A378,'Daniel'!$F$6:$F$300,"Concluído")+COUNTIFS('Fernando'!$B$6:$B$300,$A378,'Fernando'!$F$6:$F$300,"Concluído")+COUNTIFS('Stephanie'!$B$6:$B$300,$A378,'Stephanie'!$F$6:$F$300,"Concluído")+COUNTIFS('Fox'!$B$6:$B$300,$A378,'Fox'!$F$6:$F$300,"Concluído")+COUNTIFS('Bruna'!$B$6:$B$300,$A378,'Bruna'!$F$6:$F$300,"Concluído")+COUNTIFS('Stella'!$B$6:$B$300,$A378,'Stella'!$F$6:$F$300,"Concluído")+COUNTIFS('Igor'!$B$6:$B$300,$A378,'Igor'!$F$6:$F$300,"Concluído"))&amp;" / "&amp;(COUNTIF('Clarice'!$B$6:$B$300,$A378)+COUNTIF('Luisa'!$B$6:$B$300,$A378)+COUNTIF('Lui'!$B$6:$B$300,$A378)+COUNTIF('Thaís'!$B$6:$B$300,$A378)+COUNTIF('Daniel'!$B$6:$B$300,$A378)+COUNTIF('Fernando'!$B$6:$B$300,$A378)+COUNTIF('Stephanie'!$B$6:$B$300,$A378)+COUNTIF('Fox'!$B$6:$B$300,$A378)+COUNTIF('Bruna'!$B$6:$B$300,$A378)+COUNTIF('Stella'!$B$6:$B$300,$A378)+COUNTIF('Igor'!$B$6:$B$300,$A378)))</f>
        <v/>
      </c>
      <c r="P378" s="25">
        <f>IF($A378="","",IF(M378&lt;&gt;"",M378,IF(K378&lt;&gt;"",K378,"")))</f>
        <v/>
      </c>
      <c r="Q378" s="25">
        <f>IF($A378="","",IF(N378&lt;&gt;"",N378,IF(L378&lt;&gt;"",L378,"")))</f>
        <v/>
      </c>
      <c r="S378" s="23">
        <f t="array" ref="S378">IF($A378="","",_xlfn.TEXTJOIN(CHAR(10),TRUE,IF('Clarice'!$B$6:$B$300=$A378,"Clarice"&amp;IF('Clarice'!$E$6:$E$300="",""," : "&amp;'Clarice'!$E$6:$E$300)&amp;" ["&amp;'Clarice'!$F$6:$F$300&amp;"]",""),IF('Luisa'!$B$6:$B$300=$A378,"Luisa"&amp;IF('Luisa'!$E$6:$E$300="",""," : "&amp;'Luisa'!$E$6:$E$300)&amp;" ["&amp;'Luisa'!$F$6:$F$300&amp;"]",""),IF('Lui'!$B$6:$B$300=$A378,"Lui"&amp;IF('Lui'!$E$6:$E$300="",""," : "&amp;'Lui'!$E$6:$E$300)&amp;" ["&amp;'Lui'!$F$6:$F$300&amp;"]",""),IF('Thaís'!$B$6:$B$300=$A378,"Thaís"&amp;IF('Thaís'!$E$6:$E$300="",""," : "&amp;'Thaís'!$E$6:$E$300)&amp;" ["&amp;'Thaís'!$F$6:$F$300&amp;"]",""),IF('Daniel'!$B$6:$B$300=$A378,"Daniel"&amp;IF('Daniel'!$E$6:$E$300="",""," : "&amp;'Daniel'!$E$6:$E$300)&amp;" ["&amp;'Daniel'!$F$6:$F$300&amp;"]",""),IF('Fernando'!$B$6:$B$300=$A378,"Fernando"&amp;IF('Fernando'!$E$6:$E$300="",""," : "&amp;'Fernando'!$E$6:$E$300)&amp;" ["&amp;'Fernando'!$F$6:$F$300&amp;"]",""),IF('Stephanie'!$B$6:$B$300=$A378,"Stephanie"&amp;IF('Stephanie'!$E$6:$E$300="",""," : "&amp;'Stephanie'!$E$6:$E$300)&amp;" ["&amp;'Stephanie'!$F$6:$F$300&amp;"]",""),IF('Fox'!$B$6:$B$300=$A378,"Fox"&amp;IF('Fox'!$E$6:$E$300="",""," : "&amp;'Fox'!$E$6:$E$300)&amp;" ["&amp;'Fox'!$F$6:$F$300&amp;"]",""),IF('Bruna'!$B$6:$B$300=$A378,"Bruna"&amp;IF('Bruna'!$E$6:$E$300="",""," : "&amp;'Bruna'!$E$6:$E$300)&amp;" ["&amp;'Bruna'!$F$6:$F$300&amp;"]",""),IF('Stella'!$B$6:$B$300=$A378,"Stella"&amp;IF('Stella'!$E$6:$E$300="",""," : "&amp;'Stella'!$E$6:$E$300)&amp;" ["&amp;'Stella'!$F$6:$F$300&amp;"]",""),IF('Igor'!$B$6:$B$300=$A378,"Igor"&amp;IF('Igor'!$E$6:$E$300="",""," : "&amp;'Igor'!$E$6:$E$300)&amp;" ["&amp;'Igor'!$F$6:$F$300&amp;"]","")))</f>
        <v/>
      </c>
    </row>
    <row r="379">
      <c r="G379" s="23">
        <f>IF($A379="","",_xlfn.TEXTJOIN("; ",TRUE,IF(COUNTIF('Clarice'!$B$6:$B$300,$A379)&gt;0,"Clarice",""),IF(COUNTIF('Luisa'!$B$6:$B$300,$A379)&gt;0,"Luisa",""),IF(COUNTIF('Lui'!$B$6:$B$300,$A379)&gt;0,"Lui",""),IF(COUNTIF('Thaís'!$B$6:$B$300,$A379)&gt;0,"Thaís",""),IF(COUNTIF('Daniel'!$B$6:$B$300,$A379)&gt;0,"Daniel",""),IF(COUNTIF('Fernando'!$B$6:$B$300,$A379)&gt;0,"Fernando",""),IF(COUNTIF('Stephanie'!$B$6:$B$300,$A379)&gt;0,"Stephanie",""),IF(COUNTIF('Fox'!$B$6:$B$300,$A379)&gt;0,"Fox",""),IF(COUNTIF('Bruna'!$B$6:$B$300,$A379)&gt;0,"Bruna",""),IF(COUNTIF('Stella'!$B$6:$B$300,$A379)&gt;0,"Stella",""),IF(COUNTIF('Igor'!$B$6:$B$300,$A379)&gt;0,"Igor","")))</f>
        <v/>
      </c>
      <c r="J379" s="24">
        <f>IF(OR($A379="",(COUNTIF('Clarice'!$B$6:$B$300,$A379)+COUNTIF('Luisa'!$B$6:$B$300,$A379)+COUNTIF('Lui'!$B$6:$B$300,$A379)+COUNTIF('Thaís'!$B$6:$B$300,$A379)+COUNTIF('Daniel'!$B$6:$B$300,$A379)+COUNTIF('Fernando'!$B$6:$B$300,$A379)+COUNTIF('Stephanie'!$B$6:$B$300,$A379)+COUNTIF('Fox'!$B$6:$B$300,$A379)+COUNTIF('Bruna'!$B$6:$B$300,$A379)+COUNTIF('Stella'!$B$6:$B$300,$A379)+COUNTIF('Igor'!$B$6:$B$300,$A379))=0),"",(COUNTIFS('Clarice'!$B$6:$B$300,$A379,'Clarice'!$F$6:$F$300,"Concluído")+COUNTIFS('Luisa'!$B$6:$B$300,$A379,'Luisa'!$F$6:$F$300,"Concluído")+COUNTIFS('Lui'!$B$6:$B$300,$A379,'Lui'!$F$6:$F$300,"Concluído")+COUNTIFS('Thaís'!$B$6:$B$300,$A379,'Thaís'!$F$6:$F$300,"Concluído")+COUNTIFS('Daniel'!$B$6:$B$300,$A379,'Daniel'!$F$6:$F$300,"Concluído")+COUNTIFS('Fernando'!$B$6:$B$300,$A379,'Fernando'!$F$6:$F$300,"Concluído")+COUNTIFS('Stephanie'!$B$6:$B$300,$A379,'Stephanie'!$F$6:$F$300,"Concluído")+COUNTIFS('Fox'!$B$6:$B$300,$A379,'Fox'!$F$6:$F$300,"Concluído")+COUNTIFS('Bruna'!$B$6:$B$300,$A379,'Bruna'!$F$6:$F$300,"Concluído")+COUNTIFS('Stella'!$B$6:$B$300,$A379,'Stella'!$F$6:$F$300,"Concluído")+COUNTIFS('Igor'!$B$6:$B$300,$A379,'Igor'!$F$6:$F$300,"Concluído"))&amp;" / "&amp;(COUNTIF('Clarice'!$B$6:$B$300,$A379)+COUNTIF('Luisa'!$B$6:$B$300,$A379)+COUNTIF('Lui'!$B$6:$B$300,$A379)+COUNTIF('Thaís'!$B$6:$B$300,$A379)+COUNTIF('Daniel'!$B$6:$B$300,$A379)+COUNTIF('Fernando'!$B$6:$B$300,$A379)+COUNTIF('Stephanie'!$B$6:$B$300,$A379)+COUNTIF('Fox'!$B$6:$B$300,$A379)+COUNTIF('Bruna'!$B$6:$B$300,$A379)+COUNTIF('Stella'!$B$6:$B$300,$A379)+COUNTIF('Igor'!$B$6:$B$300,$A379)))</f>
        <v/>
      </c>
      <c r="P379" s="25">
        <f>IF($A379="","",IF(M379&lt;&gt;"",M379,IF(K379&lt;&gt;"",K379,"")))</f>
        <v/>
      </c>
      <c r="Q379" s="25">
        <f>IF($A379="","",IF(N379&lt;&gt;"",N379,IF(L379&lt;&gt;"",L379,"")))</f>
        <v/>
      </c>
      <c r="S379" s="23">
        <f t="array" ref="S379">IF($A379="","",_xlfn.TEXTJOIN(CHAR(10),TRUE,IF('Clarice'!$B$6:$B$300=$A379,"Clarice"&amp;IF('Clarice'!$E$6:$E$300="",""," : "&amp;'Clarice'!$E$6:$E$300)&amp;" ["&amp;'Clarice'!$F$6:$F$300&amp;"]",""),IF('Luisa'!$B$6:$B$300=$A379,"Luisa"&amp;IF('Luisa'!$E$6:$E$300="",""," : "&amp;'Luisa'!$E$6:$E$300)&amp;" ["&amp;'Luisa'!$F$6:$F$300&amp;"]",""),IF('Lui'!$B$6:$B$300=$A379,"Lui"&amp;IF('Lui'!$E$6:$E$300="",""," : "&amp;'Lui'!$E$6:$E$300)&amp;" ["&amp;'Lui'!$F$6:$F$300&amp;"]",""),IF('Thaís'!$B$6:$B$300=$A379,"Thaís"&amp;IF('Thaís'!$E$6:$E$300="",""," : "&amp;'Thaís'!$E$6:$E$300)&amp;" ["&amp;'Thaís'!$F$6:$F$300&amp;"]",""),IF('Daniel'!$B$6:$B$300=$A379,"Daniel"&amp;IF('Daniel'!$E$6:$E$300="",""," : "&amp;'Daniel'!$E$6:$E$300)&amp;" ["&amp;'Daniel'!$F$6:$F$300&amp;"]",""),IF('Fernando'!$B$6:$B$300=$A379,"Fernando"&amp;IF('Fernando'!$E$6:$E$300="",""," : "&amp;'Fernando'!$E$6:$E$300)&amp;" ["&amp;'Fernando'!$F$6:$F$300&amp;"]",""),IF('Stephanie'!$B$6:$B$300=$A379,"Stephanie"&amp;IF('Stephanie'!$E$6:$E$300="",""," : "&amp;'Stephanie'!$E$6:$E$300)&amp;" ["&amp;'Stephanie'!$F$6:$F$300&amp;"]",""),IF('Fox'!$B$6:$B$300=$A379,"Fox"&amp;IF('Fox'!$E$6:$E$300="",""," : "&amp;'Fox'!$E$6:$E$300)&amp;" ["&amp;'Fox'!$F$6:$F$300&amp;"]",""),IF('Bruna'!$B$6:$B$300=$A379,"Bruna"&amp;IF('Bruna'!$E$6:$E$300="",""," : "&amp;'Bruna'!$E$6:$E$300)&amp;" ["&amp;'Bruna'!$F$6:$F$300&amp;"]",""),IF('Stella'!$B$6:$B$300=$A379,"Stella"&amp;IF('Stella'!$E$6:$E$300="",""," : "&amp;'Stella'!$E$6:$E$300)&amp;" ["&amp;'Stella'!$F$6:$F$300&amp;"]",""),IF('Igor'!$B$6:$B$300=$A379,"Igor"&amp;IF('Igor'!$E$6:$E$300="",""," : "&amp;'Igor'!$E$6:$E$300)&amp;" ["&amp;'Igor'!$F$6:$F$300&amp;"]","")))</f>
        <v/>
      </c>
    </row>
    <row r="380">
      <c r="G380" s="23">
        <f>IF($A380="","",_xlfn.TEXTJOIN("; ",TRUE,IF(COUNTIF('Clarice'!$B$6:$B$300,$A380)&gt;0,"Clarice",""),IF(COUNTIF('Luisa'!$B$6:$B$300,$A380)&gt;0,"Luisa",""),IF(COUNTIF('Lui'!$B$6:$B$300,$A380)&gt;0,"Lui",""),IF(COUNTIF('Thaís'!$B$6:$B$300,$A380)&gt;0,"Thaís",""),IF(COUNTIF('Daniel'!$B$6:$B$300,$A380)&gt;0,"Daniel",""),IF(COUNTIF('Fernando'!$B$6:$B$300,$A380)&gt;0,"Fernando",""),IF(COUNTIF('Stephanie'!$B$6:$B$300,$A380)&gt;0,"Stephanie",""),IF(COUNTIF('Fox'!$B$6:$B$300,$A380)&gt;0,"Fox",""),IF(COUNTIF('Bruna'!$B$6:$B$300,$A380)&gt;0,"Bruna",""),IF(COUNTIF('Stella'!$B$6:$B$300,$A380)&gt;0,"Stella",""),IF(COUNTIF('Igor'!$B$6:$B$300,$A380)&gt;0,"Igor","")))</f>
        <v/>
      </c>
      <c r="J380" s="24">
        <f>IF(OR($A380="",(COUNTIF('Clarice'!$B$6:$B$300,$A380)+COUNTIF('Luisa'!$B$6:$B$300,$A380)+COUNTIF('Lui'!$B$6:$B$300,$A380)+COUNTIF('Thaís'!$B$6:$B$300,$A380)+COUNTIF('Daniel'!$B$6:$B$300,$A380)+COUNTIF('Fernando'!$B$6:$B$300,$A380)+COUNTIF('Stephanie'!$B$6:$B$300,$A380)+COUNTIF('Fox'!$B$6:$B$300,$A380)+COUNTIF('Bruna'!$B$6:$B$300,$A380)+COUNTIF('Stella'!$B$6:$B$300,$A380)+COUNTIF('Igor'!$B$6:$B$300,$A380))=0),"",(COUNTIFS('Clarice'!$B$6:$B$300,$A380,'Clarice'!$F$6:$F$300,"Concluído")+COUNTIFS('Luisa'!$B$6:$B$300,$A380,'Luisa'!$F$6:$F$300,"Concluído")+COUNTIFS('Lui'!$B$6:$B$300,$A380,'Lui'!$F$6:$F$300,"Concluído")+COUNTIFS('Thaís'!$B$6:$B$300,$A380,'Thaís'!$F$6:$F$300,"Concluído")+COUNTIFS('Daniel'!$B$6:$B$300,$A380,'Daniel'!$F$6:$F$300,"Concluído")+COUNTIFS('Fernando'!$B$6:$B$300,$A380,'Fernando'!$F$6:$F$300,"Concluído")+COUNTIFS('Stephanie'!$B$6:$B$300,$A380,'Stephanie'!$F$6:$F$300,"Concluído")+COUNTIFS('Fox'!$B$6:$B$300,$A380,'Fox'!$F$6:$F$300,"Concluído")+COUNTIFS('Bruna'!$B$6:$B$300,$A380,'Bruna'!$F$6:$F$300,"Concluído")+COUNTIFS('Stella'!$B$6:$B$300,$A380,'Stella'!$F$6:$F$300,"Concluído")+COUNTIFS('Igor'!$B$6:$B$300,$A380,'Igor'!$F$6:$F$300,"Concluído"))&amp;" / "&amp;(COUNTIF('Clarice'!$B$6:$B$300,$A380)+COUNTIF('Luisa'!$B$6:$B$300,$A380)+COUNTIF('Lui'!$B$6:$B$300,$A380)+COUNTIF('Thaís'!$B$6:$B$300,$A380)+COUNTIF('Daniel'!$B$6:$B$300,$A380)+COUNTIF('Fernando'!$B$6:$B$300,$A380)+COUNTIF('Stephanie'!$B$6:$B$300,$A380)+COUNTIF('Fox'!$B$6:$B$300,$A380)+COUNTIF('Bruna'!$B$6:$B$300,$A380)+COUNTIF('Stella'!$B$6:$B$300,$A380)+COUNTIF('Igor'!$B$6:$B$300,$A380)))</f>
        <v/>
      </c>
      <c r="P380" s="25">
        <f>IF($A380="","",IF(M380&lt;&gt;"",M380,IF(K380&lt;&gt;"",K380,"")))</f>
        <v/>
      </c>
      <c r="Q380" s="25">
        <f>IF($A380="","",IF(N380&lt;&gt;"",N380,IF(L380&lt;&gt;"",L380,"")))</f>
        <v/>
      </c>
      <c r="S380" s="23">
        <f t="array" ref="S380">IF($A380="","",_xlfn.TEXTJOIN(CHAR(10),TRUE,IF('Clarice'!$B$6:$B$300=$A380,"Clarice"&amp;IF('Clarice'!$E$6:$E$300="",""," : "&amp;'Clarice'!$E$6:$E$300)&amp;" ["&amp;'Clarice'!$F$6:$F$300&amp;"]",""),IF('Luisa'!$B$6:$B$300=$A380,"Luisa"&amp;IF('Luisa'!$E$6:$E$300="",""," : "&amp;'Luisa'!$E$6:$E$300)&amp;" ["&amp;'Luisa'!$F$6:$F$300&amp;"]",""),IF('Lui'!$B$6:$B$300=$A380,"Lui"&amp;IF('Lui'!$E$6:$E$300="",""," : "&amp;'Lui'!$E$6:$E$300)&amp;" ["&amp;'Lui'!$F$6:$F$300&amp;"]",""),IF('Thaís'!$B$6:$B$300=$A380,"Thaís"&amp;IF('Thaís'!$E$6:$E$300="",""," : "&amp;'Thaís'!$E$6:$E$300)&amp;" ["&amp;'Thaís'!$F$6:$F$300&amp;"]",""),IF('Daniel'!$B$6:$B$300=$A380,"Daniel"&amp;IF('Daniel'!$E$6:$E$300="",""," : "&amp;'Daniel'!$E$6:$E$300)&amp;" ["&amp;'Daniel'!$F$6:$F$300&amp;"]",""),IF('Fernando'!$B$6:$B$300=$A380,"Fernando"&amp;IF('Fernando'!$E$6:$E$300="",""," : "&amp;'Fernando'!$E$6:$E$300)&amp;" ["&amp;'Fernando'!$F$6:$F$300&amp;"]",""),IF('Stephanie'!$B$6:$B$300=$A380,"Stephanie"&amp;IF('Stephanie'!$E$6:$E$300="",""," : "&amp;'Stephanie'!$E$6:$E$300)&amp;" ["&amp;'Stephanie'!$F$6:$F$300&amp;"]",""),IF('Fox'!$B$6:$B$300=$A380,"Fox"&amp;IF('Fox'!$E$6:$E$300="",""," : "&amp;'Fox'!$E$6:$E$300)&amp;" ["&amp;'Fox'!$F$6:$F$300&amp;"]",""),IF('Bruna'!$B$6:$B$300=$A380,"Bruna"&amp;IF('Bruna'!$E$6:$E$300="",""," : "&amp;'Bruna'!$E$6:$E$300)&amp;" ["&amp;'Bruna'!$F$6:$F$300&amp;"]",""),IF('Stella'!$B$6:$B$300=$A380,"Stella"&amp;IF('Stella'!$E$6:$E$300="",""," : "&amp;'Stella'!$E$6:$E$300)&amp;" ["&amp;'Stella'!$F$6:$F$300&amp;"]",""),IF('Igor'!$B$6:$B$300=$A380,"Igor"&amp;IF('Igor'!$E$6:$E$300="",""," : "&amp;'Igor'!$E$6:$E$300)&amp;" ["&amp;'Igor'!$F$6:$F$300&amp;"]","")))</f>
        <v/>
      </c>
    </row>
    <row r="381">
      <c r="G381" s="23">
        <f>IF($A381="","",_xlfn.TEXTJOIN("; ",TRUE,IF(COUNTIF('Clarice'!$B$6:$B$300,$A381)&gt;0,"Clarice",""),IF(COUNTIF('Luisa'!$B$6:$B$300,$A381)&gt;0,"Luisa",""),IF(COUNTIF('Lui'!$B$6:$B$300,$A381)&gt;0,"Lui",""),IF(COUNTIF('Thaís'!$B$6:$B$300,$A381)&gt;0,"Thaís",""),IF(COUNTIF('Daniel'!$B$6:$B$300,$A381)&gt;0,"Daniel",""),IF(COUNTIF('Fernando'!$B$6:$B$300,$A381)&gt;0,"Fernando",""),IF(COUNTIF('Stephanie'!$B$6:$B$300,$A381)&gt;0,"Stephanie",""),IF(COUNTIF('Fox'!$B$6:$B$300,$A381)&gt;0,"Fox",""),IF(COUNTIF('Bruna'!$B$6:$B$300,$A381)&gt;0,"Bruna",""),IF(COUNTIF('Stella'!$B$6:$B$300,$A381)&gt;0,"Stella",""),IF(COUNTIF('Igor'!$B$6:$B$300,$A381)&gt;0,"Igor","")))</f>
        <v/>
      </c>
      <c r="J381" s="24">
        <f>IF(OR($A381="",(COUNTIF('Clarice'!$B$6:$B$300,$A381)+COUNTIF('Luisa'!$B$6:$B$300,$A381)+COUNTIF('Lui'!$B$6:$B$300,$A381)+COUNTIF('Thaís'!$B$6:$B$300,$A381)+COUNTIF('Daniel'!$B$6:$B$300,$A381)+COUNTIF('Fernando'!$B$6:$B$300,$A381)+COUNTIF('Stephanie'!$B$6:$B$300,$A381)+COUNTIF('Fox'!$B$6:$B$300,$A381)+COUNTIF('Bruna'!$B$6:$B$300,$A381)+COUNTIF('Stella'!$B$6:$B$300,$A381)+COUNTIF('Igor'!$B$6:$B$300,$A381))=0),"",(COUNTIFS('Clarice'!$B$6:$B$300,$A381,'Clarice'!$F$6:$F$300,"Concluído")+COUNTIFS('Luisa'!$B$6:$B$300,$A381,'Luisa'!$F$6:$F$300,"Concluído")+COUNTIFS('Lui'!$B$6:$B$300,$A381,'Lui'!$F$6:$F$300,"Concluído")+COUNTIFS('Thaís'!$B$6:$B$300,$A381,'Thaís'!$F$6:$F$300,"Concluído")+COUNTIFS('Daniel'!$B$6:$B$300,$A381,'Daniel'!$F$6:$F$300,"Concluído")+COUNTIFS('Fernando'!$B$6:$B$300,$A381,'Fernando'!$F$6:$F$300,"Concluído")+COUNTIFS('Stephanie'!$B$6:$B$300,$A381,'Stephanie'!$F$6:$F$300,"Concluído")+COUNTIFS('Fox'!$B$6:$B$300,$A381,'Fox'!$F$6:$F$300,"Concluído")+COUNTIFS('Bruna'!$B$6:$B$300,$A381,'Bruna'!$F$6:$F$300,"Concluído")+COUNTIFS('Stella'!$B$6:$B$300,$A381,'Stella'!$F$6:$F$300,"Concluído")+COUNTIFS('Igor'!$B$6:$B$300,$A381,'Igor'!$F$6:$F$300,"Concluído"))&amp;" / "&amp;(COUNTIF('Clarice'!$B$6:$B$300,$A381)+COUNTIF('Luisa'!$B$6:$B$300,$A381)+COUNTIF('Lui'!$B$6:$B$300,$A381)+COUNTIF('Thaís'!$B$6:$B$300,$A381)+COUNTIF('Daniel'!$B$6:$B$300,$A381)+COUNTIF('Fernando'!$B$6:$B$300,$A381)+COUNTIF('Stephanie'!$B$6:$B$300,$A381)+COUNTIF('Fox'!$B$6:$B$300,$A381)+COUNTIF('Bruna'!$B$6:$B$300,$A381)+COUNTIF('Stella'!$B$6:$B$300,$A381)+COUNTIF('Igor'!$B$6:$B$300,$A381)))</f>
        <v/>
      </c>
      <c r="P381" s="25">
        <f>IF($A381="","",IF(M381&lt;&gt;"",M381,IF(K381&lt;&gt;"",K381,"")))</f>
        <v/>
      </c>
      <c r="Q381" s="25">
        <f>IF($A381="","",IF(N381&lt;&gt;"",N381,IF(L381&lt;&gt;"",L381,"")))</f>
        <v/>
      </c>
      <c r="S381" s="23">
        <f t="array" ref="S381">IF($A381="","",_xlfn.TEXTJOIN(CHAR(10),TRUE,IF('Clarice'!$B$6:$B$300=$A381,"Clarice"&amp;IF('Clarice'!$E$6:$E$300="",""," : "&amp;'Clarice'!$E$6:$E$300)&amp;" ["&amp;'Clarice'!$F$6:$F$300&amp;"]",""),IF('Luisa'!$B$6:$B$300=$A381,"Luisa"&amp;IF('Luisa'!$E$6:$E$300="",""," : "&amp;'Luisa'!$E$6:$E$300)&amp;" ["&amp;'Luisa'!$F$6:$F$300&amp;"]",""),IF('Lui'!$B$6:$B$300=$A381,"Lui"&amp;IF('Lui'!$E$6:$E$300="",""," : "&amp;'Lui'!$E$6:$E$300)&amp;" ["&amp;'Lui'!$F$6:$F$300&amp;"]",""),IF('Thaís'!$B$6:$B$300=$A381,"Thaís"&amp;IF('Thaís'!$E$6:$E$300="",""," : "&amp;'Thaís'!$E$6:$E$300)&amp;" ["&amp;'Thaís'!$F$6:$F$300&amp;"]",""),IF('Daniel'!$B$6:$B$300=$A381,"Daniel"&amp;IF('Daniel'!$E$6:$E$300="",""," : "&amp;'Daniel'!$E$6:$E$300)&amp;" ["&amp;'Daniel'!$F$6:$F$300&amp;"]",""),IF('Fernando'!$B$6:$B$300=$A381,"Fernando"&amp;IF('Fernando'!$E$6:$E$300="",""," : "&amp;'Fernando'!$E$6:$E$300)&amp;" ["&amp;'Fernando'!$F$6:$F$300&amp;"]",""),IF('Stephanie'!$B$6:$B$300=$A381,"Stephanie"&amp;IF('Stephanie'!$E$6:$E$300="",""," : "&amp;'Stephanie'!$E$6:$E$300)&amp;" ["&amp;'Stephanie'!$F$6:$F$300&amp;"]",""),IF('Fox'!$B$6:$B$300=$A381,"Fox"&amp;IF('Fox'!$E$6:$E$300="",""," : "&amp;'Fox'!$E$6:$E$300)&amp;" ["&amp;'Fox'!$F$6:$F$300&amp;"]",""),IF('Bruna'!$B$6:$B$300=$A381,"Bruna"&amp;IF('Bruna'!$E$6:$E$300="",""," : "&amp;'Bruna'!$E$6:$E$300)&amp;" ["&amp;'Bruna'!$F$6:$F$300&amp;"]",""),IF('Stella'!$B$6:$B$300=$A381,"Stella"&amp;IF('Stella'!$E$6:$E$300="",""," : "&amp;'Stella'!$E$6:$E$300)&amp;" ["&amp;'Stella'!$F$6:$F$300&amp;"]",""),IF('Igor'!$B$6:$B$300=$A381,"Igor"&amp;IF('Igor'!$E$6:$E$300="",""," : "&amp;'Igor'!$E$6:$E$300)&amp;" ["&amp;'Igor'!$F$6:$F$300&amp;"]","")))</f>
        <v/>
      </c>
    </row>
    <row r="382">
      <c r="G382" s="23">
        <f>IF($A382="","",_xlfn.TEXTJOIN("; ",TRUE,IF(COUNTIF('Clarice'!$B$6:$B$300,$A382)&gt;0,"Clarice",""),IF(COUNTIF('Luisa'!$B$6:$B$300,$A382)&gt;0,"Luisa",""),IF(COUNTIF('Lui'!$B$6:$B$300,$A382)&gt;0,"Lui",""),IF(COUNTIF('Thaís'!$B$6:$B$300,$A382)&gt;0,"Thaís",""),IF(COUNTIF('Daniel'!$B$6:$B$300,$A382)&gt;0,"Daniel",""),IF(COUNTIF('Fernando'!$B$6:$B$300,$A382)&gt;0,"Fernando",""),IF(COUNTIF('Stephanie'!$B$6:$B$300,$A382)&gt;0,"Stephanie",""),IF(COUNTIF('Fox'!$B$6:$B$300,$A382)&gt;0,"Fox",""),IF(COUNTIF('Bruna'!$B$6:$B$300,$A382)&gt;0,"Bruna",""),IF(COUNTIF('Stella'!$B$6:$B$300,$A382)&gt;0,"Stella",""),IF(COUNTIF('Igor'!$B$6:$B$300,$A382)&gt;0,"Igor","")))</f>
        <v/>
      </c>
      <c r="J382" s="24">
        <f>IF(OR($A382="",(COUNTIF('Clarice'!$B$6:$B$300,$A382)+COUNTIF('Luisa'!$B$6:$B$300,$A382)+COUNTIF('Lui'!$B$6:$B$300,$A382)+COUNTIF('Thaís'!$B$6:$B$300,$A382)+COUNTIF('Daniel'!$B$6:$B$300,$A382)+COUNTIF('Fernando'!$B$6:$B$300,$A382)+COUNTIF('Stephanie'!$B$6:$B$300,$A382)+COUNTIF('Fox'!$B$6:$B$300,$A382)+COUNTIF('Bruna'!$B$6:$B$300,$A382)+COUNTIF('Stella'!$B$6:$B$300,$A382)+COUNTIF('Igor'!$B$6:$B$300,$A382))=0),"",(COUNTIFS('Clarice'!$B$6:$B$300,$A382,'Clarice'!$F$6:$F$300,"Concluído")+COUNTIFS('Luisa'!$B$6:$B$300,$A382,'Luisa'!$F$6:$F$300,"Concluído")+COUNTIFS('Lui'!$B$6:$B$300,$A382,'Lui'!$F$6:$F$300,"Concluído")+COUNTIFS('Thaís'!$B$6:$B$300,$A382,'Thaís'!$F$6:$F$300,"Concluído")+COUNTIFS('Daniel'!$B$6:$B$300,$A382,'Daniel'!$F$6:$F$300,"Concluído")+COUNTIFS('Fernando'!$B$6:$B$300,$A382,'Fernando'!$F$6:$F$300,"Concluído")+COUNTIFS('Stephanie'!$B$6:$B$300,$A382,'Stephanie'!$F$6:$F$300,"Concluído")+COUNTIFS('Fox'!$B$6:$B$300,$A382,'Fox'!$F$6:$F$300,"Concluído")+COUNTIFS('Bruna'!$B$6:$B$300,$A382,'Bruna'!$F$6:$F$300,"Concluído")+COUNTIFS('Stella'!$B$6:$B$300,$A382,'Stella'!$F$6:$F$300,"Concluído")+COUNTIFS('Igor'!$B$6:$B$300,$A382,'Igor'!$F$6:$F$300,"Concluído"))&amp;" / "&amp;(COUNTIF('Clarice'!$B$6:$B$300,$A382)+COUNTIF('Luisa'!$B$6:$B$300,$A382)+COUNTIF('Lui'!$B$6:$B$300,$A382)+COUNTIF('Thaís'!$B$6:$B$300,$A382)+COUNTIF('Daniel'!$B$6:$B$300,$A382)+COUNTIF('Fernando'!$B$6:$B$300,$A382)+COUNTIF('Stephanie'!$B$6:$B$300,$A382)+COUNTIF('Fox'!$B$6:$B$300,$A382)+COUNTIF('Bruna'!$B$6:$B$300,$A382)+COUNTIF('Stella'!$B$6:$B$300,$A382)+COUNTIF('Igor'!$B$6:$B$300,$A382)))</f>
        <v/>
      </c>
      <c r="P382" s="25">
        <f>IF($A382="","",IF(M382&lt;&gt;"",M382,IF(K382&lt;&gt;"",K382,"")))</f>
        <v/>
      </c>
      <c r="Q382" s="25">
        <f>IF($A382="","",IF(N382&lt;&gt;"",N382,IF(L382&lt;&gt;"",L382,"")))</f>
        <v/>
      </c>
      <c r="S382" s="23">
        <f t="array" ref="S382">IF($A382="","",_xlfn.TEXTJOIN(CHAR(10),TRUE,IF('Clarice'!$B$6:$B$300=$A382,"Clarice"&amp;IF('Clarice'!$E$6:$E$300="",""," : "&amp;'Clarice'!$E$6:$E$300)&amp;" ["&amp;'Clarice'!$F$6:$F$300&amp;"]",""),IF('Luisa'!$B$6:$B$300=$A382,"Luisa"&amp;IF('Luisa'!$E$6:$E$300="",""," : "&amp;'Luisa'!$E$6:$E$300)&amp;" ["&amp;'Luisa'!$F$6:$F$300&amp;"]",""),IF('Lui'!$B$6:$B$300=$A382,"Lui"&amp;IF('Lui'!$E$6:$E$300="",""," : "&amp;'Lui'!$E$6:$E$300)&amp;" ["&amp;'Lui'!$F$6:$F$300&amp;"]",""),IF('Thaís'!$B$6:$B$300=$A382,"Thaís"&amp;IF('Thaís'!$E$6:$E$300="",""," : "&amp;'Thaís'!$E$6:$E$300)&amp;" ["&amp;'Thaís'!$F$6:$F$300&amp;"]",""),IF('Daniel'!$B$6:$B$300=$A382,"Daniel"&amp;IF('Daniel'!$E$6:$E$300="",""," : "&amp;'Daniel'!$E$6:$E$300)&amp;" ["&amp;'Daniel'!$F$6:$F$300&amp;"]",""),IF('Fernando'!$B$6:$B$300=$A382,"Fernando"&amp;IF('Fernando'!$E$6:$E$300="",""," : "&amp;'Fernando'!$E$6:$E$300)&amp;" ["&amp;'Fernando'!$F$6:$F$300&amp;"]",""),IF('Stephanie'!$B$6:$B$300=$A382,"Stephanie"&amp;IF('Stephanie'!$E$6:$E$300="",""," : "&amp;'Stephanie'!$E$6:$E$300)&amp;" ["&amp;'Stephanie'!$F$6:$F$300&amp;"]",""),IF('Fox'!$B$6:$B$300=$A382,"Fox"&amp;IF('Fox'!$E$6:$E$300="",""," : "&amp;'Fox'!$E$6:$E$300)&amp;" ["&amp;'Fox'!$F$6:$F$300&amp;"]",""),IF('Bruna'!$B$6:$B$300=$A382,"Bruna"&amp;IF('Bruna'!$E$6:$E$300="",""," : "&amp;'Bruna'!$E$6:$E$300)&amp;" ["&amp;'Bruna'!$F$6:$F$300&amp;"]",""),IF('Stella'!$B$6:$B$300=$A382,"Stella"&amp;IF('Stella'!$E$6:$E$300="",""," : "&amp;'Stella'!$E$6:$E$300)&amp;" ["&amp;'Stella'!$F$6:$F$300&amp;"]",""),IF('Igor'!$B$6:$B$300=$A382,"Igor"&amp;IF('Igor'!$E$6:$E$300="",""," : "&amp;'Igor'!$E$6:$E$300)&amp;" ["&amp;'Igor'!$F$6:$F$300&amp;"]","")))</f>
        <v/>
      </c>
    </row>
    <row r="383">
      <c r="G383" s="23">
        <f>IF($A383="","",_xlfn.TEXTJOIN("; ",TRUE,IF(COUNTIF('Clarice'!$B$6:$B$300,$A383)&gt;0,"Clarice",""),IF(COUNTIF('Luisa'!$B$6:$B$300,$A383)&gt;0,"Luisa",""),IF(COUNTIF('Lui'!$B$6:$B$300,$A383)&gt;0,"Lui",""),IF(COUNTIF('Thaís'!$B$6:$B$300,$A383)&gt;0,"Thaís",""),IF(COUNTIF('Daniel'!$B$6:$B$300,$A383)&gt;0,"Daniel",""),IF(COUNTIF('Fernando'!$B$6:$B$300,$A383)&gt;0,"Fernando",""),IF(COUNTIF('Stephanie'!$B$6:$B$300,$A383)&gt;0,"Stephanie",""),IF(COUNTIF('Fox'!$B$6:$B$300,$A383)&gt;0,"Fox",""),IF(COUNTIF('Bruna'!$B$6:$B$300,$A383)&gt;0,"Bruna",""),IF(COUNTIF('Stella'!$B$6:$B$300,$A383)&gt;0,"Stella",""),IF(COUNTIF('Igor'!$B$6:$B$300,$A383)&gt;0,"Igor","")))</f>
        <v/>
      </c>
      <c r="J383" s="24">
        <f>IF(OR($A383="",(COUNTIF('Clarice'!$B$6:$B$300,$A383)+COUNTIF('Luisa'!$B$6:$B$300,$A383)+COUNTIF('Lui'!$B$6:$B$300,$A383)+COUNTIF('Thaís'!$B$6:$B$300,$A383)+COUNTIF('Daniel'!$B$6:$B$300,$A383)+COUNTIF('Fernando'!$B$6:$B$300,$A383)+COUNTIF('Stephanie'!$B$6:$B$300,$A383)+COUNTIF('Fox'!$B$6:$B$300,$A383)+COUNTIF('Bruna'!$B$6:$B$300,$A383)+COUNTIF('Stella'!$B$6:$B$300,$A383)+COUNTIF('Igor'!$B$6:$B$300,$A383))=0),"",(COUNTIFS('Clarice'!$B$6:$B$300,$A383,'Clarice'!$F$6:$F$300,"Concluído")+COUNTIFS('Luisa'!$B$6:$B$300,$A383,'Luisa'!$F$6:$F$300,"Concluído")+COUNTIFS('Lui'!$B$6:$B$300,$A383,'Lui'!$F$6:$F$300,"Concluído")+COUNTIFS('Thaís'!$B$6:$B$300,$A383,'Thaís'!$F$6:$F$300,"Concluído")+COUNTIFS('Daniel'!$B$6:$B$300,$A383,'Daniel'!$F$6:$F$300,"Concluído")+COUNTIFS('Fernando'!$B$6:$B$300,$A383,'Fernando'!$F$6:$F$300,"Concluído")+COUNTIFS('Stephanie'!$B$6:$B$300,$A383,'Stephanie'!$F$6:$F$300,"Concluído")+COUNTIFS('Fox'!$B$6:$B$300,$A383,'Fox'!$F$6:$F$300,"Concluído")+COUNTIFS('Bruna'!$B$6:$B$300,$A383,'Bruna'!$F$6:$F$300,"Concluído")+COUNTIFS('Stella'!$B$6:$B$300,$A383,'Stella'!$F$6:$F$300,"Concluído")+COUNTIFS('Igor'!$B$6:$B$300,$A383,'Igor'!$F$6:$F$300,"Concluído"))&amp;" / "&amp;(COUNTIF('Clarice'!$B$6:$B$300,$A383)+COUNTIF('Luisa'!$B$6:$B$300,$A383)+COUNTIF('Lui'!$B$6:$B$300,$A383)+COUNTIF('Thaís'!$B$6:$B$300,$A383)+COUNTIF('Daniel'!$B$6:$B$300,$A383)+COUNTIF('Fernando'!$B$6:$B$300,$A383)+COUNTIF('Stephanie'!$B$6:$B$300,$A383)+COUNTIF('Fox'!$B$6:$B$300,$A383)+COUNTIF('Bruna'!$B$6:$B$300,$A383)+COUNTIF('Stella'!$B$6:$B$300,$A383)+COUNTIF('Igor'!$B$6:$B$300,$A383)))</f>
        <v/>
      </c>
      <c r="P383" s="25">
        <f>IF($A383="","",IF(M383&lt;&gt;"",M383,IF(K383&lt;&gt;"",K383,"")))</f>
        <v/>
      </c>
      <c r="Q383" s="25">
        <f>IF($A383="","",IF(N383&lt;&gt;"",N383,IF(L383&lt;&gt;"",L383,"")))</f>
        <v/>
      </c>
      <c r="S383" s="23">
        <f t="array" ref="S383">IF($A383="","",_xlfn.TEXTJOIN(CHAR(10),TRUE,IF('Clarice'!$B$6:$B$300=$A383,"Clarice"&amp;IF('Clarice'!$E$6:$E$300="",""," : "&amp;'Clarice'!$E$6:$E$300)&amp;" ["&amp;'Clarice'!$F$6:$F$300&amp;"]",""),IF('Luisa'!$B$6:$B$300=$A383,"Luisa"&amp;IF('Luisa'!$E$6:$E$300="",""," : "&amp;'Luisa'!$E$6:$E$300)&amp;" ["&amp;'Luisa'!$F$6:$F$300&amp;"]",""),IF('Lui'!$B$6:$B$300=$A383,"Lui"&amp;IF('Lui'!$E$6:$E$300="",""," : "&amp;'Lui'!$E$6:$E$300)&amp;" ["&amp;'Lui'!$F$6:$F$300&amp;"]",""),IF('Thaís'!$B$6:$B$300=$A383,"Thaís"&amp;IF('Thaís'!$E$6:$E$300="",""," : "&amp;'Thaís'!$E$6:$E$300)&amp;" ["&amp;'Thaís'!$F$6:$F$300&amp;"]",""),IF('Daniel'!$B$6:$B$300=$A383,"Daniel"&amp;IF('Daniel'!$E$6:$E$300="",""," : "&amp;'Daniel'!$E$6:$E$300)&amp;" ["&amp;'Daniel'!$F$6:$F$300&amp;"]",""),IF('Fernando'!$B$6:$B$300=$A383,"Fernando"&amp;IF('Fernando'!$E$6:$E$300="",""," : "&amp;'Fernando'!$E$6:$E$300)&amp;" ["&amp;'Fernando'!$F$6:$F$300&amp;"]",""),IF('Stephanie'!$B$6:$B$300=$A383,"Stephanie"&amp;IF('Stephanie'!$E$6:$E$300="",""," : "&amp;'Stephanie'!$E$6:$E$300)&amp;" ["&amp;'Stephanie'!$F$6:$F$300&amp;"]",""),IF('Fox'!$B$6:$B$300=$A383,"Fox"&amp;IF('Fox'!$E$6:$E$300="",""," : "&amp;'Fox'!$E$6:$E$300)&amp;" ["&amp;'Fox'!$F$6:$F$300&amp;"]",""),IF('Bruna'!$B$6:$B$300=$A383,"Bruna"&amp;IF('Bruna'!$E$6:$E$300="",""," : "&amp;'Bruna'!$E$6:$E$300)&amp;" ["&amp;'Bruna'!$F$6:$F$300&amp;"]",""),IF('Stella'!$B$6:$B$300=$A383,"Stella"&amp;IF('Stella'!$E$6:$E$300="",""," : "&amp;'Stella'!$E$6:$E$300)&amp;" ["&amp;'Stella'!$F$6:$F$300&amp;"]",""),IF('Igor'!$B$6:$B$300=$A383,"Igor"&amp;IF('Igor'!$E$6:$E$300="",""," : "&amp;'Igor'!$E$6:$E$300)&amp;" ["&amp;'Igor'!$F$6:$F$300&amp;"]","")))</f>
        <v/>
      </c>
    </row>
    <row r="384">
      <c r="G384" s="23">
        <f>IF($A384="","",_xlfn.TEXTJOIN("; ",TRUE,IF(COUNTIF('Clarice'!$B$6:$B$300,$A384)&gt;0,"Clarice",""),IF(COUNTIF('Luisa'!$B$6:$B$300,$A384)&gt;0,"Luisa",""),IF(COUNTIF('Lui'!$B$6:$B$300,$A384)&gt;0,"Lui",""),IF(COUNTIF('Thaís'!$B$6:$B$300,$A384)&gt;0,"Thaís",""),IF(COUNTIF('Daniel'!$B$6:$B$300,$A384)&gt;0,"Daniel",""),IF(COUNTIF('Fernando'!$B$6:$B$300,$A384)&gt;0,"Fernando",""),IF(COUNTIF('Stephanie'!$B$6:$B$300,$A384)&gt;0,"Stephanie",""),IF(COUNTIF('Fox'!$B$6:$B$300,$A384)&gt;0,"Fox",""),IF(COUNTIF('Bruna'!$B$6:$B$300,$A384)&gt;0,"Bruna",""),IF(COUNTIF('Stella'!$B$6:$B$300,$A384)&gt;0,"Stella",""),IF(COUNTIF('Igor'!$B$6:$B$300,$A384)&gt;0,"Igor","")))</f>
        <v/>
      </c>
      <c r="J384" s="24">
        <f>IF(OR($A384="",(COUNTIF('Clarice'!$B$6:$B$300,$A384)+COUNTIF('Luisa'!$B$6:$B$300,$A384)+COUNTIF('Lui'!$B$6:$B$300,$A384)+COUNTIF('Thaís'!$B$6:$B$300,$A384)+COUNTIF('Daniel'!$B$6:$B$300,$A384)+COUNTIF('Fernando'!$B$6:$B$300,$A384)+COUNTIF('Stephanie'!$B$6:$B$300,$A384)+COUNTIF('Fox'!$B$6:$B$300,$A384)+COUNTIF('Bruna'!$B$6:$B$300,$A384)+COUNTIF('Stella'!$B$6:$B$300,$A384)+COUNTIF('Igor'!$B$6:$B$300,$A384))=0),"",(COUNTIFS('Clarice'!$B$6:$B$300,$A384,'Clarice'!$F$6:$F$300,"Concluído")+COUNTIFS('Luisa'!$B$6:$B$300,$A384,'Luisa'!$F$6:$F$300,"Concluído")+COUNTIFS('Lui'!$B$6:$B$300,$A384,'Lui'!$F$6:$F$300,"Concluído")+COUNTIFS('Thaís'!$B$6:$B$300,$A384,'Thaís'!$F$6:$F$300,"Concluído")+COUNTIFS('Daniel'!$B$6:$B$300,$A384,'Daniel'!$F$6:$F$300,"Concluído")+COUNTIFS('Fernando'!$B$6:$B$300,$A384,'Fernando'!$F$6:$F$300,"Concluído")+COUNTIFS('Stephanie'!$B$6:$B$300,$A384,'Stephanie'!$F$6:$F$300,"Concluído")+COUNTIFS('Fox'!$B$6:$B$300,$A384,'Fox'!$F$6:$F$300,"Concluído")+COUNTIFS('Bruna'!$B$6:$B$300,$A384,'Bruna'!$F$6:$F$300,"Concluído")+COUNTIFS('Stella'!$B$6:$B$300,$A384,'Stella'!$F$6:$F$300,"Concluído")+COUNTIFS('Igor'!$B$6:$B$300,$A384,'Igor'!$F$6:$F$300,"Concluído"))&amp;" / "&amp;(COUNTIF('Clarice'!$B$6:$B$300,$A384)+COUNTIF('Luisa'!$B$6:$B$300,$A384)+COUNTIF('Lui'!$B$6:$B$300,$A384)+COUNTIF('Thaís'!$B$6:$B$300,$A384)+COUNTIF('Daniel'!$B$6:$B$300,$A384)+COUNTIF('Fernando'!$B$6:$B$300,$A384)+COUNTIF('Stephanie'!$B$6:$B$300,$A384)+COUNTIF('Fox'!$B$6:$B$300,$A384)+COUNTIF('Bruna'!$B$6:$B$300,$A384)+COUNTIF('Stella'!$B$6:$B$300,$A384)+COUNTIF('Igor'!$B$6:$B$300,$A384)))</f>
        <v/>
      </c>
      <c r="P384" s="25">
        <f>IF($A384="","",IF(M384&lt;&gt;"",M384,IF(K384&lt;&gt;"",K384,"")))</f>
        <v/>
      </c>
      <c r="Q384" s="25">
        <f>IF($A384="","",IF(N384&lt;&gt;"",N384,IF(L384&lt;&gt;"",L384,"")))</f>
        <v/>
      </c>
      <c r="S384" s="23">
        <f t="array" ref="S384">IF($A384="","",_xlfn.TEXTJOIN(CHAR(10),TRUE,IF('Clarice'!$B$6:$B$300=$A384,"Clarice"&amp;IF('Clarice'!$E$6:$E$300="",""," : "&amp;'Clarice'!$E$6:$E$300)&amp;" ["&amp;'Clarice'!$F$6:$F$300&amp;"]",""),IF('Luisa'!$B$6:$B$300=$A384,"Luisa"&amp;IF('Luisa'!$E$6:$E$300="",""," : "&amp;'Luisa'!$E$6:$E$300)&amp;" ["&amp;'Luisa'!$F$6:$F$300&amp;"]",""),IF('Lui'!$B$6:$B$300=$A384,"Lui"&amp;IF('Lui'!$E$6:$E$300="",""," : "&amp;'Lui'!$E$6:$E$300)&amp;" ["&amp;'Lui'!$F$6:$F$300&amp;"]",""),IF('Thaís'!$B$6:$B$300=$A384,"Thaís"&amp;IF('Thaís'!$E$6:$E$300="",""," : "&amp;'Thaís'!$E$6:$E$300)&amp;" ["&amp;'Thaís'!$F$6:$F$300&amp;"]",""),IF('Daniel'!$B$6:$B$300=$A384,"Daniel"&amp;IF('Daniel'!$E$6:$E$300="",""," : "&amp;'Daniel'!$E$6:$E$300)&amp;" ["&amp;'Daniel'!$F$6:$F$300&amp;"]",""),IF('Fernando'!$B$6:$B$300=$A384,"Fernando"&amp;IF('Fernando'!$E$6:$E$300="",""," : "&amp;'Fernando'!$E$6:$E$300)&amp;" ["&amp;'Fernando'!$F$6:$F$300&amp;"]",""),IF('Stephanie'!$B$6:$B$300=$A384,"Stephanie"&amp;IF('Stephanie'!$E$6:$E$300="",""," : "&amp;'Stephanie'!$E$6:$E$300)&amp;" ["&amp;'Stephanie'!$F$6:$F$300&amp;"]",""),IF('Fox'!$B$6:$B$300=$A384,"Fox"&amp;IF('Fox'!$E$6:$E$300="",""," : "&amp;'Fox'!$E$6:$E$300)&amp;" ["&amp;'Fox'!$F$6:$F$300&amp;"]",""),IF('Bruna'!$B$6:$B$300=$A384,"Bruna"&amp;IF('Bruna'!$E$6:$E$300="",""," : "&amp;'Bruna'!$E$6:$E$300)&amp;" ["&amp;'Bruna'!$F$6:$F$300&amp;"]",""),IF('Stella'!$B$6:$B$300=$A384,"Stella"&amp;IF('Stella'!$E$6:$E$300="",""," : "&amp;'Stella'!$E$6:$E$300)&amp;" ["&amp;'Stella'!$F$6:$F$300&amp;"]",""),IF('Igor'!$B$6:$B$300=$A384,"Igor"&amp;IF('Igor'!$E$6:$E$300="",""," : "&amp;'Igor'!$E$6:$E$300)&amp;" ["&amp;'Igor'!$F$6:$F$300&amp;"]","")))</f>
        <v/>
      </c>
    </row>
    <row r="385">
      <c r="G385" s="23">
        <f>IF($A385="","",_xlfn.TEXTJOIN("; ",TRUE,IF(COUNTIF('Clarice'!$B$6:$B$300,$A385)&gt;0,"Clarice",""),IF(COUNTIF('Luisa'!$B$6:$B$300,$A385)&gt;0,"Luisa",""),IF(COUNTIF('Lui'!$B$6:$B$300,$A385)&gt;0,"Lui",""),IF(COUNTIF('Thaís'!$B$6:$B$300,$A385)&gt;0,"Thaís",""),IF(COUNTIF('Daniel'!$B$6:$B$300,$A385)&gt;0,"Daniel",""),IF(COUNTIF('Fernando'!$B$6:$B$300,$A385)&gt;0,"Fernando",""),IF(COUNTIF('Stephanie'!$B$6:$B$300,$A385)&gt;0,"Stephanie",""),IF(COUNTIF('Fox'!$B$6:$B$300,$A385)&gt;0,"Fox",""),IF(COUNTIF('Bruna'!$B$6:$B$300,$A385)&gt;0,"Bruna",""),IF(COUNTIF('Stella'!$B$6:$B$300,$A385)&gt;0,"Stella",""),IF(COUNTIF('Igor'!$B$6:$B$300,$A385)&gt;0,"Igor","")))</f>
        <v/>
      </c>
      <c r="J385" s="24">
        <f>IF(OR($A385="",(COUNTIF('Clarice'!$B$6:$B$300,$A385)+COUNTIF('Luisa'!$B$6:$B$300,$A385)+COUNTIF('Lui'!$B$6:$B$300,$A385)+COUNTIF('Thaís'!$B$6:$B$300,$A385)+COUNTIF('Daniel'!$B$6:$B$300,$A385)+COUNTIF('Fernando'!$B$6:$B$300,$A385)+COUNTIF('Stephanie'!$B$6:$B$300,$A385)+COUNTIF('Fox'!$B$6:$B$300,$A385)+COUNTIF('Bruna'!$B$6:$B$300,$A385)+COUNTIF('Stella'!$B$6:$B$300,$A385)+COUNTIF('Igor'!$B$6:$B$300,$A385))=0),"",(COUNTIFS('Clarice'!$B$6:$B$300,$A385,'Clarice'!$F$6:$F$300,"Concluído")+COUNTIFS('Luisa'!$B$6:$B$300,$A385,'Luisa'!$F$6:$F$300,"Concluído")+COUNTIFS('Lui'!$B$6:$B$300,$A385,'Lui'!$F$6:$F$300,"Concluído")+COUNTIFS('Thaís'!$B$6:$B$300,$A385,'Thaís'!$F$6:$F$300,"Concluído")+COUNTIFS('Daniel'!$B$6:$B$300,$A385,'Daniel'!$F$6:$F$300,"Concluído")+COUNTIFS('Fernando'!$B$6:$B$300,$A385,'Fernando'!$F$6:$F$300,"Concluído")+COUNTIFS('Stephanie'!$B$6:$B$300,$A385,'Stephanie'!$F$6:$F$300,"Concluído")+COUNTIFS('Fox'!$B$6:$B$300,$A385,'Fox'!$F$6:$F$300,"Concluído")+COUNTIFS('Bruna'!$B$6:$B$300,$A385,'Bruna'!$F$6:$F$300,"Concluído")+COUNTIFS('Stella'!$B$6:$B$300,$A385,'Stella'!$F$6:$F$300,"Concluído")+COUNTIFS('Igor'!$B$6:$B$300,$A385,'Igor'!$F$6:$F$300,"Concluído"))&amp;" / "&amp;(COUNTIF('Clarice'!$B$6:$B$300,$A385)+COUNTIF('Luisa'!$B$6:$B$300,$A385)+COUNTIF('Lui'!$B$6:$B$300,$A385)+COUNTIF('Thaís'!$B$6:$B$300,$A385)+COUNTIF('Daniel'!$B$6:$B$300,$A385)+COUNTIF('Fernando'!$B$6:$B$300,$A385)+COUNTIF('Stephanie'!$B$6:$B$300,$A385)+COUNTIF('Fox'!$B$6:$B$300,$A385)+COUNTIF('Bruna'!$B$6:$B$300,$A385)+COUNTIF('Stella'!$B$6:$B$300,$A385)+COUNTIF('Igor'!$B$6:$B$300,$A385)))</f>
        <v/>
      </c>
      <c r="P385" s="25">
        <f>IF($A385="","",IF(M385&lt;&gt;"",M385,IF(K385&lt;&gt;"",K385,"")))</f>
        <v/>
      </c>
      <c r="Q385" s="25">
        <f>IF($A385="","",IF(N385&lt;&gt;"",N385,IF(L385&lt;&gt;"",L385,"")))</f>
        <v/>
      </c>
      <c r="S385" s="23">
        <f t="array" ref="S385">IF($A385="","",_xlfn.TEXTJOIN(CHAR(10),TRUE,IF('Clarice'!$B$6:$B$300=$A385,"Clarice"&amp;IF('Clarice'!$E$6:$E$300="",""," : "&amp;'Clarice'!$E$6:$E$300)&amp;" ["&amp;'Clarice'!$F$6:$F$300&amp;"]",""),IF('Luisa'!$B$6:$B$300=$A385,"Luisa"&amp;IF('Luisa'!$E$6:$E$300="",""," : "&amp;'Luisa'!$E$6:$E$300)&amp;" ["&amp;'Luisa'!$F$6:$F$300&amp;"]",""),IF('Lui'!$B$6:$B$300=$A385,"Lui"&amp;IF('Lui'!$E$6:$E$300="",""," : "&amp;'Lui'!$E$6:$E$300)&amp;" ["&amp;'Lui'!$F$6:$F$300&amp;"]",""),IF('Thaís'!$B$6:$B$300=$A385,"Thaís"&amp;IF('Thaís'!$E$6:$E$300="",""," : "&amp;'Thaís'!$E$6:$E$300)&amp;" ["&amp;'Thaís'!$F$6:$F$300&amp;"]",""),IF('Daniel'!$B$6:$B$300=$A385,"Daniel"&amp;IF('Daniel'!$E$6:$E$300="",""," : "&amp;'Daniel'!$E$6:$E$300)&amp;" ["&amp;'Daniel'!$F$6:$F$300&amp;"]",""),IF('Fernando'!$B$6:$B$300=$A385,"Fernando"&amp;IF('Fernando'!$E$6:$E$300="",""," : "&amp;'Fernando'!$E$6:$E$300)&amp;" ["&amp;'Fernando'!$F$6:$F$300&amp;"]",""),IF('Stephanie'!$B$6:$B$300=$A385,"Stephanie"&amp;IF('Stephanie'!$E$6:$E$300="",""," : "&amp;'Stephanie'!$E$6:$E$300)&amp;" ["&amp;'Stephanie'!$F$6:$F$300&amp;"]",""),IF('Fox'!$B$6:$B$300=$A385,"Fox"&amp;IF('Fox'!$E$6:$E$300="",""," : "&amp;'Fox'!$E$6:$E$300)&amp;" ["&amp;'Fox'!$F$6:$F$300&amp;"]",""),IF('Bruna'!$B$6:$B$300=$A385,"Bruna"&amp;IF('Bruna'!$E$6:$E$300="",""," : "&amp;'Bruna'!$E$6:$E$300)&amp;" ["&amp;'Bruna'!$F$6:$F$300&amp;"]",""),IF('Stella'!$B$6:$B$300=$A385,"Stella"&amp;IF('Stella'!$E$6:$E$300="",""," : "&amp;'Stella'!$E$6:$E$300)&amp;" ["&amp;'Stella'!$F$6:$F$300&amp;"]",""),IF('Igor'!$B$6:$B$300=$A385,"Igor"&amp;IF('Igor'!$E$6:$E$300="",""," : "&amp;'Igor'!$E$6:$E$300)&amp;" ["&amp;'Igor'!$F$6:$F$300&amp;"]","")))</f>
        <v/>
      </c>
    </row>
    <row r="386">
      <c r="G386" s="23">
        <f>IF($A386="","",_xlfn.TEXTJOIN("; ",TRUE,IF(COUNTIF('Clarice'!$B$6:$B$300,$A386)&gt;0,"Clarice",""),IF(COUNTIF('Luisa'!$B$6:$B$300,$A386)&gt;0,"Luisa",""),IF(COUNTIF('Lui'!$B$6:$B$300,$A386)&gt;0,"Lui",""),IF(COUNTIF('Thaís'!$B$6:$B$300,$A386)&gt;0,"Thaís",""),IF(COUNTIF('Daniel'!$B$6:$B$300,$A386)&gt;0,"Daniel",""),IF(COUNTIF('Fernando'!$B$6:$B$300,$A386)&gt;0,"Fernando",""),IF(COUNTIF('Stephanie'!$B$6:$B$300,$A386)&gt;0,"Stephanie",""),IF(COUNTIF('Fox'!$B$6:$B$300,$A386)&gt;0,"Fox",""),IF(COUNTIF('Bruna'!$B$6:$B$300,$A386)&gt;0,"Bruna",""),IF(COUNTIF('Stella'!$B$6:$B$300,$A386)&gt;0,"Stella",""),IF(COUNTIF('Igor'!$B$6:$B$300,$A386)&gt;0,"Igor","")))</f>
        <v/>
      </c>
      <c r="J386" s="24">
        <f>IF(OR($A386="",(COUNTIF('Clarice'!$B$6:$B$300,$A386)+COUNTIF('Luisa'!$B$6:$B$300,$A386)+COUNTIF('Lui'!$B$6:$B$300,$A386)+COUNTIF('Thaís'!$B$6:$B$300,$A386)+COUNTIF('Daniel'!$B$6:$B$300,$A386)+COUNTIF('Fernando'!$B$6:$B$300,$A386)+COUNTIF('Stephanie'!$B$6:$B$300,$A386)+COUNTIF('Fox'!$B$6:$B$300,$A386)+COUNTIF('Bruna'!$B$6:$B$300,$A386)+COUNTIF('Stella'!$B$6:$B$300,$A386)+COUNTIF('Igor'!$B$6:$B$300,$A386))=0),"",(COUNTIFS('Clarice'!$B$6:$B$300,$A386,'Clarice'!$F$6:$F$300,"Concluído")+COUNTIFS('Luisa'!$B$6:$B$300,$A386,'Luisa'!$F$6:$F$300,"Concluído")+COUNTIFS('Lui'!$B$6:$B$300,$A386,'Lui'!$F$6:$F$300,"Concluído")+COUNTIFS('Thaís'!$B$6:$B$300,$A386,'Thaís'!$F$6:$F$300,"Concluído")+COUNTIFS('Daniel'!$B$6:$B$300,$A386,'Daniel'!$F$6:$F$300,"Concluído")+COUNTIFS('Fernando'!$B$6:$B$300,$A386,'Fernando'!$F$6:$F$300,"Concluído")+COUNTIFS('Stephanie'!$B$6:$B$300,$A386,'Stephanie'!$F$6:$F$300,"Concluído")+COUNTIFS('Fox'!$B$6:$B$300,$A386,'Fox'!$F$6:$F$300,"Concluído")+COUNTIFS('Bruna'!$B$6:$B$300,$A386,'Bruna'!$F$6:$F$300,"Concluído")+COUNTIFS('Stella'!$B$6:$B$300,$A386,'Stella'!$F$6:$F$300,"Concluído")+COUNTIFS('Igor'!$B$6:$B$300,$A386,'Igor'!$F$6:$F$300,"Concluído"))&amp;" / "&amp;(COUNTIF('Clarice'!$B$6:$B$300,$A386)+COUNTIF('Luisa'!$B$6:$B$300,$A386)+COUNTIF('Lui'!$B$6:$B$300,$A386)+COUNTIF('Thaís'!$B$6:$B$300,$A386)+COUNTIF('Daniel'!$B$6:$B$300,$A386)+COUNTIF('Fernando'!$B$6:$B$300,$A386)+COUNTIF('Stephanie'!$B$6:$B$300,$A386)+COUNTIF('Fox'!$B$6:$B$300,$A386)+COUNTIF('Bruna'!$B$6:$B$300,$A386)+COUNTIF('Stella'!$B$6:$B$300,$A386)+COUNTIF('Igor'!$B$6:$B$300,$A386)))</f>
        <v/>
      </c>
      <c r="P386" s="25">
        <f>IF($A386="","",IF(M386&lt;&gt;"",M386,IF(K386&lt;&gt;"",K386,"")))</f>
        <v/>
      </c>
      <c r="Q386" s="25">
        <f>IF($A386="","",IF(N386&lt;&gt;"",N386,IF(L386&lt;&gt;"",L386,"")))</f>
        <v/>
      </c>
      <c r="S386" s="23">
        <f t="array" ref="S386">IF($A386="","",_xlfn.TEXTJOIN(CHAR(10),TRUE,IF('Clarice'!$B$6:$B$300=$A386,"Clarice"&amp;IF('Clarice'!$E$6:$E$300="",""," : "&amp;'Clarice'!$E$6:$E$300)&amp;" ["&amp;'Clarice'!$F$6:$F$300&amp;"]",""),IF('Luisa'!$B$6:$B$300=$A386,"Luisa"&amp;IF('Luisa'!$E$6:$E$300="",""," : "&amp;'Luisa'!$E$6:$E$300)&amp;" ["&amp;'Luisa'!$F$6:$F$300&amp;"]",""),IF('Lui'!$B$6:$B$300=$A386,"Lui"&amp;IF('Lui'!$E$6:$E$300="",""," : "&amp;'Lui'!$E$6:$E$300)&amp;" ["&amp;'Lui'!$F$6:$F$300&amp;"]",""),IF('Thaís'!$B$6:$B$300=$A386,"Thaís"&amp;IF('Thaís'!$E$6:$E$300="",""," : "&amp;'Thaís'!$E$6:$E$300)&amp;" ["&amp;'Thaís'!$F$6:$F$300&amp;"]",""),IF('Daniel'!$B$6:$B$300=$A386,"Daniel"&amp;IF('Daniel'!$E$6:$E$300="",""," : "&amp;'Daniel'!$E$6:$E$300)&amp;" ["&amp;'Daniel'!$F$6:$F$300&amp;"]",""),IF('Fernando'!$B$6:$B$300=$A386,"Fernando"&amp;IF('Fernando'!$E$6:$E$300="",""," : "&amp;'Fernando'!$E$6:$E$300)&amp;" ["&amp;'Fernando'!$F$6:$F$300&amp;"]",""),IF('Stephanie'!$B$6:$B$300=$A386,"Stephanie"&amp;IF('Stephanie'!$E$6:$E$300="",""," : "&amp;'Stephanie'!$E$6:$E$300)&amp;" ["&amp;'Stephanie'!$F$6:$F$300&amp;"]",""),IF('Fox'!$B$6:$B$300=$A386,"Fox"&amp;IF('Fox'!$E$6:$E$300="",""," : "&amp;'Fox'!$E$6:$E$300)&amp;" ["&amp;'Fox'!$F$6:$F$300&amp;"]",""),IF('Bruna'!$B$6:$B$300=$A386,"Bruna"&amp;IF('Bruna'!$E$6:$E$300="",""," : "&amp;'Bruna'!$E$6:$E$300)&amp;" ["&amp;'Bruna'!$F$6:$F$300&amp;"]",""),IF('Stella'!$B$6:$B$300=$A386,"Stella"&amp;IF('Stella'!$E$6:$E$300="",""," : "&amp;'Stella'!$E$6:$E$300)&amp;" ["&amp;'Stella'!$F$6:$F$300&amp;"]",""),IF('Igor'!$B$6:$B$300=$A386,"Igor"&amp;IF('Igor'!$E$6:$E$300="",""," : "&amp;'Igor'!$E$6:$E$300)&amp;" ["&amp;'Igor'!$F$6:$F$300&amp;"]","")))</f>
        <v/>
      </c>
    </row>
    <row r="387">
      <c r="G387" s="23">
        <f>IF($A387="","",_xlfn.TEXTJOIN("; ",TRUE,IF(COUNTIF('Clarice'!$B$6:$B$300,$A387)&gt;0,"Clarice",""),IF(COUNTIF('Luisa'!$B$6:$B$300,$A387)&gt;0,"Luisa",""),IF(COUNTIF('Lui'!$B$6:$B$300,$A387)&gt;0,"Lui",""),IF(COUNTIF('Thaís'!$B$6:$B$300,$A387)&gt;0,"Thaís",""),IF(COUNTIF('Daniel'!$B$6:$B$300,$A387)&gt;0,"Daniel",""),IF(COUNTIF('Fernando'!$B$6:$B$300,$A387)&gt;0,"Fernando",""),IF(COUNTIF('Stephanie'!$B$6:$B$300,$A387)&gt;0,"Stephanie",""),IF(COUNTIF('Fox'!$B$6:$B$300,$A387)&gt;0,"Fox",""),IF(COUNTIF('Bruna'!$B$6:$B$300,$A387)&gt;0,"Bruna",""),IF(COUNTIF('Stella'!$B$6:$B$300,$A387)&gt;0,"Stella",""),IF(COUNTIF('Igor'!$B$6:$B$300,$A387)&gt;0,"Igor","")))</f>
        <v/>
      </c>
      <c r="J387" s="24">
        <f>IF(OR($A387="",(COUNTIF('Clarice'!$B$6:$B$300,$A387)+COUNTIF('Luisa'!$B$6:$B$300,$A387)+COUNTIF('Lui'!$B$6:$B$300,$A387)+COUNTIF('Thaís'!$B$6:$B$300,$A387)+COUNTIF('Daniel'!$B$6:$B$300,$A387)+COUNTIF('Fernando'!$B$6:$B$300,$A387)+COUNTIF('Stephanie'!$B$6:$B$300,$A387)+COUNTIF('Fox'!$B$6:$B$300,$A387)+COUNTIF('Bruna'!$B$6:$B$300,$A387)+COUNTIF('Stella'!$B$6:$B$300,$A387)+COUNTIF('Igor'!$B$6:$B$300,$A387))=0),"",(COUNTIFS('Clarice'!$B$6:$B$300,$A387,'Clarice'!$F$6:$F$300,"Concluído")+COUNTIFS('Luisa'!$B$6:$B$300,$A387,'Luisa'!$F$6:$F$300,"Concluído")+COUNTIFS('Lui'!$B$6:$B$300,$A387,'Lui'!$F$6:$F$300,"Concluído")+COUNTIFS('Thaís'!$B$6:$B$300,$A387,'Thaís'!$F$6:$F$300,"Concluído")+COUNTIFS('Daniel'!$B$6:$B$300,$A387,'Daniel'!$F$6:$F$300,"Concluído")+COUNTIFS('Fernando'!$B$6:$B$300,$A387,'Fernando'!$F$6:$F$300,"Concluído")+COUNTIFS('Stephanie'!$B$6:$B$300,$A387,'Stephanie'!$F$6:$F$300,"Concluído")+COUNTIFS('Fox'!$B$6:$B$300,$A387,'Fox'!$F$6:$F$300,"Concluído")+COUNTIFS('Bruna'!$B$6:$B$300,$A387,'Bruna'!$F$6:$F$300,"Concluído")+COUNTIFS('Stella'!$B$6:$B$300,$A387,'Stella'!$F$6:$F$300,"Concluído")+COUNTIFS('Igor'!$B$6:$B$300,$A387,'Igor'!$F$6:$F$300,"Concluído"))&amp;" / "&amp;(COUNTIF('Clarice'!$B$6:$B$300,$A387)+COUNTIF('Luisa'!$B$6:$B$300,$A387)+COUNTIF('Lui'!$B$6:$B$300,$A387)+COUNTIF('Thaís'!$B$6:$B$300,$A387)+COUNTIF('Daniel'!$B$6:$B$300,$A387)+COUNTIF('Fernando'!$B$6:$B$300,$A387)+COUNTIF('Stephanie'!$B$6:$B$300,$A387)+COUNTIF('Fox'!$B$6:$B$300,$A387)+COUNTIF('Bruna'!$B$6:$B$300,$A387)+COUNTIF('Stella'!$B$6:$B$300,$A387)+COUNTIF('Igor'!$B$6:$B$300,$A387)))</f>
        <v/>
      </c>
      <c r="P387" s="25">
        <f>IF($A387="","",IF(M387&lt;&gt;"",M387,IF(K387&lt;&gt;"",K387,"")))</f>
        <v/>
      </c>
      <c r="Q387" s="25">
        <f>IF($A387="","",IF(N387&lt;&gt;"",N387,IF(L387&lt;&gt;"",L387,"")))</f>
        <v/>
      </c>
      <c r="S387" s="23">
        <f t="array" ref="S387">IF($A387="","",_xlfn.TEXTJOIN(CHAR(10),TRUE,IF('Clarice'!$B$6:$B$300=$A387,"Clarice"&amp;IF('Clarice'!$E$6:$E$300="",""," : "&amp;'Clarice'!$E$6:$E$300)&amp;" ["&amp;'Clarice'!$F$6:$F$300&amp;"]",""),IF('Luisa'!$B$6:$B$300=$A387,"Luisa"&amp;IF('Luisa'!$E$6:$E$300="",""," : "&amp;'Luisa'!$E$6:$E$300)&amp;" ["&amp;'Luisa'!$F$6:$F$300&amp;"]",""),IF('Lui'!$B$6:$B$300=$A387,"Lui"&amp;IF('Lui'!$E$6:$E$300="",""," : "&amp;'Lui'!$E$6:$E$300)&amp;" ["&amp;'Lui'!$F$6:$F$300&amp;"]",""),IF('Thaís'!$B$6:$B$300=$A387,"Thaís"&amp;IF('Thaís'!$E$6:$E$300="",""," : "&amp;'Thaís'!$E$6:$E$300)&amp;" ["&amp;'Thaís'!$F$6:$F$300&amp;"]",""),IF('Daniel'!$B$6:$B$300=$A387,"Daniel"&amp;IF('Daniel'!$E$6:$E$300="",""," : "&amp;'Daniel'!$E$6:$E$300)&amp;" ["&amp;'Daniel'!$F$6:$F$300&amp;"]",""),IF('Fernando'!$B$6:$B$300=$A387,"Fernando"&amp;IF('Fernando'!$E$6:$E$300="",""," : "&amp;'Fernando'!$E$6:$E$300)&amp;" ["&amp;'Fernando'!$F$6:$F$300&amp;"]",""),IF('Stephanie'!$B$6:$B$300=$A387,"Stephanie"&amp;IF('Stephanie'!$E$6:$E$300="",""," : "&amp;'Stephanie'!$E$6:$E$300)&amp;" ["&amp;'Stephanie'!$F$6:$F$300&amp;"]",""),IF('Fox'!$B$6:$B$300=$A387,"Fox"&amp;IF('Fox'!$E$6:$E$300="",""," : "&amp;'Fox'!$E$6:$E$300)&amp;" ["&amp;'Fox'!$F$6:$F$300&amp;"]",""),IF('Bruna'!$B$6:$B$300=$A387,"Bruna"&amp;IF('Bruna'!$E$6:$E$300="",""," : "&amp;'Bruna'!$E$6:$E$300)&amp;" ["&amp;'Bruna'!$F$6:$F$300&amp;"]",""),IF('Stella'!$B$6:$B$300=$A387,"Stella"&amp;IF('Stella'!$E$6:$E$300="",""," : "&amp;'Stella'!$E$6:$E$300)&amp;" ["&amp;'Stella'!$F$6:$F$300&amp;"]",""),IF('Igor'!$B$6:$B$300=$A387,"Igor"&amp;IF('Igor'!$E$6:$E$300="",""," : "&amp;'Igor'!$E$6:$E$300)&amp;" ["&amp;'Igor'!$F$6:$F$300&amp;"]","")))</f>
        <v/>
      </c>
    </row>
    <row r="388">
      <c r="G388" s="23">
        <f>IF($A388="","",_xlfn.TEXTJOIN("; ",TRUE,IF(COUNTIF('Clarice'!$B$6:$B$300,$A388)&gt;0,"Clarice",""),IF(COUNTIF('Luisa'!$B$6:$B$300,$A388)&gt;0,"Luisa",""),IF(COUNTIF('Lui'!$B$6:$B$300,$A388)&gt;0,"Lui",""),IF(COUNTIF('Thaís'!$B$6:$B$300,$A388)&gt;0,"Thaís",""),IF(COUNTIF('Daniel'!$B$6:$B$300,$A388)&gt;0,"Daniel",""),IF(COUNTIF('Fernando'!$B$6:$B$300,$A388)&gt;0,"Fernando",""),IF(COUNTIF('Stephanie'!$B$6:$B$300,$A388)&gt;0,"Stephanie",""),IF(COUNTIF('Fox'!$B$6:$B$300,$A388)&gt;0,"Fox",""),IF(COUNTIF('Bruna'!$B$6:$B$300,$A388)&gt;0,"Bruna",""),IF(COUNTIF('Stella'!$B$6:$B$300,$A388)&gt;0,"Stella",""),IF(COUNTIF('Igor'!$B$6:$B$300,$A388)&gt;0,"Igor","")))</f>
        <v/>
      </c>
      <c r="J388" s="24">
        <f>IF(OR($A388="",(COUNTIF('Clarice'!$B$6:$B$300,$A388)+COUNTIF('Luisa'!$B$6:$B$300,$A388)+COUNTIF('Lui'!$B$6:$B$300,$A388)+COUNTIF('Thaís'!$B$6:$B$300,$A388)+COUNTIF('Daniel'!$B$6:$B$300,$A388)+COUNTIF('Fernando'!$B$6:$B$300,$A388)+COUNTIF('Stephanie'!$B$6:$B$300,$A388)+COUNTIF('Fox'!$B$6:$B$300,$A388)+COUNTIF('Bruna'!$B$6:$B$300,$A388)+COUNTIF('Stella'!$B$6:$B$300,$A388)+COUNTIF('Igor'!$B$6:$B$300,$A388))=0),"",(COUNTIFS('Clarice'!$B$6:$B$300,$A388,'Clarice'!$F$6:$F$300,"Concluído")+COUNTIFS('Luisa'!$B$6:$B$300,$A388,'Luisa'!$F$6:$F$300,"Concluído")+COUNTIFS('Lui'!$B$6:$B$300,$A388,'Lui'!$F$6:$F$300,"Concluído")+COUNTIFS('Thaís'!$B$6:$B$300,$A388,'Thaís'!$F$6:$F$300,"Concluído")+COUNTIFS('Daniel'!$B$6:$B$300,$A388,'Daniel'!$F$6:$F$300,"Concluído")+COUNTIFS('Fernando'!$B$6:$B$300,$A388,'Fernando'!$F$6:$F$300,"Concluído")+COUNTIFS('Stephanie'!$B$6:$B$300,$A388,'Stephanie'!$F$6:$F$300,"Concluído")+COUNTIFS('Fox'!$B$6:$B$300,$A388,'Fox'!$F$6:$F$300,"Concluído")+COUNTIFS('Bruna'!$B$6:$B$300,$A388,'Bruna'!$F$6:$F$300,"Concluído")+COUNTIFS('Stella'!$B$6:$B$300,$A388,'Stella'!$F$6:$F$300,"Concluído")+COUNTIFS('Igor'!$B$6:$B$300,$A388,'Igor'!$F$6:$F$300,"Concluído"))&amp;" / "&amp;(COUNTIF('Clarice'!$B$6:$B$300,$A388)+COUNTIF('Luisa'!$B$6:$B$300,$A388)+COUNTIF('Lui'!$B$6:$B$300,$A388)+COUNTIF('Thaís'!$B$6:$B$300,$A388)+COUNTIF('Daniel'!$B$6:$B$300,$A388)+COUNTIF('Fernando'!$B$6:$B$300,$A388)+COUNTIF('Stephanie'!$B$6:$B$300,$A388)+COUNTIF('Fox'!$B$6:$B$300,$A388)+COUNTIF('Bruna'!$B$6:$B$300,$A388)+COUNTIF('Stella'!$B$6:$B$300,$A388)+COUNTIF('Igor'!$B$6:$B$300,$A388)))</f>
        <v/>
      </c>
      <c r="P388" s="25">
        <f>IF($A388="","",IF(M388&lt;&gt;"",M388,IF(K388&lt;&gt;"",K388,"")))</f>
        <v/>
      </c>
      <c r="Q388" s="25">
        <f>IF($A388="","",IF(N388&lt;&gt;"",N388,IF(L388&lt;&gt;"",L388,"")))</f>
        <v/>
      </c>
      <c r="S388" s="23">
        <f t="array" ref="S388">IF($A388="","",_xlfn.TEXTJOIN(CHAR(10),TRUE,IF('Clarice'!$B$6:$B$300=$A388,"Clarice"&amp;IF('Clarice'!$E$6:$E$300="",""," : "&amp;'Clarice'!$E$6:$E$300)&amp;" ["&amp;'Clarice'!$F$6:$F$300&amp;"]",""),IF('Luisa'!$B$6:$B$300=$A388,"Luisa"&amp;IF('Luisa'!$E$6:$E$300="",""," : "&amp;'Luisa'!$E$6:$E$300)&amp;" ["&amp;'Luisa'!$F$6:$F$300&amp;"]",""),IF('Lui'!$B$6:$B$300=$A388,"Lui"&amp;IF('Lui'!$E$6:$E$300="",""," : "&amp;'Lui'!$E$6:$E$300)&amp;" ["&amp;'Lui'!$F$6:$F$300&amp;"]",""),IF('Thaís'!$B$6:$B$300=$A388,"Thaís"&amp;IF('Thaís'!$E$6:$E$300="",""," : "&amp;'Thaís'!$E$6:$E$300)&amp;" ["&amp;'Thaís'!$F$6:$F$300&amp;"]",""),IF('Daniel'!$B$6:$B$300=$A388,"Daniel"&amp;IF('Daniel'!$E$6:$E$300="",""," : "&amp;'Daniel'!$E$6:$E$300)&amp;" ["&amp;'Daniel'!$F$6:$F$300&amp;"]",""),IF('Fernando'!$B$6:$B$300=$A388,"Fernando"&amp;IF('Fernando'!$E$6:$E$300="",""," : "&amp;'Fernando'!$E$6:$E$300)&amp;" ["&amp;'Fernando'!$F$6:$F$300&amp;"]",""),IF('Stephanie'!$B$6:$B$300=$A388,"Stephanie"&amp;IF('Stephanie'!$E$6:$E$300="",""," : "&amp;'Stephanie'!$E$6:$E$300)&amp;" ["&amp;'Stephanie'!$F$6:$F$300&amp;"]",""),IF('Fox'!$B$6:$B$300=$A388,"Fox"&amp;IF('Fox'!$E$6:$E$300="",""," : "&amp;'Fox'!$E$6:$E$300)&amp;" ["&amp;'Fox'!$F$6:$F$300&amp;"]",""),IF('Bruna'!$B$6:$B$300=$A388,"Bruna"&amp;IF('Bruna'!$E$6:$E$300="",""," : "&amp;'Bruna'!$E$6:$E$300)&amp;" ["&amp;'Bruna'!$F$6:$F$300&amp;"]",""),IF('Stella'!$B$6:$B$300=$A388,"Stella"&amp;IF('Stella'!$E$6:$E$300="",""," : "&amp;'Stella'!$E$6:$E$300)&amp;" ["&amp;'Stella'!$F$6:$F$300&amp;"]",""),IF('Igor'!$B$6:$B$300=$A388,"Igor"&amp;IF('Igor'!$E$6:$E$300="",""," : "&amp;'Igor'!$E$6:$E$300)&amp;" ["&amp;'Igor'!$F$6:$F$300&amp;"]","")))</f>
        <v/>
      </c>
    </row>
    <row r="389">
      <c r="G389" s="23">
        <f>IF($A389="","",_xlfn.TEXTJOIN("; ",TRUE,IF(COUNTIF('Clarice'!$B$6:$B$300,$A389)&gt;0,"Clarice",""),IF(COUNTIF('Luisa'!$B$6:$B$300,$A389)&gt;0,"Luisa",""),IF(COUNTIF('Lui'!$B$6:$B$300,$A389)&gt;0,"Lui",""),IF(COUNTIF('Thaís'!$B$6:$B$300,$A389)&gt;0,"Thaís",""),IF(COUNTIF('Daniel'!$B$6:$B$300,$A389)&gt;0,"Daniel",""),IF(COUNTIF('Fernando'!$B$6:$B$300,$A389)&gt;0,"Fernando",""),IF(COUNTIF('Stephanie'!$B$6:$B$300,$A389)&gt;0,"Stephanie",""),IF(COUNTIF('Fox'!$B$6:$B$300,$A389)&gt;0,"Fox",""),IF(COUNTIF('Bruna'!$B$6:$B$300,$A389)&gt;0,"Bruna",""),IF(COUNTIF('Stella'!$B$6:$B$300,$A389)&gt;0,"Stella",""),IF(COUNTIF('Igor'!$B$6:$B$300,$A389)&gt;0,"Igor","")))</f>
        <v/>
      </c>
      <c r="J389" s="24">
        <f>IF(OR($A389="",(COUNTIF('Clarice'!$B$6:$B$300,$A389)+COUNTIF('Luisa'!$B$6:$B$300,$A389)+COUNTIF('Lui'!$B$6:$B$300,$A389)+COUNTIF('Thaís'!$B$6:$B$300,$A389)+COUNTIF('Daniel'!$B$6:$B$300,$A389)+COUNTIF('Fernando'!$B$6:$B$300,$A389)+COUNTIF('Stephanie'!$B$6:$B$300,$A389)+COUNTIF('Fox'!$B$6:$B$300,$A389)+COUNTIF('Bruna'!$B$6:$B$300,$A389)+COUNTIF('Stella'!$B$6:$B$300,$A389)+COUNTIF('Igor'!$B$6:$B$300,$A389))=0),"",(COUNTIFS('Clarice'!$B$6:$B$300,$A389,'Clarice'!$F$6:$F$300,"Concluído")+COUNTIFS('Luisa'!$B$6:$B$300,$A389,'Luisa'!$F$6:$F$300,"Concluído")+COUNTIFS('Lui'!$B$6:$B$300,$A389,'Lui'!$F$6:$F$300,"Concluído")+COUNTIFS('Thaís'!$B$6:$B$300,$A389,'Thaís'!$F$6:$F$300,"Concluído")+COUNTIFS('Daniel'!$B$6:$B$300,$A389,'Daniel'!$F$6:$F$300,"Concluído")+COUNTIFS('Fernando'!$B$6:$B$300,$A389,'Fernando'!$F$6:$F$300,"Concluído")+COUNTIFS('Stephanie'!$B$6:$B$300,$A389,'Stephanie'!$F$6:$F$300,"Concluído")+COUNTIFS('Fox'!$B$6:$B$300,$A389,'Fox'!$F$6:$F$300,"Concluído")+COUNTIFS('Bruna'!$B$6:$B$300,$A389,'Bruna'!$F$6:$F$300,"Concluído")+COUNTIFS('Stella'!$B$6:$B$300,$A389,'Stella'!$F$6:$F$300,"Concluído")+COUNTIFS('Igor'!$B$6:$B$300,$A389,'Igor'!$F$6:$F$300,"Concluído"))&amp;" / "&amp;(COUNTIF('Clarice'!$B$6:$B$300,$A389)+COUNTIF('Luisa'!$B$6:$B$300,$A389)+COUNTIF('Lui'!$B$6:$B$300,$A389)+COUNTIF('Thaís'!$B$6:$B$300,$A389)+COUNTIF('Daniel'!$B$6:$B$300,$A389)+COUNTIF('Fernando'!$B$6:$B$300,$A389)+COUNTIF('Stephanie'!$B$6:$B$300,$A389)+COUNTIF('Fox'!$B$6:$B$300,$A389)+COUNTIF('Bruna'!$B$6:$B$300,$A389)+COUNTIF('Stella'!$B$6:$B$300,$A389)+COUNTIF('Igor'!$B$6:$B$300,$A389)))</f>
        <v/>
      </c>
      <c r="P389" s="25">
        <f>IF($A389="","",IF(M389&lt;&gt;"",M389,IF(K389&lt;&gt;"",K389,"")))</f>
        <v/>
      </c>
      <c r="Q389" s="25">
        <f>IF($A389="","",IF(N389&lt;&gt;"",N389,IF(L389&lt;&gt;"",L389,"")))</f>
        <v/>
      </c>
      <c r="S389" s="23">
        <f t="array" ref="S389">IF($A389="","",_xlfn.TEXTJOIN(CHAR(10),TRUE,IF('Clarice'!$B$6:$B$300=$A389,"Clarice"&amp;IF('Clarice'!$E$6:$E$300="",""," : "&amp;'Clarice'!$E$6:$E$300)&amp;" ["&amp;'Clarice'!$F$6:$F$300&amp;"]",""),IF('Luisa'!$B$6:$B$300=$A389,"Luisa"&amp;IF('Luisa'!$E$6:$E$300="",""," : "&amp;'Luisa'!$E$6:$E$300)&amp;" ["&amp;'Luisa'!$F$6:$F$300&amp;"]",""),IF('Lui'!$B$6:$B$300=$A389,"Lui"&amp;IF('Lui'!$E$6:$E$300="",""," : "&amp;'Lui'!$E$6:$E$300)&amp;" ["&amp;'Lui'!$F$6:$F$300&amp;"]",""),IF('Thaís'!$B$6:$B$300=$A389,"Thaís"&amp;IF('Thaís'!$E$6:$E$300="",""," : "&amp;'Thaís'!$E$6:$E$300)&amp;" ["&amp;'Thaís'!$F$6:$F$300&amp;"]",""),IF('Daniel'!$B$6:$B$300=$A389,"Daniel"&amp;IF('Daniel'!$E$6:$E$300="",""," : "&amp;'Daniel'!$E$6:$E$300)&amp;" ["&amp;'Daniel'!$F$6:$F$300&amp;"]",""),IF('Fernando'!$B$6:$B$300=$A389,"Fernando"&amp;IF('Fernando'!$E$6:$E$300="",""," : "&amp;'Fernando'!$E$6:$E$300)&amp;" ["&amp;'Fernando'!$F$6:$F$300&amp;"]",""),IF('Stephanie'!$B$6:$B$300=$A389,"Stephanie"&amp;IF('Stephanie'!$E$6:$E$300="",""," : "&amp;'Stephanie'!$E$6:$E$300)&amp;" ["&amp;'Stephanie'!$F$6:$F$300&amp;"]",""),IF('Fox'!$B$6:$B$300=$A389,"Fox"&amp;IF('Fox'!$E$6:$E$300="",""," : "&amp;'Fox'!$E$6:$E$300)&amp;" ["&amp;'Fox'!$F$6:$F$300&amp;"]",""),IF('Bruna'!$B$6:$B$300=$A389,"Bruna"&amp;IF('Bruna'!$E$6:$E$300="",""," : "&amp;'Bruna'!$E$6:$E$300)&amp;" ["&amp;'Bruna'!$F$6:$F$300&amp;"]",""),IF('Stella'!$B$6:$B$300=$A389,"Stella"&amp;IF('Stella'!$E$6:$E$300="",""," : "&amp;'Stella'!$E$6:$E$300)&amp;" ["&amp;'Stella'!$F$6:$F$300&amp;"]",""),IF('Igor'!$B$6:$B$300=$A389,"Igor"&amp;IF('Igor'!$E$6:$E$300="",""," : "&amp;'Igor'!$E$6:$E$300)&amp;" ["&amp;'Igor'!$F$6:$F$300&amp;"]","")))</f>
        <v/>
      </c>
    </row>
    <row r="390">
      <c r="G390" s="23">
        <f>IF($A390="","",_xlfn.TEXTJOIN("; ",TRUE,IF(COUNTIF('Clarice'!$B$6:$B$300,$A390)&gt;0,"Clarice",""),IF(COUNTIF('Luisa'!$B$6:$B$300,$A390)&gt;0,"Luisa",""),IF(COUNTIF('Lui'!$B$6:$B$300,$A390)&gt;0,"Lui",""),IF(COUNTIF('Thaís'!$B$6:$B$300,$A390)&gt;0,"Thaís",""),IF(COUNTIF('Daniel'!$B$6:$B$300,$A390)&gt;0,"Daniel",""),IF(COUNTIF('Fernando'!$B$6:$B$300,$A390)&gt;0,"Fernando",""),IF(COUNTIF('Stephanie'!$B$6:$B$300,$A390)&gt;0,"Stephanie",""),IF(COUNTIF('Fox'!$B$6:$B$300,$A390)&gt;0,"Fox",""),IF(COUNTIF('Bruna'!$B$6:$B$300,$A390)&gt;0,"Bruna",""),IF(COUNTIF('Stella'!$B$6:$B$300,$A390)&gt;0,"Stella",""),IF(COUNTIF('Igor'!$B$6:$B$300,$A390)&gt;0,"Igor","")))</f>
        <v/>
      </c>
      <c r="J390" s="24">
        <f>IF(OR($A390="",(COUNTIF('Clarice'!$B$6:$B$300,$A390)+COUNTIF('Luisa'!$B$6:$B$300,$A390)+COUNTIF('Lui'!$B$6:$B$300,$A390)+COUNTIF('Thaís'!$B$6:$B$300,$A390)+COUNTIF('Daniel'!$B$6:$B$300,$A390)+COUNTIF('Fernando'!$B$6:$B$300,$A390)+COUNTIF('Stephanie'!$B$6:$B$300,$A390)+COUNTIF('Fox'!$B$6:$B$300,$A390)+COUNTIF('Bruna'!$B$6:$B$300,$A390)+COUNTIF('Stella'!$B$6:$B$300,$A390)+COUNTIF('Igor'!$B$6:$B$300,$A390))=0),"",(COUNTIFS('Clarice'!$B$6:$B$300,$A390,'Clarice'!$F$6:$F$300,"Concluído")+COUNTIFS('Luisa'!$B$6:$B$300,$A390,'Luisa'!$F$6:$F$300,"Concluído")+COUNTIFS('Lui'!$B$6:$B$300,$A390,'Lui'!$F$6:$F$300,"Concluído")+COUNTIFS('Thaís'!$B$6:$B$300,$A390,'Thaís'!$F$6:$F$300,"Concluído")+COUNTIFS('Daniel'!$B$6:$B$300,$A390,'Daniel'!$F$6:$F$300,"Concluído")+COUNTIFS('Fernando'!$B$6:$B$300,$A390,'Fernando'!$F$6:$F$300,"Concluído")+COUNTIFS('Stephanie'!$B$6:$B$300,$A390,'Stephanie'!$F$6:$F$300,"Concluído")+COUNTIFS('Fox'!$B$6:$B$300,$A390,'Fox'!$F$6:$F$300,"Concluído")+COUNTIFS('Bruna'!$B$6:$B$300,$A390,'Bruna'!$F$6:$F$300,"Concluído")+COUNTIFS('Stella'!$B$6:$B$300,$A390,'Stella'!$F$6:$F$300,"Concluído")+COUNTIFS('Igor'!$B$6:$B$300,$A390,'Igor'!$F$6:$F$300,"Concluído"))&amp;" / "&amp;(COUNTIF('Clarice'!$B$6:$B$300,$A390)+COUNTIF('Luisa'!$B$6:$B$300,$A390)+COUNTIF('Lui'!$B$6:$B$300,$A390)+COUNTIF('Thaís'!$B$6:$B$300,$A390)+COUNTIF('Daniel'!$B$6:$B$300,$A390)+COUNTIF('Fernando'!$B$6:$B$300,$A390)+COUNTIF('Stephanie'!$B$6:$B$300,$A390)+COUNTIF('Fox'!$B$6:$B$300,$A390)+COUNTIF('Bruna'!$B$6:$B$300,$A390)+COUNTIF('Stella'!$B$6:$B$300,$A390)+COUNTIF('Igor'!$B$6:$B$300,$A390)))</f>
        <v/>
      </c>
      <c r="P390" s="25">
        <f>IF($A390="","",IF(M390&lt;&gt;"",M390,IF(K390&lt;&gt;"",K390,"")))</f>
        <v/>
      </c>
      <c r="Q390" s="25">
        <f>IF($A390="","",IF(N390&lt;&gt;"",N390,IF(L390&lt;&gt;"",L390,"")))</f>
        <v/>
      </c>
      <c r="S390" s="23">
        <f t="array" ref="S390">IF($A390="","",_xlfn.TEXTJOIN(CHAR(10),TRUE,IF('Clarice'!$B$6:$B$300=$A390,"Clarice"&amp;IF('Clarice'!$E$6:$E$300="",""," : "&amp;'Clarice'!$E$6:$E$300)&amp;" ["&amp;'Clarice'!$F$6:$F$300&amp;"]",""),IF('Luisa'!$B$6:$B$300=$A390,"Luisa"&amp;IF('Luisa'!$E$6:$E$300="",""," : "&amp;'Luisa'!$E$6:$E$300)&amp;" ["&amp;'Luisa'!$F$6:$F$300&amp;"]",""),IF('Lui'!$B$6:$B$300=$A390,"Lui"&amp;IF('Lui'!$E$6:$E$300="",""," : "&amp;'Lui'!$E$6:$E$300)&amp;" ["&amp;'Lui'!$F$6:$F$300&amp;"]",""),IF('Thaís'!$B$6:$B$300=$A390,"Thaís"&amp;IF('Thaís'!$E$6:$E$300="",""," : "&amp;'Thaís'!$E$6:$E$300)&amp;" ["&amp;'Thaís'!$F$6:$F$300&amp;"]",""),IF('Daniel'!$B$6:$B$300=$A390,"Daniel"&amp;IF('Daniel'!$E$6:$E$300="",""," : "&amp;'Daniel'!$E$6:$E$300)&amp;" ["&amp;'Daniel'!$F$6:$F$300&amp;"]",""),IF('Fernando'!$B$6:$B$300=$A390,"Fernando"&amp;IF('Fernando'!$E$6:$E$300="",""," : "&amp;'Fernando'!$E$6:$E$300)&amp;" ["&amp;'Fernando'!$F$6:$F$300&amp;"]",""),IF('Stephanie'!$B$6:$B$300=$A390,"Stephanie"&amp;IF('Stephanie'!$E$6:$E$300="",""," : "&amp;'Stephanie'!$E$6:$E$300)&amp;" ["&amp;'Stephanie'!$F$6:$F$300&amp;"]",""),IF('Fox'!$B$6:$B$300=$A390,"Fox"&amp;IF('Fox'!$E$6:$E$300="",""," : "&amp;'Fox'!$E$6:$E$300)&amp;" ["&amp;'Fox'!$F$6:$F$300&amp;"]",""),IF('Bruna'!$B$6:$B$300=$A390,"Bruna"&amp;IF('Bruna'!$E$6:$E$300="",""," : "&amp;'Bruna'!$E$6:$E$300)&amp;" ["&amp;'Bruna'!$F$6:$F$300&amp;"]",""),IF('Stella'!$B$6:$B$300=$A390,"Stella"&amp;IF('Stella'!$E$6:$E$300="",""," : "&amp;'Stella'!$E$6:$E$300)&amp;" ["&amp;'Stella'!$F$6:$F$300&amp;"]",""),IF('Igor'!$B$6:$B$300=$A390,"Igor"&amp;IF('Igor'!$E$6:$E$300="",""," : "&amp;'Igor'!$E$6:$E$300)&amp;" ["&amp;'Igor'!$F$6:$F$300&amp;"]","")))</f>
        <v/>
      </c>
    </row>
    <row r="391">
      <c r="G391" s="23">
        <f>IF($A391="","",_xlfn.TEXTJOIN("; ",TRUE,IF(COUNTIF('Clarice'!$B$6:$B$300,$A391)&gt;0,"Clarice",""),IF(COUNTIF('Luisa'!$B$6:$B$300,$A391)&gt;0,"Luisa",""),IF(COUNTIF('Lui'!$B$6:$B$300,$A391)&gt;0,"Lui",""),IF(COUNTIF('Thaís'!$B$6:$B$300,$A391)&gt;0,"Thaís",""),IF(COUNTIF('Daniel'!$B$6:$B$300,$A391)&gt;0,"Daniel",""),IF(COUNTIF('Fernando'!$B$6:$B$300,$A391)&gt;0,"Fernando",""),IF(COUNTIF('Stephanie'!$B$6:$B$300,$A391)&gt;0,"Stephanie",""),IF(COUNTIF('Fox'!$B$6:$B$300,$A391)&gt;0,"Fox",""),IF(COUNTIF('Bruna'!$B$6:$B$300,$A391)&gt;0,"Bruna",""),IF(COUNTIF('Stella'!$B$6:$B$300,$A391)&gt;0,"Stella",""),IF(COUNTIF('Igor'!$B$6:$B$300,$A391)&gt;0,"Igor","")))</f>
        <v/>
      </c>
      <c r="J391" s="24">
        <f>IF(OR($A391="",(COUNTIF('Clarice'!$B$6:$B$300,$A391)+COUNTIF('Luisa'!$B$6:$B$300,$A391)+COUNTIF('Lui'!$B$6:$B$300,$A391)+COUNTIF('Thaís'!$B$6:$B$300,$A391)+COUNTIF('Daniel'!$B$6:$B$300,$A391)+COUNTIF('Fernando'!$B$6:$B$300,$A391)+COUNTIF('Stephanie'!$B$6:$B$300,$A391)+COUNTIF('Fox'!$B$6:$B$300,$A391)+COUNTIF('Bruna'!$B$6:$B$300,$A391)+COUNTIF('Stella'!$B$6:$B$300,$A391)+COUNTIF('Igor'!$B$6:$B$300,$A391))=0),"",(COUNTIFS('Clarice'!$B$6:$B$300,$A391,'Clarice'!$F$6:$F$300,"Concluído")+COUNTIFS('Luisa'!$B$6:$B$300,$A391,'Luisa'!$F$6:$F$300,"Concluído")+COUNTIFS('Lui'!$B$6:$B$300,$A391,'Lui'!$F$6:$F$300,"Concluído")+COUNTIFS('Thaís'!$B$6:$B$300,$A391,'Thaís'!$F$6:$F$300,"Concluído")+COUNTIFS('Daniel'!$B$6:$B$300,$A391,'Daniel'!$F$6:$F$300,"Concluído")+COUNTIFS('Fernando'!$B$6:$B$300,$A391,'Fernando'!$F$6:$F$300,"Concluído")+COUNTIFS('Stephanie'!$B$6:$B$300,$A391,'Stephanie'!$F$6:$F$300,"Concluído")+COUNTIFS('Fox'!$B$6:$B$300,$A391,'Fox'!$F$6:$F$300,"Concluído")+COUNTIFS('Bruna'!$B$6:$B$300,$A391,'Bruna'!$F$6:$F$300,"Concluído")+COUNTIFS('Stella'!$B$6:$B$300,$A391,'Stella'!$F$6:$F$300,"Concluído")+COUNTIFS('Igor'!$B$6:$B$300,$A391,'Igor'!$F$6:$F$300,"Concluído"))&amp;" / "&amp;(COUNTIF('Clarice'!$B$6:$B$300,$A391)+COUNTIF('Luisa'!$B$6:$B$300,$A391)+COUNTIF('Lui'!$B$6:$B$300,$A391)+COUNTIF('Thaís'!$B$6:$B$300,$A391)+COUNTIF('Daniel'!$B$6:$B$300,$A391)+COUNTIF('Fernando'!$B$6:$B$300,$A391)+COUNTIF('Stephanie'!$B$6:$B$300,$A391)+COUNTIF('Fox'!$B$6:$B$300,$A391)+COUNTIF('Bruna'!$B$6:$B$300,$A391)+COUNTIF('Stella'!$B$6:$B$300,$A391)+COUNTIF('Igor'!$B$6:$B$300,$A391)))</f>
        <v/>
      </c>
      <c r="P391" s="25">
        <f>IF($A391="","",IF(M391&lt;&gt;"",M391,IF(K391&lt;&gt;"",K391,"")))</f>
        <v/>
      </c>
      <c r="Q391" s="25">
        <f>IF($A391="","",IF(N391&lt;&gt;"",N391,IF(L391&lt;&gt;"",L391,"")))</f>
        <v/>
      </c>
      <c r="S391" s="23">
        <f t="array" ref="S391">IF($A391="","",_xlfn.TEXTJOIN(CHAR(10),TRUE,IF('Clarice'!$B$6:$B$300=$A391,"Clarice"&amp;IF('Clarice'!$E$6:$E$300="",""," : "&amp;'Clarice'!$E$6:$E$300)&amp;" ["&amp;'Clarice'!$F$6:$F$300&amp;"]",""),IF('Luisa'!$B$6:$B$300=$A391,"Luisa"&amp;IF('Luisa'!$E$6:$E$300="",""," : "&amp;'Luisa'!$E$6:$E$300)&amp;" ["&amp;'Luisa'!$F$6:$F$300&amp;"]",""),IF('Lui'!$B$6:$B$300=$A391,"Lui"&amp;IF('Lui'!$E$6:$E$300="",""," : "&amp;'Lui'!$E$6:$E$300)&amp;" ["&amp;'Lui'!$F$6:$F$300&amp;"]",""),IF('Thaís'!$B$6:$B$300=$A391,"Thaís"&amp;IF('Thaís'!$E$6:$E$300="",""," : "&amp;'Thaís'!$E$6:$E$300)&amp;" ["&amp;'Thaís'!$F$6:$F$300&amp;"]",""),IF('Daniel'!$B$6:$B$300=$A391,"Daniel"&amp;IF('Daniel'!$E$6:$E$300="",""," : "&amp;'Daniel'!$E$6:$E$300)&amp;" ["&amp;'Daniel'!$F$6:$F$300&amp;"]",""),IF('Fernando'!$B$6:$B$300=$A391,"Fernando"&amp;IF('Fernando'!$E$6:$E$300="",""," : "&amp;'Fernando'!$E$6:$E$300)&amp;" ["&amp;'Fernando'!$F$6:$F$300&amp;"]",""),IF('Stephanie'!$B$6:$B$300=$A391,"Stephanie"&amp;IF('Stephanie'!$E$6:$E$300="",""," : "&amp;'Stephanie'!$E$6:$E$300)&amp;" ["&amp;'Stephanie'!$F$6:$F$300&amp;"]",""),IF('Fox'!$B$6:$B$300=$A391,"Fox"&amp;IF('Fox'!$E$6:$E$300="",""," : "&amp;'Fox'!$E$6:$E$300)&amp;" ["&amp;'Fox'!$F$6:$F$300&amp;"]",""),IF('Bruna'!$B$6:$B$300=$A391,"Bruna"&amp;IF('Bruna'!$E$6:$E$300="",""," : "&amp;'Bruna'!$E$6:$E$300)&amp;" ["&amp;'Bruna'!$F$6:$F$300&amp;"]",""),IF('Stella'!$B$6:$B$300=$A391,"Stella"&amp;IF('Stella'!$E$6:$E$300="",""," : "&amp;'Stella'!$E$6:$E$300)&amp;" ["&amp;'Stella'!$F$6:$F$300&amp;"]",""),IF('Igor'!$B$6:$B$300=$A391,"Igor"&amp;IF('Igor'!$E$6:$E$300="",""," : "&amp;'Igor'!$E$6:$E$300)&amp;" ["&amp;'Igor'!$F$6:$F$300&amp;"]","")))</f>
        <v/>
      </c>
    </row>
    <row r="392">
      <c r="G392" s="23">
        <f>IF($A392="","",_xlfn.TEXTJOIN("; ",TRUE,IF(COUNTIF('Clarice'!$B$6:$B$300,$A392)&gt;0,"Clarice",""),IF(COUNTIF('Luisa'!$B$6:$B$300,$A392)&gt;0,"Luisa",""),IF(COUNTIF('Lui'!$B$6:$B$300,$A392)&gt;0,"Lui",""),IF(COUNTIF('Thaís'!$B$6:$B$300,$A392)&gt;0,"Thaís",""),IF(COUNTIF('Daniel'!$B$6:$B$300,$A392)&gt;0,"Daniel",""),IF(COUNTIF('Fernando'!$B$6:$B$300,$A392)&gt;0,"Fernando",""),IF(COUNTIF('Stephanie'!$B$6:$B$300,$A392)&gt;0,"Stephanie",""),IF(COUNTIF('Fox'!$B$6:$B$300,$A392)&gt;0,"Fox",""),IF(COUNTIF('Bruna'!$B$6:$B$300,$A392)&gt;0,"Bruna",""),IF(COUNTIF('Stella'!$B$6:$B$300,$A392)&gt;0,"Stella",""),IF(COUNTIF('Igor'!$B$6:$B$300,$A392)&gt;0,"Igor","")))</f>
        <v/>
      </c>
      <c r="J392" s="24">
        <f>IF(OR($A392="",(COUNTIF('Clarice'!$B$6:$B$300,$A392)+COUNTIF('Luisa'!$B$6:$B$300,$A392)+COUNTIF('Lui'!$B$6:$B$300,$A392)+COUNTIF('Thaís'!$B$6:$B$300,$A392)+COUNTIF('Daniel'!$B$6:$B$300,$A392)+COUNTIF('Fernando'!$B$6:$B$300,$A392)+COUNTIF('Stephanie'!$B$6:$B$300,$A392)+COUNTIF('Fox'!$B$6:$B$300,$A392)+COUNTIF('Bruna'!$B$6:$B$300,$A392)+COUNTIF('Stella'!$B$6:$B$300,$A392)+COUNTIF('Igor'!$B$6:$B$300,$A392))=0),"",(COUNTIFS('Clarice'!$B$6:$B$300,$A392,'Clarice'!$F$6:$F$300,"Concluído")+COUNTIFS('Luisa'!$B$6:$B$300,$A392,'Luisa'!$F$6:$F$300,"Concluído")+COUNTIFS('Lui'!$B$6:$B$300,$A392,'Lui'!$F$6:$F$300,"Concluído")+COUNTIFS('Thaís'!$B$6:$B$300,$A392,'Thaís'!$F$6:$F$300,"Concluído")+COUNTIFS('Daniel'!$B$6:$B$300,$A392,'Daniel'!$F$6:$F$300,"Concluído")+COUNTIFS('Fernando'!$B$6:$B$300,$A392,'Fernando'!$F$6:$F$300,"Concluído")+COUNTIFS('Stephanie'!$B$6:$B$300,$A392,'Stephanie'!$F$6:$F$300,"Concluído")+COUNTIFS('Fox'!$B$6:$B$300,$A392,'Fox'!$F$6:$F$300,"Concluído")+COUNTIFS('Bruna'!$B$6:$B$300,$A392,'Bruna'!$F$6:$F$300,"Concluído")+COUNTIFS('Stella'!$B$6:$B$300,$A392,'Stella'!$F$6:$F$300,"Concluído")+COUNTIFS('Igor'!$B$6:$B$300,$A392,'Igor'!$F$6:$F$300,"Concluído"))&amp;" / "&amp;(COUNTIF('Clarice'!$B$6:$B$300,$A392)+COUNTIF('Luisa'!$B$6:$B$300,$A392)+COUNTIF('Lui'!$B$6:$B$300,$A392)+COUNTIF('Thaís'!$B$6:$B$300,$A392)+COUNTIF('Daniel'!$B$6:$B$300,$A392)+COUNTIF('Fernando'!$B$6:$B$300,$A392)+COUNTIF('Stephanie'!$B$6:$B$300,$A392)+COUNTIF('Fox'!$B$6:$B$300,$A392)+COUNTIF('Bruna'!$B$6:$B$300,$A392)+COUNTIF('Stella'!$B$6:$B$300,$A392)+COUNTIF('Igor'!$B$6:$B$300,$A392)))</f>
        <v/>
      </c>
      <c r="P392" s="25">
        <f>IF($A392="","",IF(M392&lt;&gt;"",M392,IF(K392&lt;&gt;"",K392,"")))</f>
        <v/>
      </c>
      <c r="Q392" s="25">
        <f>IF($A392="","",IF(N392&lt;&gt;"",N392,IF(L392&lt;&gt;"",L392,"")))</f>
        <v/>
      </c>
      <c r="S392" s="23">
        <f t="array" ref="S392">IF($A392="","",_xlfn.TEXTJOIN(CHAR(10),TRUE,IF('Clarice'!$B$6:$B$300=$A392,"Clarice"&amp;IF('Clarice'!$E$6:$E$300="",""," : "&amp;'Clarice'!$E$6:$E$300)&amp;" ["&amp;'Clarice'!$F$6:$F$300&amp;"]",""),IF('Luisa'!$B$6:$B$300=$A392,"Luisa"&amp;IF('Luisa'!$E$6:$E$300="",""," : "&amp;'Luisa'!$E$6:$E$300)&amp;" ["&amp;'Luisa'!$F$6:$F$300&amp;"]",""),IF('Lui'!$B$6:$B$300=$A392,"Lui"&amp;IF('Lui'!$E$6:$E$300="",""," : "&amp;'Lui'!$E$6:$E$300)&amp;" ["&amp;'Lui'!$F$6:$F$300&amp;"]",""),IF('Thaís'!$B$6:$B$300=$A392,"Thaís"&amp;IF('Thaís'!$E$6:$E$300="",""," : "&amp;'Thaís'!$E$6:$E$300)&amp;" ["&amp;'Thaís'!$F$6:$F$300&amp;"]",""),IF('Daniel'!$B$6:$B$300=$A392,"Daniel"&amp;IF('Daniel'!$E$6:$E$300="",""," : "&amp;'Daniel'!$E$6:$E$300)&amp;" ["&amp;'Daniel'!$F$6:$F$300&amp;"]",""),IF('Fernando'!$B$6:$B$300=$A392,"Fernando"&amp;IF('Fernando'!$E$6:$E$300="",""," : "&amp;'Fernando'!$E$6:$E$300)&amp;" ["&amp;'Fernando'!$F$6:$F$300&amp;"]",""),IF('Stephanie'!$B$6:$B$300=$A392,"Stephanie"&amp;IF('Stephanie'!$E$6:$E$300="",""," : "&amp;'Stephanie'!$E$6:$E$300)&amp;" ["&amp;'Stephanie'!$F$6:$F$300&amp;"]",""),IF('Fox'!$B$6:$B$300=$A392,"Fox"&amp;IF('Fox'!$E$6:$E$300="",""," : "&amp;'Fox'!$E$6:$E$300)&amp;" ["&amp;'Fox'!$F$6:$F$300&amp;"]",""),IF('Bruna'!$B$6:$B$300=$A392,"Bruna"&amp;IF('Bruna'!$E$6:$E$300="",""," : "&amp;'Bruna'!$E$6:$E$300)&amp;" ["&amp;'Bruna'!$F$6:$F$300&amp;"]",""),IF('Stella'!$B$6:$B$300=$A392,"Stella"&amp;IF('Stella'!$E$6:$E$300="",""," : "&amp;'Stella'!$E$6:$E$300)&amp;" ["&amp;'Stella'!$F$6:$F$300&amp;"]",""),IF('Igor'!$B$6:$B$300=$A392,"Igor"&amp;IF('Igor'!$E$6:$E$300="",""," : "&amp;'Igor'!$E$6:$E$300)&amp;" ["&amp;'Igor'!$F$6:$F$300&amp;"]","")))</f>
        <v/>
      </c>
    </row>
    <row r="393">
      <c r="G393" s="23">
        <f>IF($A393="","",_xlfn.TEXTJOIN("; ",TRUE,IF(COUNTIF('Clarice'!$B$6:$B$300,$A393)&gt;0,"Clarice",""),IF(COUNTIF('Luisa'!$B$6:$B$300,$A393)&gt;0,"Luisa",""),IF(COUNTIF('Lui'!$B$6:$B$300,$A393)&gt;0,"Lui",""),IF(COUNTIF('Thaís'!$B$6:$B$300,$A393)&gt;0,"Thaís",""),IF(COUNTIF('Daniel'!$B$6:$B$300,$A393)&gt;0,"Daniel",""),IF(COUNTIF('Fernando'!$B$6:$B$300,$A393)&gt;0,"Fernando",""),IF(COUNTIF('Stephanie'!$B$6:$B$300,$A393)&gt;0,"Stephanie",""),IF(COUNTIF('Fox'!$B$6:$B$300,$A393)&gt;0,"Fox",""),IF(COUNTIF('Bruna'!$B$6:$B$300,$A393)&gt;0,"Bruna",""),IF(COUNTIF('Stella'!$B$6:$B$300,$A393)&gt;0,"Stella",""),IF(COUNTIF('Igor'!$B$6:$B$300,$A393)&gt;0,"Igor","")))</f>
        <v/>
      </c>
      <c r="J393" s="24">
        <f>IF(OR($A393="",(COUNTIF('Clarice'!$B$6:$B$300,$A393)+COUNTIF('Luisa'!$B$6:$B$300,$A393)+COUNTIF('Lui'!$B$6:$B$300,$A393)+COUNTIF('Thaís'!$B$6:$B$300,$A393)+COUNTIF('Daniel'!$B$6:$B$300,$A393)+COUNTIF('Fernando'!$B$6:$B$300,$A393)+COUNTIF('Stephanie'!$B$6:$B$300,$A393)+COUNTIF('Fox'!$B$6:$B$300,$A393)+COUNTIF('Bruna'!$B$6:$B$300,$A393)+COUNTIF('Stella'!$B$6:$B$300,$A393)+COUNTIF('Igor'!$B$6:$B$300,$A393))=0),"",(COUNTIFS('Clarice'!$B$6:$B$300,$A393,'Clarice'!$F$6:$F$300,"Concluído")+COUNTIFS('Luisa'!$B$6:$B$300,$A393,'Luisa'!$F$6:$F$300,"Concluído")+COUNTIFS('Lui'!$B$6:$B$300,$A393,'Lui'!$F$6:$F$300,"Concluído")+COUNTIFS('Thaís'!$B$6:$B$300,$A393,'Thaís'!$F$6:$F$300,"Concluído")+COUNTIFS('Daniel'!$B$6:$B$300,$A393,'Daniel'!$F$6:$F$300,"Concluído")+COUNTIFS('Fernando'!$B$6:$B$300,$A393,'Fernando'!$F$6:$F$300,"Concluído")+COUNTIFS('Stephanie'!$B$6:$B$300,$A393,'Stephanie'!$F$6:$F$300,"Concluído")+COUNTIFS('Fox'!$B$6:$B$300,$A393,'Fox'!$F$6:$F$300,"Concluído")+COUNTIFS('Bruna'!$B$6:$B$300,$A393,'Bruna'!$F$6:$F$300,"Concluído")+COUNTIFS('Stella'!$B$6:$B$300,$A393,'Stella'!$F$6:$F$300,"Concluído")+COUNTIFS('Igor'!$B$6:$B$300,$A393,'Igor'!$F$6:$F$300,"Concluído"))&amp;" / "&amp;(COUNTIF('Clarice'!$B$6:$B$300,$A393)+COUNTIF('Luisa'!$B$6:$B$300,$A393)+COUNTIF('Lui'!$B$6:$B$300,$A393)+COUNTIF('Thaís'!$B$6:$B$300,$A393)+COUNTIF('Daniel'!$B$6:$B$300,$A393)+COUNTIF('Fernando'!$B$6:$B$300,$A393)+COUNTIF('Stephanie'!$B$6:$B$300,$A393)+COUNTIF('Fox'!$B$6:$B$300,$A393)+COUNTIF('Bruna'!$B$6:$B$300,$A393)+COUNTIF('Stella'!$B$6:$B$300,$A393)+COUNTIF('Igor'!$B$6:$B$300,$A393)))</f>
        <v/>
      </c>
      <c r="P393" s="25">
        <f>IF($A393="","",IF(M393&lt;&gt;"",M393,IF(K393&lt;&gt;"",K393,"")))</f>
        <v/>
      </c>
      <c r="Q393" s="25">
        <f>IF($A393="","",IF(N393&lt;&gt;"",N393,IF(L393&lt;&gt;"",L393,"")))</f>
        <v/>
      </c>
      <c r="S393" s="23">
        <f t="array" ref="S393">IF($A393="","",_xlfn.TEXTJOIN(CHAR(10),TRUE,IF('Clarice'!$B$6:$B$300=$A393,"Clarice"&amp;IF('Clarice'!$E$6:$E$300="",""," : "&amp;'Clarice'!$E$6:$E$300)&amp;" ["&amp;'Clarice'!$F$6:$F$300&amp;"]",""),IF('Luisa'!$B$6:$B$300=$A393,"Luisa"&amp;IF('Luisa'!$E$6:$E$300="",""," : "&amp;'Luisa'!$E$6:$E$300)&amp;" ["&amp;'Luisa'!$F$6:$F$300&amp;"]",""),IF('Lui'!$B$6:$B$300=$A393,"Lui"&amp;IF('Lui'!$E$6:$E$300="",""," : "&amp;'Lui'!$E$6:$E$300)&amp;" ["&amp;'Lui'!$F$6:$F$300&amp;"]",""),IF('Thaís'!$B$6:$B$300=$A393,"Thaís"&amp;IF('Thaís'!$E$6:$E$300="",""," : "&amp;'Thaís'!$E$6:$E$300)&amp;" ["&amp;'Thaís'!$F$6:$F$300&amp;"]",""),IF('Daniel'!$B$6:$B$300=$A393,"Daniel"&amp;IF('Daniel'!$E$6:$E$300="",""," : "&amp;'Daniel'!$E$6:$E$300)&amp;" ["&amp;'Daniel'!$F$6:$F$300&amp;"]",""),IF('Fernando'!$B$6:$B$300=$A393,"Fernando"&amp;IF('Fernando'!$E$6:$E$300="",""," : "&amp;'Fernando'!$E$6:$E$300)&amp;" ["&amp;'Fernando'!$F$6:$F$300&amp;"]",""),IF('Stephanie'!$B$6:$B$300=$A393,"Stephanie"&amp;IF('Stephanie'!$E$6:$E$300="",""," : "&amp;'Stephanie'!$E$6:$E$300)&amp;" ["&amp;'Stephanie'!$F$6:$F$300&amp;"]",""),IF('Fox'!$B$6:$B$300=$A393,"Fox"&amp;IF('Fox'!$E$6:$E$300="",""," : "&amp;'Fox'!$E$6:$E$300)&amp;" ["&amp;'Fox'!$F$6:$F$300&amp;"]",""),IF('Bruna'!$B$6:$B$300=$A393,"Bruna"&amp;IF('Bruna'!$E$6:$E$300="",""," : "&amp;'Bruna'!$E$6:$E$300)&amp;" ["&amp;'Bruna'!$F$6:$F$300&amp;"]",""),IF('Stella'!$B$6:$B$300=$A393,"Stella"&amp;IF('Stella'!$E$6:$E$300="",""," : "&amp;'Stella'!$E$6:$E$300)&amp;" ["&amp;'Stella'!$F$6:$F$300&amp;"]",""),IF('Igor'!$B$6:$B$300=$A393,"Igor"&amp;IF('Igor'!$E$6:$E$300="",""," : "&amp;'Igor'!$E$6:$E$300)&amp;" ["&amp;'Igor'!$F$6:$F$300&amp;"]","")))</f>
        <v/>
      </c>
    </row>
    <row r="394">
      <c r="G394" s="23">
        <f>IF($A394="","",_xlfn.TEXTJOIN("; ",TRUE,IF(COUNTIF('Clarice'!$B$6:$B$300,$A394)&gt;0,"Clarice",""),IF(COUNTIF('Luisa'!$B$6:$B$300,$A394)&gt;0,"Luisa",""),IF(COUNTIF('Lui'!$B$6:$B$300,$A394)&gt;0,"Lui",""),IF(COUNTIF('Thaís'!$B$6:$B$300,$A394)&gt;0,"Thaís",""),IF(COUNTIF('Daniel'!$B$6:$B$300,$A394)&gt;0,"Daniel",""),IF(COUNTIF('Fernando'!$B$6:$B$300,$A394)&gt;0,"Fernando",""),IF(COUNTIF('Stephanie'!$B$6:$B$300,$A394)&gt;0,"Stephanie",""),IF(COUNTIF('Fox'!$B$6:$B$300,$A394)&gt;0,"Fox",""),IF(COUNTIF('Bruna'!$B$6:$B$300,$A394)&gt;0,"Bruna",""),IF(COUNTIF('Stella'!$B$6:$B$300,$A394)&gt;0,"Stella",""),IF(COUNTIF('Igor'!$B$6:$B$300,$A394)&gt;0,"Igor","")))</f>
        <v/>
      </c>
      <c r="J394" s="24">
        <f>IF(OR($A394="",(COUNTIF('Clarice'!$B$6:$B$300,$A394)+COUNTIF('Luisa'!$B$6:$B$300,$A394)+COUNTIF('Lui'!$B$6:$B$300,$A394)+COUNTIF('Thaís'!$B$6:$B$300,$A394)+COUNTIF('Daniel'!$B$6:$B$300,$A394)+COUNTIF('Fernando'!$B$6:$B$300,$A394)+COUNTIF('Stephanie'!$B$6:$B$300,$A394)+COUNTIF('Fox'!$B$6:$B$300,$A394)+COUNTIF('Bruna'!$B$6:$B$300,$A394)+COUNTIF('Stella'!$B$6:$B$300,$A394)+COUNTIF('Igor'!$B$6:$B$300,$A394))=0),"",(COUNTIFS('Clarice'!$B$6:$B$300,$A394,'Clarice'!$F$6:$F$300,"Concluído")+COUNTIFS('Luisa'!$B$6:$B$300,$A394,'Luisa'!$F$6:$F$300,"Concluído")+COUNTIFS('Lui'!$B$6:$B$300,$A394,'Lui'!$F$6:$F$300,"Concluído")+COUNTIFS('Thaís'!$B$6:$B$300,$A394,'Thaís'!$F$6:$F$300,"Concluído")+COUNTIFS('Daniel'!$B$6:$B$300,$A394,'Daniel'!$F$6:$F$300,"Concluído")+COUNTIFS('Fernando'!$B$6:$B$300,$A394,'Fernando'!$F$6:$F$300,"Concluído")+COUNTIFS('Stephanie'!$B$6:$B$300,$A394,'Stephanie'!$F$6:$F$300,"Concluído")+COUNTIFS('Fox'!$B$6:$B$300,$A394,'Fox'!$F$6:$F$300,"Concluído")+COUNTIFS('Bruna'!$B$6:$B$300,$A394,'Bruna'!$F$6:$F$300,"Concluído")+COUNTIFS('Stella'!$B$6:$B$300,$A394,'Stella'!$F$6:$F$300,"Concluído")+COUNTIFS('Igor'!$B$6:$B$300,$A394,'Igor'!$F$6:$F$300,"Concluído"))&amp;" / "&amp;(COUNTIF('Clarice'!$B$6:$B$300,$A394)+COUNTIF('Luisa'!$B$6:$B$300,$A394)+COUNTIF('Lui'!$B$6:$B$300,$A394)+COUNTIF('Thaís'!$B$6:$B$300,$A394)+COUNTIF('Daniel'!$B$6:$B$300,$A394)+COUNTIF('Fernando'!$B$6:$B$300,$A394)+COUNTIF('Stephanie'!$B$6:$B$300,$A394)+COUNTIF('Fox'!$B$6:$B$300,$A394)+COUNTIF('Bruna'!$B$6:$B$300,$A394)+COUNTIF('Stella'!$B$6:$B$300,$A394)+COUNTIF('Igor'!$B$6:$B$300,$A394)))</f>
        <v/>
      </c>
      <c r="P394" s="25">
        <f>IF($A394="","",IF(M394&lt;&gt;"",M394,IF(K394&lt;&gt;"",K394,"")))</f>
        <v/>
      </c>
      <c r="Q394" s="25">
        <f>IF($A394="","",IF(N394&lt;&gt;"",N394,IF(L394&lt;&gt;"",L394,"")))</f>
        <v/>
      </c>
      <c r="S394" s="23">
        <f t="array" ref="S394">IF($A394="","",_xlfn.TEXTJOIN(CHAR(10),TRUE,IF('Clarice'!$B$6:$B$300=$A394,"Clarice"&amp;IF('Clarice'!$E$6:$E$300="",""," : "&amp;'Clarice'!$E$6:$E$300)&amp;" ["&amp;'Clarice'!$F$6:$F$300&amp;"]",""),IF('Luisa'!$B$6:$B$300=$A394,"Luisa"&amp;IF('Luisa'!$E$6:$E$300="",""," : "&amp;'Luisa'!$E$6:$E$300)&amp;" ["&amp;'Luisa'!$F$6:$F$300&amp;"]",""),IF('Lui'!$B$6:$B$300=$A394,"Lui"&amp;IF('Lui'!$E$6:$E$300="",""," : "&amp;'Lui'!$E$6:$E$300)&amp;" ["&amp;'Lui'!$F$6:$F$300&amp;"]",""),IF('Thaís'!$B$6:$B$300=$A394,"Thaís"&amp;IF('Thaís'!$E$6:$E$300="",""," : "&amp;'Thaís'!$E$6:$E$300)&amp;" ["&amp;'Thaís'!$F$6:$F$300&amp;"]",""),IF('Daniel'!$B$6:$B$300=$A394,"Daniel"&amp;IF('Daniel'!$E$6:$E$300="",""," : "&amp;'Daniel'!$E$6:$E$300)&amp;" ["&amp;'Daniel'!$F$6:$F$300&amp;"]",""),IF('Fernando'!$B$6:$B$300=$A394,"Fernando"&amp;IF('Fernando'!$E$6:$E$300="",""," : "&amp;'Fernando'!$E$6:$E$300)&amp;" ["&amp;'Fernando'!$F$6:$F$300&amp;"]",""),IF('Stephanie'!$B$6:$B$300=$A394,"Stephanie"&amp;IF('Stephanie'!$E$6:$E$300="",""," : "&amp;'Stephanie'!$E$6:$E$300)&amp;" ["&amp;'Stephanie'!$F$6:$F$300&amp;"]",""),IF('Fox'!$B$6:$B$300=$A394,"Fox"&amp;IF('Fox'!$E$6:$E$300="",""," : "&amp;'Fox'!$E$6:$E$300)&amp;" ["&amp;'Fox'!$F$6:$F$300&amp;"]",""),IF('Bruna'!$B$6:$B$300=$A394,"Bruna"&amp;IF('Bruna'!$E$6:$E$300="",""," : "&amp;'Bruna'!$E$6:$E$300)&amp;" ["&amp;'Bruna'!$F$6:$F$300&amp;"]",""),IF('Stella'!$B$6:$B$300=$A394,"Stella"&amp;IF('Stella'!$E$6:$E$300="",""," : "&amp;'Stella'!$E$6:$E$300)&amp;" ["&amp;'Stella'!$F$6:$F$300&amp;"]",""),IF('Igor'!$B$6:$B$300=$A394,"Igor"&amp;IF('Igor'!$E$6:$E$300="",""," : "&amp;'Igor'!$E$6:$E$300)&amp;" ["&amp;'Igor'!$F$6:$F$300&amp;"]","")))</f>
        <v/>
      </c>
    </row>
    <row r="395">
      <c r="G395" s="23">
        <f>IF($A395="","",_xlfn.TEXTJOIN("; ",TRUE,IF(COUNTIF('Clarice'!$B$6:$B$300,$A395)&gt;0,"Clarice",""),IF(COUNTIF('Luisa'!$B$6:$B$300,$A395)&gt;0,"Luisa",""),IF(COUNTIF('Lui'!$B$6:$B$300,$A395)&gt;0,"Lui",""),IF(COUNTIF('Thaís'!$B$6:$B$300,$A395)&gt;0,"Thaís",""),IF(COUNTIF('Daniel'!$B$6:$B$300,$A395)&gt;0,"Daniel",""),IF(COUNTIF('Fernando'!$B$6:$B$300,$A395)&gt;0,"Fernando",""),IF(COUNTIF('Stephanie'!$B$6:$B$300,$A395)&gt;0,"Stephanie",""),IF(COUNTIF('Fox'!$B$6:$B$300,$A395)&gt;0,"Fox",""),IF(COUNTIF('Bruna'!$B$6:$B$300,$A395)&gt;0,"Bruna",""),IF(COUNTIF('Stella'!$B$6:$B$300,$A395)&gt;0,"Stella",""),IF(COUNTIF('Igor'!$B$6:$B$300,$A395)&gt;0,"Igor","")))</f>
        <v/>
      </c>
      <c r="J395" s="24">
        <f>IF(OR($A395="",(COUNTIF('Clarice'!$B$6:$B$300,$A395)+COUNTIF('Luisa'!$B$6:$B$300,$A395)+COUNTIF('Lui'!$B$6:$B$300,$A395)+COUNTIF('Thaís'!$B$6:$B$300,$A395)+COUNTIF('Daniel'!$B$6:$B$300,$A395)+COUNTIF('Fernando'!$B$6:$B$300,$A395)+COUNTIF('Stephanie'!$B$6:$B$300,$A395)+COUNTIF('Fox'!$B$6:$B$300,$A395)+COUNTIF('Bruna'!$B$6:$B$300,$A395)+COUNTIF('Stella'!$B$6:$B$300,$A395)+COUNTIF('Igor'!$B$6:$B$300,$A395))=0),"",(COUNTIFS('Clarice'!$B$6:$B$300,$A395,'Clarice'!$F$6:$F$300,"Concluído")+COUNTIFS('Luisa'!$B$6:$B$300,$A395,'Luisa'!$F$6:$F$300,"Concluído")+COUNTIFS('Lui'!$B$6:$B$300,$A395,'Lui'!$F$6:$F$300,"Concluído")+COUNTIFS('Thaís'!$B$6:$B$300,$A395,'Thaís'!$F$6:$F$300,"Concluído")+COUNTIFS('Daniel'!$B$6:$B$300,$A395,'Daniel'!$F$6:$F$300,"Concluído")+COUNTIFS('Fernando'!$B$6:$B$300,$A395,'Fernando'!$F$6:$F$300,"Concluído")+COUNTIFS('Stephanie'!$B$6:$B$300,$A395,'Stephanie'!$F$6:$F$300,"Concluído")+COUNTIFS('Fox'!$B$6:$B$300,$A395,'Fox'!$F$6:$F$300,"Concluído")+COUNTIFS('Bruna'!$B$6:$B$300,$A395,'Bruna'!$F$6:$F$300,"Concluído")+COUNTIFS('Stella'!$B$6:$B$300,$A395,'Stella'!$F$6:$F$300,"Concluído")+COUNTIFS('Igor'!$B$6:$B$300,$A395,'Igor'!$F$6:$F$300,"Concluído"))&amp;" / "&amp;(COUNTIF('Clarice'!$B$6:$B$300,$A395)+COUNTIF('Luisa'!$B$6:$B$300,$A395)+COUNTIF('Lui'!$B$6:$B$300,$A395)+COUNTIF('Thaís'!$B$6:$B$300,$A395)+COUNTIF('Daniel'!$B$6:$B$300,$A395)+COUNTIF('Fernando'!$B$6:$B$300,$A395)+COUNTIF('Stephanie'!$B$6:$B$300,$A395)+COUNTIF('Fox'!$B$6:$B$300,$A395)+COUNTIF('Bruna'!$B$6:$B$300,$A395)+COUNTIF('Stella'!$B$6:$B$300,$A395)+COUNTIF('Igor'!$B$6:$B$300,$A395)))</f>
        <v/>
      </c>
      <c r="P395" s="25">
        <f>IF($A395="","",IF(M395&lt;&gt;"",M395,IF(K395&lt;&gt;"",K395,"")))</f>
        <v/>
      </c>
      <c r="Q395" s="25">
        <f>IF($A395="","",IF(N395&lt;&gt;"",N395,IF(L395&lt;&gt;"",L395,"")))</f>
        <v/>
      </c>
      <c r="S395" s="23">
        <f t="array" ref="S395">IF($A395="","",_xlfn.TEXTJOIN(CHAR(10),TRUE,IF('Clarice'!$B$6:$B$300=$A395,"Clarice"&amp;IF('Clarice'!$E$6:$E$300="",""," : "&amp;'Clarice'!$E$6:$E$300)&amp;" ["&amp;'Clarice'!$F$6:$F$300&amp;"]",""),IF('Luisa'!$B$6:$B$300=$A395,"Luisa"&amp;IF('Luisa'!$E$6:$E$300="",""," : "&amp;'Luisa'!$E$6:$E$300)&amp;" ["&amp;'Luisa'!$F$6:$F$300&amp;"]",""),IF('Lui'!$B$6:$B$300=$A395,"Lui"&amp;IF('Lui'!$E$6:$E$300="",""," : "&amp;'Lui'!$E$6:$E$300)&amp;" ["&amp;'Lui'!$F$6:$F$300&amp;"]",""),IF('Thaís'!$B$6:$B$300=$A395,"Thaís"&amp;IF('Thaís'!$E$6:$E$300="",""," : "&amp;'Thaís'!$E$6:$E$300)&amp;" ["&amp;'Thaís'!$F$6:$F$300&amp;"]",""),IF('Daniel'!$B$6:$B$300=$A395,"Daniel"&amp;IF('Daniel'!$E$6:$E$300="",""," : "&amp;'Daniel'!$E$6:$E$300)&amp;" ["&amp;'Daniel'!$F$6:$F$300&amp;"]",""),IF('Fernando'!$B$6:$B$300=$A395,"Fernando"&amp;IF('Fernando'!$E$6:$E$300="",""," : "&amp;'Fernando'!$E$6:$E$300)&amp;" ["&amp;'Fernando'!$F$6:$F$300&amp;"]",""),IF('Stephanie'!$B$6:$B$300=$A395,"Stephanie"&amp;IF('Stephanie'!$E$6:$E$300="",""," : "&amp;'Stephanie'!$E$6:$E$300)&amp;" ["&amp;'Stephanie'!$F$6:$F$300&amp;"]",""),IF('Fox'!$B$6:$B$300=$A395,"Fox"&amp;IF('Fox'!$E$6:$E$300="",""," : "&amp;'Fox'!$E$6:$E$300)&amp;" ["&amp;'Fox'!$F$6:$F$300&amp;"]",""),IF('Bruna'!$B$6:$B$300=$A395,"Bruna"&amp;IF('Bruna'!$E$6:$E$300="",""," : "&amp;'Bruna'!$E$6:$E$300)&amp;" ["&amp;'Bruna'!$F$6:$F$300&amp;"]",""),IF('Stella'!$B$6:$B$300=$A395,"Stella"&amp;IF('Stella'!$E$6:$E$300="",""," : "&amp;'Stella'!$E$6:$E$300)&amp;" ["&amp;'Stella'!$F$6:$F$300&amp;"]",""),IF('Igor'!$B$6:$B$300=$A395,"Igor"&amp;IF('Igor'!$E$6:$E$300="",""," : "&amp;'Igor'!$E$6:$E$300)&amp;" ["&amp;'Igor'!$F$6:$F$300&amp;"]","")))</f>
        <v/>
      </c>
    </row>
    <row r="396">
      <c r="G396" s="23">
        <f>IF($A396="","",_xlfn.TEXTJOIN("; ",TRUE,IF(COUNTIF('Clarice'!$B$6:$B$300,$A396)&gt;0,"Clarice",""),IF(COUNTIF('Luisa'!$B$6:$B$300,$A396)&gt;0,"Luisa",""),IF(COUNTIF('Lui'!$B$6:$B$300,$A396)&gt;0,"Lui",""),IF(COUNTIF('Thaís'!$B$6:$B$300,$A396)&gt;0,"Thaís",""),IF(COUNTIF('Daniel'!$B$6:$B$300,$A396)&gt;0,"Daniel",""),IF(COUNTIF('Fernando'!$B$6:$B$300,$A396)&gt;0,"Fernando",""),IF(COUNTIF('Stephanie'!$B$6:$B$300,$A396)&gt;0,"Stephanie",""),IF(COUNTIF('Fox'!$B$6:$B$300,$A396)&gt;0,"Fox",""),IF(COUNTIF('Bruna'!$B$6:$B$300,$A396)&gt;0,"Bruna",""),IF(COUNTIF('Stella'!$B$6:$B$300,$A396)&gt;0,"Stella",""),IF(COUNTIF('Igor'!$B$6:$B$300,$A396)&gt;0,"Igor","")))</f>
        <v/>
      </c>
      <c r="J396" s="24">
        <f>IF(OR($A396="",(COUNTIF('Clarice'!$B$6:$B$300,$A396)+COUNTIF('Luisa'!$B$6:$B$300,$A396)+COUNTIF('Lui'!$B$6:$B$300,$A396)+COUNTIF('Thaís'!$B$6:$B$300,$A396)+COUNTIF('Daniel'!$B$6:$B$300,$A396)+COUNTIF('Fernando'!$B$6:$B$300,$A396)+COUNTIF('Stephanie'!$B$6:$B$300,$A396)+COUNTIF('Fox'!$B$6:$B$300,$A396)+COUNTIF('Bruna'!$B$6:$B$300,$A396)+COUNTIF('Stella'!$B$6:$B$300,$A396)+COUNTIF('Igor'!$B$6:$B$300,$A396))=0),"",(COUNTIFS('Clarice'!$B$6:$B$300,$A396,'Clarice'!$F$6:$F$300,"Concluído")+COUNTIFS('Luisa'!$B$6:$B$300,$A396,'Luisa'!$F$6:$F$300,"Concluído")+COUNTIFS('Lui'!$B$6:$B$300,$A396,'Lui'!$F$6:$F$300,"Concluído")+COUNTIFS('Thaís'!$B$6:$B$300,$A396,'Thaís'!$F$6:$F$300,"Concluído")+COUNTIFS('Daniel'!$B$6:$B$300,$A396,'Daniel'!$F$6:$F$300,"Concluído")+COUNTIFS('Fernando'!$B$6:$B$300,$A396,'Fernando'!$F$6:$F$300,"Concluído")+COUNTIFS('Stephanie'!$B$6:$B$300,$A396,'Stephanie'!$F$6:$F$300,"Concluído")+COUNTIFS('Fox'!$B$6:$B$300,$A396,'Fox'!$F$6:$F$300,"Concluído")+COUNTIFS('Bruna'!$B$6:$B$300,$A396,'Bruna'!$F$6:$F$300,"Concluído")+COUNTIFS('Stella'!$B$6:$B$300,$A396,'Stella'!$F$6:$F$300,"Concluído")+COUNTIFS('Igor'!$B$6:$B$300,$A396,'Igor'!$F$6:$F$300,"Concluído"))&amp;" / "&amp;(COUNTIF('Clarice'!$B$6:$B$300,$A396)+COUNTIF('Luisa'!$B$6:$B$300,$A396)+COUNTIF('Lui'!$B$6:$B$300,$A396)+COUNTIF('Thaís'!$B$6:$B$300,$A396)+COUNTIF('Daniel'!$B$6:$B$300,$A396)+COUNTIF('Fernando'!$B$6:$B$300,$A396)+COUNTIF('Stephanie'!$B$6:$B$300,$A396)+COUNTIF('Fox'!$B$6:$B$300,$A396)+COUNTIF('Bruna'!$B$6:$B$300,$A396)+COUNTIF('Stella'!$B$6:$B$300,$A396)+COUNTIF('Igor'!$B$6:$B$300,$A396)))</f>
        <v/>
      </c>
      <c r="P396" s="25">
        <f>IF($A396="","",IF(M396&lt;&gt;"",M396,IF(K396&lt;&gt;"",K396,"")))</f>
        <v/>
      </c>
      <c r="Q396" s="25">
        <f>IF($A396="","",IF(N396&lt;&gt;"",N396,IF(L396&lt;&gt;"",L396,"")))</f>
        <v/>
      </c>
      <c r="S396" s="23">
        <f t="array" ref="S396">IF($A396="","",_xlfn.TEXTJOIN(CHAR(10),TRUE,IF('Clarice'!$B$6:$B$300=$A396,"Clarice"&amp;IF('Clarice'!$E$6:$E$300="",""," : "&amp;'Clarice'!$E$6:$E$300)&amp;" ["&amp;'Clarice'!$F$6:$F$300&amp;"]",""),IF('Luisa'!$B$6:$B$300=$A396,"Luisa"&amp;IF('Luisa'!$E$6:$E$300="",""," : "&amp;'Luisa'!$E$6:$E$300)&amp;" ["&amp;'Luisa'!$F$6:$F$300&amp;"]",""),IF('Lui'!$B$6:$B$300=$A396,"Lui"&amp;IF('Lui'!$E$6:$E$300="",""," : "&amp;'Lui'!$E$6:$E$300)&amp;" ["&amp;'Lui'!$F$6:$F$300&amp;"]",""),IF('Thaís'!$B$6:$B$300=$A396,"Thaís"&amp;IF('Thaís'!$E$6:$E$300="",""," : "&amp;'Thaís'!$E$6:$E$300)&amp;" ["&amp;'Thaís'!$F$6:$F$300&amp;"]",""),IF('Daniel'!$B$6:$B$300=$A396,"Daniel"&amp;IF('Daniel'!$E$6:$E$300="",""," : "&amp;'Daniel'!$E$6:$E$300)&amp;" ["&amp;'Daniel'!$F$6:$F$300&amp;"]",""),IF('Fernando'!$B$6:$B$300=$A396,"Fernando"&amp;IF('Fernando'!$E$6:$E$300="",""," : "&amp;'Fernando'!$E$6:$E$300)&amp;" ["&amp;'Fernando'!$F$6:$F$300&amp;"]",""),IF('Stephanie'!$B$6:$B$300=$A396,"Stephanie"&amp;IF('Stephanie'!$E$6:$E$300="",""," : "&amp;'Stephanie'!$E$6:$E$300)&amp;" ["&amp;'Stephanie'!$F$6:$F$300&amp;"]",""),IF('Fox'!$B$6:$B$300=$A396,"Fox"&amp;IF('Fox'!$E$6:$E$300="",""," : "&amp;'Fox'!$E$6:$E$300)&amp;" ["&amp;'Fox'!$F$6:$F$300&amp;"]",""),IF('Bruna'!$B$6:$B$300=$A396,"Bruna"&amp;IF('Bruna'!$E$6:$E$300="",""," : "&amp;'Bruna'!$E$6:$E$300)&amp;" ["&amp;'Bruna'!$F$6:$F$300&amp;"]",""),IF('Stella'!$B$6:$B$300=$A396,"Stella"&amp;IF('Stella'!$E$6:$E$300="",""," : "&amp;'Stella'!$E$6:$E$300)&amp;" ["&amp;'Stella'!$F$6:$F$300&amp;"]",""),IF('Igor'!$B$6:$B$300=$A396,"Igor"&amp;IF('Igor'!$E$6:$E$300="",""," : "&amp;'Igor'!$E$6:$E$300)&amp;" ["&amp;'Igor'!$F$6:$F$300&amp;"]","")))</f>
        <v/>
      </c>
    </row>
    <row r="397">
      <c r="G397" s="23">
        <f>IF($A397="","",_xlfn.TEXTJOIN("; ",TRUE,IF(COUNTIF('Clarice'!$B$6:$B$300,$A397)&gt;0,"Clarice",""),IF(COUNTIF('Luisa'!$B$6:$B$300,$A397)&gt;0,"Luisa",""),IF(COUNTIF('Lui'!$B$6:$B$300,$A397)&gt;0,"Lui",""),IF(COUNTIF('Thaís'!$B$6:$B$300,$A397)&gt;0,"Thaís",""),IF(COUNTIF('Daniel'!$B$6:$B$300,$A397)&gt;0,"Daniel",""),IF(COUNTIF('Fernando'!$B$6:$B$300,$A397)&gt;0,"Fernando",""),IF(COUNTIF('Stephanie'!$B$6:$B$300,$A397)&gt;0,"Stephanie",""),IF(COUNTIF('Fox'!$B$6:$B$300,$A397)&gt;0,"Fox",""),IF(COUNTIF('Bruna'!$B$6:$B$300,$A397)&gt;0,"Bruna",""),IF(COUNTIF('Stella'!$B$6:$B$300,$A397)&gt;0,"Stella",""),IF(COUNTIF('Igor'!$B$6:$B$300,$A397)&gt;0,"Igor","")))</f>
        <v/>
      </c>
      <c r="J397" s="24">
        <f>IF(OR($A397="",(COUNTIF('Clarice'!$B$6:$B$300,$A397)+COUNTIF('Luisa'!$B$6:$B$300,$A397)+COUNTIF('Lui'!$B$6:$B$300,$A397)+COUNTIF('Thaís'!$B$6:$B$300,$A397)+COUNTIF('Daniel'!$B$6:$B$300,$A397)+COUNTIF('Fernando'!$B$6:$B$300,$A397)+COUNTIF('Stephanie'!$B$6:$B$300,$A397)+COUNTIF('Fox'!$B$6:$B$300,$A397)+COUNTIF('Bruna'!$B$6:$B$300,$A397)+COUNTIF('Stella'!$B$6:$B$300,$A397)+COUNTIF('Igor'!$B$6:$B$300,$A397))=0),"",(COUNTIFS('Clarice'!$B$6:$B$300,$A397,'Clarice'!$F$6:$F$300,"Concluído")+COUNTIFS('Luisa'!$B$6:$B$300,$A397,'Luisa'!$F$6:$F$300,"Concluído")+COUNTIFS('Lui'!$B$6:$B$300,$A397,'Lui'!$F$6:$F$300,"Concluído")+COUNTIFS('Thaís'!$B$6:$B$300,$A397,'Thaís'!$F$6:$F$300,"Concluído")+COUNTIFS('Daniel'!$B$6:$B$300,$A397,'Daniel'!$F$6:$F$300,"Concluído")+COUNTIFS('Fernando'!$B$6:$B$300,$A397,'Fernando'!$F$6:$F$300,"Concluído")+COUNTIFS('Stephanie'!$B$6:$B$300,$A397,'Stephanie'!$F$6:$F$300,"Concluído")+COUNTIFS('Fox'!$B$6:$B$300,$A397,'Fox'!$F$6:$F$300,"Concluído")+COUNTIFS('Bruna'!$B$6:$B$300,$A397,'Bruna'!$F$6:$F$300,"Concluído")+COUNTIFS('Stella'!$B$6:$B$300,$A397,'Stella'!$F$6:$F$300,"Concluído")+COUNTIFS('Igor'!$B$6:$B$300,$A397,'Igor'!$F$6:$F$300,"Concluído"))&amp;" / "&amp;(COUNTIF('Clarice'!$B$6:$B$300,$A397)+COUNTIF('Luisa'!$B$6:$B$300,$A397)+COUNTIF('Lui'!$B$6:$B$300,$A397)+COUNTIF('Thaís'!$B$6:$B$300,$A397)+COUNTIF('Daniel'!$B$6:$B$300,$A397)+COUNTIF('Fernando'!$B$6:$B$300,$A397)+COUNTIF('Stephanie'!$B$6:$B$300,$A397)+COUNTIF('Fox'!$B$6:$B$300,$A397)+COUNTIF('Bruna'!$B$6:$B$300,$A397)+COUNTIF('Stella'!$B$6:$B$300,$A397)+COUNTIF('Igor'!$B$6:$B$300,$A397)))</f>
        <v/>
      </c>
      <c r="P397" s="25">
        <f>IF($A397="","",IF(M397&lt;&gt;"",M397,IF(K397&lt;&gt;"",K397,"")))</f>
        <v/>
      </c>
      <c r="Q397" s="25">
        <f>IF($A397="","",IF(N397&lt;&gt;"",N397,IF(L397&lt;&gt;"",L397,"")))</f>
        <v/>
      </c>
      <c r="S397" s="23">
        <f t="array" ref="S397">IF($A397="","",_xlfn.TEXTJOIN(CHAR(10),TRUE,IF('Clarice'!$B$6:$B$300=$A397,"Clarice"&amp;IF('Clarice'!$E$6:$E$300="",""," : "&amp;'Clarice'!$E$6:$E$300)&amp;" ["&amp;'Clarice'!$F$6:$F$300&amp;"]",""),IF('Luisa'!$B$6:$B$300=$A397,"Luisa"&amp;IF('Luisa'!$E$6:$E$300="",""," : "&amp;'Luisa'!$E$6:$E$300)&amp;" ["&amp;'Luisa'!$F$6:$F$300&amp;"]",""),IF('Lui'!$B$6:$B$300=$A397,"Lui"&amp;IF('Lui'!$E$6:$E$300="",""," : "&amp;'Lui'!$E$6:$E$300)&amp;" ["&amp;'Lui'!$F$6:$F$300&amp;"]",""),IF('Thaís'!$B$6:$B$300=$A397,"Thaís"&amp;IF('Thaís'!$E$6:$E$300="",""," : "&amp;'Thaís'!$E$6:$E$300)&amp;" ["&amp;'Thaís'!$F$6:$F$300&amp;"]",""),IF('Daniel'!$B$6:$B$300=$A397,"Daniel"&amp;IF('Daniel'!$E$6:$E$300="",""," : "&amp;'Daniel'!$E$6:$E$300)&amp;" ["&amp;'Daniel'!$F$6:$F$300&amp;"]",""),IF('Fernando'!$B$6:$B$300=$A397,"Fernando"&amp;IF('Fernando'!$E$6:$E$300="",""," : "&amp;'Fernando'!$E$6:$E$300)&amp;" ["&amp;'Fernando'!$F$6:$F$300&amp;"]",""),IF('Stephanie'!$B$6:$B$300=$A397,"Stephanie"&amp;IF('Stephanie'!$E$6:$E$300="",""," : "&amp;'Stephanie'!$E$6:$E$300)&amp;" ["&amp;'Stephanie'!$F$6:$F$300&amp;"]",""),IF('Fox'!$B$6:$B$300=$A397,"Fox"&amp;IF('Fox'!$E$6:$E$300="",""," : "&amp;'Fox'!$E$6:$E$300)&amp;" ["&amp;'Fox'!$F$6:$F$300&amp;"]",""),IF('Bruna'!$B$6:$B$300=$A397,"Bruna"&amp;IF('Bruna'!$E$6:$E$300="",""," : "&amp;'Bruna'!$E$6:$E$300)&amp;" ["&amp;'Bruna'!$F$6:$F$300&amp;"]",""),IF('Stella'!$B$6:$B$300=$A397,"Stella"&amp;IF('Stella'!$E$6:$E$300="",""," : "&amp;'Stella'!$E$6:$E$300)&amp;" ["&amp;'Stella'!$F$6:$F$300&amp;"]",""),IF('Igor'!$B$6:$B$300=$A397,"Igor"&amp;IF('Igor'!$E$6:$E$300="",""," : "&amp;'Igor'!$E$6:$E$300)&amp;" ["&amp;'Igor'!$F$6:$F$300&amp;"]","")))</f>
        <v/>
      </c>
    </row>
    <row r="398">
      <c r="G398" s="23">
        <f>IF($A398="","",_xlfn.TEXTJOIN("; ",TRUE,IF(COUNTIF('Clarice'!$B$6:$B$300,$A398)&gt;0,"Clarice",""),IF(COUNTIF('Luisa'!$B$6:$B$300,$A398)&gt;0,"Luisa",""),IF(COUNTIF('Lui'!$B$6:$B$300,$A398)&gt;0,"Lui",""),IF(COUNTIF('Thaís'!$B$6:$B$300,$A398)&gt;0,"Thaís",""),IF(COUNTIF('Daniel'!$B$6:$B$300,$A398)&gt;0,"Daniel",""),IF(COUNTIF('Fernando'!$B$6:$B$300,$A398)&gt;0,"Fernando",""),IF(COUNTIF('Stephanie'!$B$6:$B$300,$A398)&gt;0,"Stephanie",""),IF(COUNTIF('Fox'!$B$6:$B$300,$A398)&gt;0,"Fox",""),IF(COUNTIF('Bruna'!$B$6:$B$300,$A398)&gt;0,"Bruna",""),IF(COUNTIF('Stella'!$B$6:$B$300,$A398)&gt;0,"Stella",""),IF(COUNTIF('Igor'!$B$6:$B$300,$A398)&gt;0,"Igor","")))</f>
        <v/>
      </c>
      <c r="J398" s="24">
        <f>IF(OR($A398="",(COUNTIF('Clarice'!$B$6:$B$300,$A398)+COUNTIF('Luisa'!$B$6:$B$300,$A398)+COUNTIF('Lui'!$B$6:$B$300,$A398)+COUNTIF('Thaís'!$B$6:$B$300,$A398)+COUNTIF('Daniel'!$B$6:$B$300,$A398)+COUNTIF('Fernando'!$B$6:$B$300,$A398)+COUNTIF('Stephanie'!$B$6:$B$300,$A398)+COUNTIF('Fox'!$B$6:$B$300,$A398)+COUNTIF('Bruna'!$B$6:$B$300,$A398)+COUNTIF('Stella'!$B$6:$B$300,$A398)+COUNTIF('Igor'!$B$6:$B$300,$A398))=0),"",(COUNTIFS('Clarice'!$B$6:$B$300,$A398,'Clarice'!$F$6:$F$300,"Concluído")+COUNTIFS('Luisa'!$B$6:$B$300,$A398,'Luisa'!$F$6:$F$300,"Concluído")+COUNTIFS('Lui'!$B$6:$B$300,$A398,'Lui'!$F$6:$F$300,"Concluído")+COUNTIFS('Thaís'!$B$6:$B$300,$A398,'Thaís'!$F$6:$F$300,"Concluído")+COUNTIFS('Daniel'!$B$6:$B$300,$A398,'Daniel'!$F$6:$F$300,"Concluído")+COUNTIFS('Fernando'!$B$6:$B$300,$A398,'Fernando'!$F$6:$F$300,"Concluído")+COUNTIFS('Stephanie'!$B$6:$B$300,$A398,'Stephanie'!$F$6:$F$300,"Concluído")+COUNTIFS('Fox'!$B$6:$B$300,$A398,'Fox'!$F$6:$F$300,"Concluído")+COUNTIFS('Bruna'!$B$6:$B$300,$A398,'Bruna'!$F$6:$F$300,"Concluído")+COUNTIFS('Stella'!$B$6:$B$300,$A398,'Stella'!$F$6:$F$300,"Concluído")+COUNTIFS('Igor'!$B$6:$B$300,$A398,'Igor'!$F$6:$F$300,"Concluído"))&amp;" / "&amp;(COUNTIF('Clarice'!$B$6:$B$300,$A398)+COUNTIF('Luisa'!$B$6:$B$300,$A398)+COUNTIF('Lui'!$B$6:$B$300,$A398)+COUNTIF('Thaís'!$B$6:$B$300,$A398)+COUNTIF('Daniel'!$B$6:$B$300,$A398)+COUNTIF('Fernando'!$B$6:$B$300,$A398)+COUNTIF('Stephanie'!$B$6:$B$300,$A398)+COUNTIF('Fox'!$B$6:$B$300,$A398)+COUNTIF('Bruna'!$B$6:$B$300,$A398)+COUNTIF('Stella'!$B$6:$B$300,$A398)+COUNTIF('Igor'!$B$6:$B$300,$A398)))</f>
        <v/>
      </c>
      <c r="P398" s="25">
        <f>IF($A398="","",IF(M398&lt;&gt;"",M398,IF(K398&lt;&gt;"",K398,"")))</f>
        <v/>
      </c>
      <c r="Q398" s="25">
        <f>IF($A398="","",IF(N398&lt;&gt;"",N398,IF(L398&lt;&gt;"",L398,"")))</f>
        <v/>
      </c>
      <c r="S398" s="23">
        <f t="array" ref="S398">IF($A398="","",_xlfn.TEXTJOIN(CHAR(10),TRUE,IF('Clarice'!$B$6:$B$300=$A398,"Clarice"&amp;IF('Clarice'!$E$6:$E$300="",""," : "&amp;'Clarice'!$E$6:$E$300)&amp;" ["&amp;'Clarice'!$F$6:$F$300&amp;"]",""),IF('Luisa'!$B$6:$B$300=$A398,"Luisa"&amp;IF('Luisa'!$E$6:$E$300="",""," : "&amp;'Luisa'!$E$6:$E$300)&amp;" ["&amp;'Luisa'!$F$6:$F$300&amp;"]",""),IF('Lui'!$B$6:$B$300=$A398,"Lui"&amp;IF('Lui'!$E$6:$E$300="",""," : "&amp;'Lui'!$E$6:$E$300)&amp;" ["&amp;'Lui'!$F$6:$F$300&amp;"]",""),IF('Thaís'!$B$6:$B$300=$A398,"Thaís"&amp;IF('Thaís'!$E$6:$E$300="",""," : "&amp;'Thaís'!$E$6:$E$300)&amp;" ["&amp;'Thaís'!$F$6:$F$300&amp;"]",""),IF('Daniel'!$B$6:$B$300=$A398,"Daniel"&amp;IF('Daniel'!$E$6:$E$300="",""," : "&amp;'Daniel'!$E$6:$E$300)&amp;" ["&amp;'Daniel'!$F$6:$F$300&amp;"]",""),IF('Fernando'!$B$6:$B$300=$A398,"Fernando"&amp;IF('Fernando'!$E$6:$E$300="",""," : "&amp;'Fernando'!$E$6:$E$300)&amp;" ["&amp;'Fernando'!$F$6:$F$300&amp;"]",""),IF('Stephanie'!$B$6:$B$300=$A398,"Stephanie"&amp;IF('Stephanie'!$E$6:$E$300="",""," : "&amp;'Stephanie'!$E$6:$E$300)&amp;" ["&amp;'Stephanie'!$F$6:$F$300&amp;"]",""),IF('Fox'!$B$6:$B$300=$A398,"Fox"&amp;IF('Fox'!$E$6:$E$300="",""," : "&amp;'Fox'!$E$6:$E$300)&amp;" ["&amp;'Fox'!$F$6:$F$300&amp;"]",""),IF('Bruna'!$B$6:$B$300=$A398,"Bruna"&amp;IF('Bruna'!$E$6:$E$300="",""," : "&amp;'Bruna'!$E$6:$E$300)&amp;" ["&amp;'Bruna'!$F$6:$F$300&amp;"]",""),IF('Stella'!$B$6:$B$300=$A398,"Stella"&amp;IF('Stella'!$E$6:$E$300="",""," : "&amp;'Stella'!$E$6:$E$300)&amp;" ["&amp;'Stella'!$F$6:$F$300&amp;"]",""),IF('Igor'!$B$6:$B$300=$A398,"Igor"&amp;IF('Igor'!$E$6:$E$300="",""," : "&amp;'Igor'!$E$6:$E$300)&amp;" ["&amp;'Igor'!$F$6:$F$300&amp;"]","")))</f>
        <v/>
      </c>
    </row>
    <row r="399">
      <c r="G399" s="23">
        <f>IF($A399="","",_xlfn.TEXTJOIN("; ",TRUE,IF(COUNTIF('Clarice'!$B$6:$B$300,$A399)&gt;0,"Clarice",""),IF(COUNTIF('Luisa'!$B$6:$B$300,$A399)&gt;0,"Luisa",""),IF(COUNTIF('Lui'!$B$6:$B$300,$A399)&gt;0,"Lui",""),IF(COUNTIF('Thaís'!$B$6:$B$300,$A399)&gt;0,"Thaís",""),IF(COUNTIF('Daniel'!$B$6:$B$300,$A399)&gt;0,"Daniel",""),IF(COUNTIF('Fernando'!$B$6:$B$300,$A399)&gt;0,"Fernando",""),IF(COUNTIF('Stephanie'!$B$6:$B$300,$A399)&gt;0,"Stephanie",""),IF(COUNTIF('Fox'!$B$6:$B$300,$A399)&gt;0,"Fox",""),IF(COUNTIF('Bruna'!$B$6:$B$300,$A399)&gt;0,"Bruna",""),IF(COUNTIF('Stella'!$B$6:$B$300,$A399)&gt;0,"Stella",""),IF(COUNTIF('Igor'!$B$6:$B$300,$A399)&gt;0,"Igor","")))</f>
        <v/>
      </c>
      <c r="J399" s="24">
        <f>IF(OR($A399="",(COUNTIF('Clarice'!$B$6:$B$300,$A399)+COUNTIF('Luisa'!$B$6:$B$300,$A399)+COUNTIF('Lui'!$B$6:$B$300,$A399)+COUNTIF('Thaís'!$B$6:$B$300,$A399)+COUNTIF('Daniel'!$B$6:$B$300,$A399)+COUNTIF('Fernando'!$B$6:$B$300,$A399)+COUNTIF('Stephanie'!$B$6:$B$300,$A399)+COUNTIF('Fox'!$B$6:$B$300,$A399)+COUNTIF('Bruna'!$B$6:$B$300,$A399)+COUNTIF('Stella'!$B$6:$B$300,$A399)+COUNTIF('Igor'!$B$6:$B$300,$A399))=0),"",(COUNTIFS('Clarice'!$B$6:$B$300,$A399,'Clarice'!$F$6:$F$300,"Concluído")+COUNTIFS('Luisa'!$B$6:$B$300,$A399,'Luisa'!$F$6:$F$300,"Concluído")+COUNTIFS('Lui'!$B$6:$B$300,$A399,'Lui'!$F$6:$F$300,"Concluído")+COUNTIFS('Thaís'!$B$6:$B$300,$A399,'Thaís'!$F$6:$F$300,"Concluído")+COUNTIFS('Daniel'!$B$6:$B$300,$A399,'Daniel'!$F$6:$F$300,"Concluído")+COUNTIFS('Fernando'!$B$6:$B$300,$A399,'Fernando'!$F$6:$F$300,"Concluído")+COUNTIFS('Stephanie'!$B$6:$B$300,$A399,'Stephanie'!$F$6:$F$300,"Concluído")+COUNTIFS('Fox'!$B$6:$B$300,$A399,'Fox'!$F$6:$F$300,"Concluído")+COUNTIFS('Bruna'!$B$6:$B$300,$A399,'Bruna'!$F$6:$F$300,"Concluído")+COUNTIFS('Stella'!$B$6:$B$300,$A399,'Stella'!$F$6:$F$300,"Concluído")+COUNTIFS('Igor'!$B$6:$B$300,$A399,'Igor'!$F$6:$F$300,"Concluído"))&amp;" / "&amp;(COUNTIF('Clarice'!$B$6:$B$300,$A399)+COUNTIF('Luisa'!$B$6:$B$300,$A399)+COUNTIF('Lui'!$B$6:$B$300,$A399)+COUNTIF('Thaís'!$B$6:$B$300,$A399)+COUNTIF('Daniel'!$B$6:$B$300,$A399)+COUNTIF('Fernando'!$B$6:$B$300,$A399)+COUNTIF('Stephanie'!$B$6:$B$300,$A399)+COUNTIF('Fox'!$B$6:$B$300,$A399)+COUNTIF('Bruna'!$B$6:$B$300,$A399)+COUNTIF('Stella'!$B$6:$B$300,$A399)+COUNTIF('Igor'!$B$6:$B$300,$A399)))</f>
        <v/>
      </c>
      <c r="P399" s="25">
        <f>IF($A399="","",IF(M399&lt;&gt;"",M399,IF(K399&lt;&gt;"",K399,"")))</f>
        <v/>
      </c>
      <c r="Q399" s="25">
        <f>IF($A399="","",IF(N399&lt;&gt;"",N399,IF(L399&lt;&gt;"",L399,"")))</f>
        <v/>
      </c>
      <c r="S399" s="23">
        <f t="array" ref="S399">IF($A399="","",_xlfn.TEXTJOIN(CHAR(10),TRUE,IF('Clarice'!$B$6:$B$300=$A399,"Clarice"&amp;IF('Clarice'!$E$6:$E$300="",""," : "&amp;'Clarice'!$E$6:$E$300)&amp;" ["&amp;'Clarice'!$F$6:$F$300&amp;"]",""),IF('Luisa'!$B$6:$B$300=$A399,"Luisa"&amp;IF('Luisa'!$E$6:$E$300="",""," : "&amp;'Luisa'!$E$6:$E$300)&amp;" ["&amp;'Luisa'!$F$6:$F$300&amp;"]",""),IF('Lui'!$B$6:$B$300=$A399,"Lui"&amp;IF('Lui'!$E$6:$E$300="",""," : "&amp;'Lui'!$E$6:$E$300)&amp;" ["&amp;'Lui'!$F$6:$F$300&amp;"]",""),IF('Thaís'!$B$6:$B$300=$A399,"Thaís"&amp;IF('Thaís'!$E$6:$E$300="",""," : "&amp;'Thaís'!$E$6:$E$300)&amp;" ["&amp;'Thaís'!$F$6:$F$300&amp;"]",""),IF('Daniel'!$B$6:$B$300=$A399,"Daniel"&amp;IF('Daniel'!$E$6:$E$300="",""," : "&amp;'Daniel'!$E$6:$E$300)&amp;" ["&amp;'Daniel'!$F$6:$F$300&amp;"]",""),IF('Fernando'!$B$6:$B$300=$A399,"Fernando"&amp;IF('Fernando'!$E$6:$E$300="",""," : "&amp;'Fernando'!$E$6:$E$300)&amp;" ["&amp;'Fernando'!$F$6:$F$300&amp;"]",""),IF('Stephanie'!$B$6:$B$300=$A399,"Stephanie"&amp;IF('Stephanie'!$E$6:$E$300="",""," : "&amp;'Stephanie'!$E$6:$E$300)&amp;" ["&amp;'Stephanie'!$F$6:$F$300&amp;"]",""),IF('Fox'!$B$6:$B$300=$A399,"Fox"&amp;IF('Fox'!$E$6:$E$300="",""," : "&amp;'Fox'!$E$6:$E$300)&amp;" ["&amp;'Fox'!$F$6:$F$300&amp;"]",""),IF('Bruna'!$B$6:$B$300=$A399,"Bruna"&amp;IF('Bruna'!$E$6:$E$300="",""," : "&amp;'Bruna'!$E$6:$E$300)&amp;" ["&amp;'Bruna'!$F$6:$F$300&amp;"]",""),IF('Stella'!$B$6:$B$300=$A399,"Stella"&amp;IF('Stella'!$E$6:$E$300="",""," : "&amp;'Stella'!$E$6:$E$300)&amp;" ["&amp;'Stella'!$F$6:$F$300&amp;"]",""),IF('Igor'!$B$6:$B$300=$A399,"Igor"&amp;IF('Igor'!$E$6:$E$300="",""," : "&amp;'Igor'!$E$6:$E$300)&amp;" ["&amp;'Igor'!$F$6:$F$300&amp;"]","")))</f>
        <v/>
      </c>
    </row>
    <row r="400">
      <c r="G400" s="23">
        <f>IF($A400="","",_xlfn.TEXTJOIN("; ",TRUE,IF(COUNTIF('Clarice'!$B$6:$B$300,$A400)&gt;0,"Clarice",""),IF(COUNTIF('Luisa'!$B$6:$B$300,$A400)&gt;0,"Luisa",""),IF(COUNTIF('Lui'!$B$6:$B$300,$A400)&gt;0,"Lui",""),IF(COUNTIF('Thaís'!$B$6:$B$300,$A400)&gt;0,"Thaís",""),IF(COUNTIF('Daniel'!$B$6:$B$300,$A400)&gt;0,"Daniel",""),IF(COUNTIF('Fernando'!$B$6:$B$300,$A400)&gt;0,"Fernando",""),IF(COUNTIF('Stephanie'!$B$6:$B$300,$A400)&gt;0,"Stephanie",""),IF(COUNTIF('Fox'!$B$6:$B$300,$A400)&gt;0,"Fox",""),IF(COUNTIF('Bruna'!$B$6:$B$300,$A400)&gt;0,"Bruna",""),IF(COUNTIF('Stella'!$B$6:$B$300,$A400)&gt;0,"Stella",""),IF(COUNTIF('Igor'!$B$6:$B$300,$A400)&gt;0,"Igor","")))</f>
        <v/>
      </c>
      <c r="J400" s="24">
        <f>IF(OR($A400="",(COUNTIF('Clarice'!$B$6:$B$300,$A400)+COUNTIF('Luisa'!$B$6:$B$300,$A400)+COUNTIF('Lui'!$B$6:$B$300,$A400)+COUNTIF('Thaís'!$B$6:$B$300,$A400)+COUNTIF('Daniel'!$B$6:$B$300,$A400)+COUNTIF('Fernando'!$B$6:$B$300,$A400)+COUNTIF('Stephanie'!$B$6:$B$300,$A400)+COUNTIF('Fox'!$B$6:$B$300,$A400)+COUNTIF('Bruna'!$B$6:$B$300,$A400)+COUNTIF('Stella'!$B$6:$B$300,$A400)+COUNTIF('Igor'!$B$6:$B$300,$A400))=0),"",(COUNTIFS('Clarice'!$B$6:$B$300,$A400,'Clarice'!$F$6:$F$300,"Concluído")+COUNTIFS('Luisa'!$B$6:$B$300,$A400,'Luisa'!$F$6:$F$300,"Concluído")+COUNTIFS('Lui'!$B$6:$B$300,$A400,'Lui'!$F$6:$F$300,"Concluído")+COUNTIFS('Thaís'!$B$6:$B$300,$A400,'Thaís'!$F$6:$F$300,"Concluído")+COUNTIFS('Daniel'!$B$6:$B$300,$A400,'Daniel'!$F$6:$F$300,"Concluído")+COUNTIFS('Fernando'!$B$6:$B$300,$A400,'Fernando'!$F$6:$F$300,"Concluído")+COUNTIFS('Stephanie'!$B$6:$B$300,$A400,'Stephanie'!$F$6:$F$300,"Concluído")+COUNTIFS('Fox'!$B$6:$B$300,$A400,'Fox'!$F$6:$F$300,"Concluído")+COUNTIFS('Bruna'!$B$6:$B$300,$A400,'Bruna'!$F$6:$F$300,"Concluído")+COUNTIFS('Stella'!$B$6:$B$300,$A400,'Stella'!$F$6:$F$300,"Concluído")+COUNTIFS('Igor'!$B$6:$B$300,$A400,'Igor'!$F$6:$F$300,"Concluído"))&amp;" / "&amp;(COUNTIF('Clarice'!$B$6:$B$300,$A400)+COUNTIF('Luisa'!$B$6:$B$300,$A400)+COUNTIF('Lui'!$B$6:$B$300,$A400)+COUNTIF('Thaís'!$B$6:$B$300,$A400)+COUNTIF('Daniel'!$B$6:$B$300,$A400)+COUNTIF('Fernando'!$B$6:$B$300,$A400)+COUNTIF('Stephanie'!$B$6:$B$300,$A400)+COUNTIF('Fox'!$B$6:$B$300,$A400)+COUNTIF('Bruna'!$B$6:$B$300,$A400)+COUNTIF('Stella'!$B$6:$B$300,$A400)+COUNTIF('Igor'!$B$6:$B$300,$A400)))</f>
        <v/>
      </c>
      <c r="P400" s="25">
        <f>IF($A400="","",IF(M400&lt;&gt;"",M400,IF(K400&lt;&gt;"",K400,"")))</f>
        <v/>
      </c>
      <c r="Q400" s="25">
        <f>IF($A400="","",IF(N400&lt;&gt;"",N400,IF(L400&lt;&gt;"",L400,"")))</f>
        <v/>
      </c>
      <c r="S400" s="23">
        <f t="array" ref="S400">IF($A400="","",_xlfn.TEXTJOIN(CHAR(10),TRUE,IF('Clarice'!$B$6:$B$300=$A400,"Clarice"&amp;IF('Clarice'!$E$6:$E$300="",""," : "&amp;'Clarice'!$E$6:$E$300)&amp;" ["&amp;'Clarice'!$F$6:$F$300&amp;"]",""),IF('Luisa'!$B$6:$B$300=$A400,"Luisa"&amp;IF('Luisa'!$E$6:$E$300="",""," : "&amp;'Luisa'!$E$6:$E$300)&amp;" ["&amp;'Luisa'!$F$6:$F$300&amp;"]",""),IF('Lui'!$B$6:$B$300=$A400,"Lui"&amp;IF('Lui'!$E$6:$E$300="",""," : "&amp;'Lui'!$E$6:$E$300)&amp;" ["&amp;'Lui'!$F$6:$F$300&amp;"]",""),IF('Thaís'!$B$6:$B$300=$A400,"Thaís"&amp;IF('Thaís'!$E$6:$E$300="",""," : "&amp;'Thaís'!$E$6:$E$300)&amp;" ["&amp;'Thaís'!$F$6:$F$300&amp;"]",""),IF('Daniel'!$B$6:$B$300=$A400,"Daniel"&amp;IF('Daniel'!$E$6:$E$300="",""," : "&amp;'Daniel'!$E$6:$E$300)&amp;" ["&amp;'Daniel'!$F$6:$F$300&amp;"]",""),IF('Fernando'!$B$6:$B$300=$A400,"Fernando"&amp;IF('Fernando'!$E$6:$E$300="",""," : "&amp;'Fernando'!$E$6:$E$300)&amp;" ["&amp;'Fernando'!$F$6:$F$300&amp;"]",""),IF('Stephanie'!$B$6:$B$300=$A400,"Stephanie"&amp;IF('Stephanie'!$E$6:$E$300="",""," : "&amp;'Stephanie'!$E$6:$E$300)&amp;" ["&amp;'Stephanie'!$F$6:$F$300&amp;"]",""),IF('Fox'!$B$6:$B$300=$A400,"Fox"&amp;IF('Fox'!$E$6:$E$300="",""," : "&amp;'Fox'!$E$6:$E$300)&amp;" ["&amp;'Fox'!$F$6:$F$300&amp;"]",""),IF('Bruna'!$B$6:$B$300=$A400,"Bruna"&amp;IF('Bruna'!$E$6:$E$300="",""," : "&amp;'Bruna'!$E$6:$E$300)&amp;" ["&amp;'Bruna'!$F$6:$F$300&amp;"]",""),IF('Stella'!$B$6:$B$300=$A400,"Stella"&amp;IF('Stella'!$E$6:$E$300="",""," : "&amp;'Stella'!$E$6:$E$300)&amp;" ["&amp;'Stella'!$F$6:$F$300&amp;"]",""),IF('Igor'!$B$6:$B$300=$A400,"Igor"&amp;IF('Igor'!$E$6:$E$300="",""," : "&amp;'Igor'!$E$6:$E$300)&amp;" ["&amp;'Igor'!$F$6:$F$300&amp;"]","")))</f>
        <v/>
      </c>
    </row>
    <row r="401">
      <c r="G401" s="23">
        <f>IF($A401="","",_xlfn.TEXTJOIN("; ",TRUE,IF(COUNTIF('Clarice'!$B$6:$B$300,$A401)&gt;0,"Clarice",""),IF(COUNTIF('Luisa'!$B$6:$B$300,$A401)&gt;0,"Luisa",""),IF(COUNTIF('Lui'!$B$6:$B$300,$A401)&gt;0,"Lui",""),IF(COUNTIF('Thaís'!$B$6:$B$300,$A401)&gt;0,"Thaís",""),IF(COUNTIF('Daniel'!$B$6:$B$300,$A401)&gt;0,"Daniel",""),IF(COUNTIF('Fernando'!$B$6:$B$300,$A401)&gt;0,"Fernando",""),IF(COUNTIF('Stephanie'!$B$6:$B$300,$A401)&gt;0,"Stephanie",""),IF(COUNTIF('Fox'!$B$6:$B$300,$A401)&gt;0,"Fox",""),IF(COUNTIF('Bruna'!$B$6:$B$300,$A401)&gt;0,"Bruna",""),IF(COUNTIF('Stella'!$B$6:$B$300,$A401)&gt;0,"Stella",""),IF(COUNTIF('Igor'!$B$6:$B$300,$A401)&gt;0,"Igor","")))</f>
        <v/>
      </c>
      <c r="J401" s="24">
        <f>IF(OR($A401="",(COUNTIF('Clarice'!$B$6:$B$300,$A401)+COUNTIF('Luisa'!$B$6:$B$300,$A401)+COUNTIF('Lui'!$B$6:$B$300,$A401)+COUNTIF('Thaís'!$B$6:$B$300,$A401)+COUNTIF('Daniel'!$B$6:$B$300,$A401)+COUNTIF('Fernando'!$B$6:$B$300,$A401)+COUNTIF('Stephanie'!$B$6:$B$300,$A401)+COUNTIF('Fox'!$B$6:$B$300,$A401)+COUNTIF('Bruna'!$B$6:$B$300,$A401)+COUNTIF('Stella'!$B$6:$B$300,$A401)+COUNTIF('Igor'!$B$6:$B$300,$A401))=0),"",(COUNTIFS('Clarice'!$B$6:$B$300,$A401,'Clarice'!$F$6:$F$300,"Concluído")+COUNTIFS('Luisa'!$B$6:$B$300,$A401,'Luisa'!$F$6:$F$300,"Concluído")+COUNTIFS('Lui'!$B$6:$B$300,$A401,'Lui'!$F$6:$F$300,"Concluído")+COUNTIFS('Thaís'!$B$6:$B$300,$A401,'Thaís'!$F$6:$F$300,"Concluído")+COUNTIFS('Daniel'!$B$6:$B$300,$A401,'Daniel'!$F$6:$F$300,"Concluído")+COUNTIFS('Fernando'!$B$6:$B$300,$A401,'Fernando'!$F$6:$F$300,"Concluído")+COUNTIFS('Stephanie'!$B$6:$B$300,$A401,'Stephanie'!$F$6:$F$300,"Concluído")+COUNTIFS('Fox'!$B$6:$B$300,$A401,'Fox'!$F$6:$F$300,"Concluído")+COUNTIFS('Bruna'!$B$6:$B$300,$A401,'Bruna'!$F$6:$F$300,"Concluído")+COUNTIFS('Stella'!$B$6:$B$300,$A401,'Stella'!$F$6:$F$300,"Concluído")+COUNTIFS('Igor'!$B$6:$B$300,$A401,'Igor'!$F$6:$F$300,"Concluído"))&amp;" / "&amp;(COUNTIF('Clarice'!$B$6:$B$300,$A401)+COUNTIF('Luisa'!$B$6:$B$300,$A401)+COUNTIF('Lui'!$B$6:$B$300,$A401)+COUNTIF('Thaís'!$B$6:$B$300,$A401)+COUNTIF('Daniel'!$B$6:$B$300,$A401)+COUNTIF('Fernando'!$B$6:$B$300,$A401)+COUNTIF('Stephanie'!$B$6:$B$300,$A401)+COUNTIF('Fox'!$B$6:$B$300,$A401)+COUNTIF('Bruna'!$B$6:$B$300,$A401)+COUNTIF('Stella'!$B$6:$B$300,$A401)+COUNTIF('Igor'!$B$6:$B$300,$A401)))</f>
        <v/>
      </c>
      <c r="P401" s="25">
        <f>IF($A401="","",IF(M401&lt;&gt;"",M401,IF(K401&lt;&gt;"",K401,"")))</f>
        <v/>
      </c>
      <c r="Q401" s="25">
        <f>IF($A401="","",IF(N401&lt;&gt;"",N401,IF(L401&lt;&gt;"",L401,"")))</f>
        <v/>
      </c>
      <c r="S401" s="23">
        <f t="array" ref="S401">IF($A401="","",_xlfn.TEXTJOIN(CHAR(10),TRUE,IF('Clarice'!$B$6:$B$300=$A401,"Clarice"&amp;IF('Clarice'!$E$6:$E$300="",""," : "&amp;'Clarice'!$E$6:$E$300)&amp;" ["&amp;'Clarice'!$F$6:$F$300&amp;"]",""),IF('Luisa'!$B$6:$B$300=$A401,"Luisa"&amp;IF('Luisa'!$E$6:$E$300="",""," : "&amp;'Luisa'!$E$6:$E$300)&amp;" ["&amp;'Luisa'!$F$6:$F$300&amp;"]",""),IF('Lui'!$B$6:$B$300=$A401,"Lui"&amp;IF('Lui'!$E$6:$E$300="",""," : "&amp;'Lui'!$E$6:$E$300)&amp;" ["&amp;'Lui'!$F$6:$F$300&amp;"]",""),IF('Thaís'!$B$6:$B$300=$A401,"Thaís"&amp;IF('Thaís'!$E$6:$E$300="",""," : "&amp;'Thaís'!$E$6:$E$300)&amp;" ["&amp;'Thaís'!$F$6:$F$300&amp;"]",""),IF('Daniel'!$B$6:$B$300=$A401,"Daniel"&amp;IF('Daniel'!$E$6:$E$300="",""," : "&amp;'Daniel'!$E$6:$E$300)&amp;" ["&amp;'Daniel'!$F$6:$F$300&amp;"]",""),IF('Fernando'!$B$6:$B$300=$A401,"Fernando"&amp;IF('Fernando'!$E$6:$E$300="",""," : "&amp;'Fernando'!$E$6:$E$300)&amp;" ["&amp;'Fernando'!$F$6:$F$300&amp;"]",""),IF('Stephanie'!$B$6:$B$300=$A401,"Stephanie"&amp;IF('Stephanie'!$E$6:$E$300="",""," : "&amp;'Stephanie'!$E$6:$E$300)&amp;" ["&amp;'Stephanie'!$F$6:$F$300&amp;"]",""),IF('Fox'!$B$6:$B$300=$A401,"Fox"&amp;IF('Fox'!$E$6:$E$300="",""," : "&amp;'Fox'!$E$6:$E$300)&amp;" ["&amp;'Fox'!$F$6:$F$300&amp;"]",""),IF('Bruna'!$B$6:$B$300=$A401,"Bruna"&amp;IF('Bruna'!$E$6:$E$300="",""," : "&amp;'Bruna'!$E$6:$E$300)&amp;" ["&amp;'Bruna'!$F$6:$F$300&amp;"]",""),IF('Stella'!$B$6:$B$300=$A401,"Stella"&amp;IF('Stella'!$E$6:$E$300="",""," : "&amp;'Stella'!$E$6:$E$300)&amp;" ["&amp;'Stella'!$F$6:$F$300&amp;"]",""),IF('Igor'!$B$6:$B$300=$A401,"Igor"&amp;IF('Igor'!$E$6:$E$300="",""," : "&amp;'Igor'!$E$6:$E$300)&amp;" ["&amp;'Igor'!$F$6:$F$300&amp;"]","")))</f>
        <v/>
      </c>
    </row>
    <row r="402">
      <c r="G402" s="23">
        <f>IF($A402="","",_xlfn.TEXTJOIN("; ",TRUE,IF(COUNTIF('Clarice'!$B$6:$B$300,$A402)&gt;0,"Clarice",""),IF(COUNTIF('Luisa'!$B$6:$B$300,$A402)&gt;0,"Luisa",""),IF(COUNTIF('Lui'!$B$6:$B$300,$A402)&gt;0,"Lui",""),IF(COUNTIF('Thaís'!$B$6:$B$300,$A402)&gt;0,"Thaís",""),IF(COUNTIF('Daniel'!$B$6:$B$300,$A402)&gt;0,"Daniel",""),IF(COUNTIF('Fernando'!$B$6:$B$300,$A402)&gt;0,"Fernando",""),IF(COUNTIF('Stephanie'!$B$6:$B$300,$A402)&gt;0,"Stephanie",""),IF(COUNTIF('Fox'!$B$6:$B$300,$A402)&gt;0,"Fox",""),IF(COUNTIF('Bruna'!$B$6:$B$300,$A402)&gt;0,"Bruna",""),IF(COUNTIF('Stella'!$B$6:$B$300,$A402)&gt;0,"Stella",""),IF(COUNTIF('Igor'!$B$6:$B$300,$A402)&gt;0,"Igor","")))</f>
        <v/>
      </c>
      <c r="J402" s="24">
        <f>IF(OR($A402="",(COUNTIF('Clarice'!$B$6:$B$300,$A402)+COUNTIF('Luisa'!$B$6:$B$300,$A402)+COUNTIF('Lui'!$B$6:$B$300,$A402)+COUNTIF('Thaís'!$B$6:$B$300,$A402)+COUNTIF('Daniel'!$B$6:$B$300,$A402)+COUNTIF('Fernando'!$B$6:$B$300,$A402)+COUNTIF('Stephanie'!$B$6:$B$300,$A402)+COUNTIF('Fox'!$B$6:$B$300,$A402)+COUNTIF('Bruna'!$B$6:$B$300,$A402)+COUNTIF('Stella'!$B$6:$B$300,$A402)+COUNTIF('Igor'!$B$6:$B$300,$A402))=0),"",(COUNTIFS('Clarice'!$B$6:$B$300,$A402,'Clarice'!$F$6:$F$300,"Concluído")+COUNTIFS('Luisa'!$B$6:$B$300,$A402,'Luisa'!$F$6:$F$300,"Concluído")+COUNTIFS('Lui'!$B$6:$B$300,$A402,'Lui'!$F$6:$F$300,"Concluído")+COUNTIFS('Thaís'!$B$6:$B$300,$A402,'Thaís'!$F$6:$F$300,"Concluído")+COUNTIFS('Daniel'!$B$6:$B$300,$A402,'Daniel'!$F$6:$F$300,"Concluído")+COUNTIFS('Fernando'!$B$6:$B$300,$A402,'Fernando'!$F$6:$F$300,"Concluído")+COUNTIFS('Stephanie'!$B$6:$B$300,$A402,'Stephanie'!$F$6:$F$300,"Concluído")+COUNTIFS('Fox'!$B$6:$B$300,$A402,'Fox'!$F$6:$F$300,"Concluído")+COUNTIFS('Bruna'!$B$6:$B$300,$A402,'Bruna'!$F$6:$F$300,"Concluído")+COUNTIFS('Stella'!$B$6:$B$300,$A402,'Stella'!$F$6:$F$300,"Concluído")+COUNTIFS('Igor'!$B$6:$B$300,$A402,'Igor'!$F$6:$F$300,"Concluído"))&amp;" / "&amp;(COUNTIF('Clarice'!$B$6:$B$300,$A402)+COUNTIF('Luisa'!$B$6:$B$300,$A402)+COUNTIF('Lui'!$B$6:$B$300,$A402)+COUNTIF('Thaís'!$B$6:$B$300,$A402)+COUNTIF('Daniel'!$B$6:$B$300,$A402)+COUNTIF('Fernando'!$B$6:$B$300,$A402)+COUNTIF('Stephanie'!$B$6:$B$300,$A402)+COUNTIF('Fox'!$B$6:$B$300,$A402)+COUNTIF('Bruna'!$B$6:$B$300,$A402)+COUNTIF('Stella'!$B$6:$B$300,$A402)+COUNTIF('Igor'!$B$6:$B$300,$A402)))</f>
        <v/>
      </c>
      <c r="P402" s="25">
        <f>IF($A402="","",IF(M402&lt;&gt;"",M402,IF(K402&lt;&gt;"",K402,"")))</f>
        <v/>
      </c>
      <c r="Q402" s="25">
        <f>IF($A402="","",IF(N402&lt;&gt;"",N402,IF(L402&lt;&gt;"",L402,"")))</f>
        <v/>
      </c>
      <c r="S402" s="23">
        <f t="array" ref="S402">IF($A402="","",_xlfn.TEXTJOIN(CHAR(10),TRUE,IF('Clarice'!$B$6:$B$300=$A402,"Clarice"&amp;IF('Clarice'!$E$6:$E$300="",""," : "&amp;'Clarice'!$E$6:$E$300)&amp;" ["&amp;'Clarice'!$F$6:$F$300&amp;"]",""),IF('Luisa'!$B$6:$B$300=$A402,"Luisa"&amp;IF('Luisa'!$E$6:$E$300="",""," : "&amp;'Luisa'!$E$6:$E$300)&amp;" ["&amp;'Luisa'!$F$6:$F$300&amp;"]",""),IF('Lui'!$B$6:$B$300=$A402,"Lui"&amp;IF('Lui'!$E$6:$E$300="",""," : "&amp;'Lui'!$E$6:$E$300)&amp;" ["&amp;'Lui'!$F$6:$F$300&amp;"]",""),IF('Thaís'!$B$6:$B$300=$A402,"Thaís"&amp;IF('Thaís'!$E$6:$E$300="",""," : "&amp;'Thaís'!$E$6:$E$300)&amp;" ["&amp;'Thaís'!$F$6:$F$300&amp;"]",""),IF('Daniel'!$B$6:$B$300=$A402,"Daniel"&amp;IF('Daniel'!$E$6:$E$300="",""," : "&amp;'Daniel'!$E$6:$E$300)&amp;" ["&amp;'Daniel'!$F$6:$F$300&amp;"]",""),IF('Fernando'!$B$6:$B$300=$A402,"Fernando"&amp;IF('Fernando'!$E$6:$E$300="",""," : "&amp;'Fernando'!$E$6:$E$300)&amp;" ["&amp;'Fernando'!$F$6:$F$300&amp;"]",""),IF('Stephanie'!$B$6:$B$300=$A402,"Stephanie"&amp;IF('Stephanie'!$E$6:$E$300="",""," : "&amp;'Stephanie'!$E$6:$E$300)&amp;" ["&amp;'Stephanie'!$F$6:$F$300&amp;"]",""),IF('Fox'!$B$6:$B$300=$A402,"Fox"&amp;IF('Fox'!$E$6:$E$300="",""," : "&amp;'Fox'!$E$6:$E$300)&amp;" ["&amp;'Fox'!$F$6:$F$300&amp;"]",""),IF('Bruna'!$B$6:$B$300=$A402,"Bruna"&amp;IF('Bruna'!$E$6:$E$300="",""," : "&amp;'Bruna'!$E$6:$E$300)&amp;" ["&amp;'Bruna'!$F$6:$F$300&amp;"]",""),IF('Stella'!$B$6:$B$300=$A402,"Stella"&amp;IF('Stella'!$E$6:$E$300="",""," : "&amp;'Stella'!$E$6:$E$300)&amp;" ["&amp;'Stella'!$F$6:$F$300&amp;"]",""),IF('Igor'!$B$6:$B$300=$A402,"Igor"&amp;IF('Igor'!$E$6:$E$300="",""," : "&amp;'Igor'!$E$6:$E$300)&amp;" ["&amp;'Igor'!$F$6:$F$300&amp;"]","")))</f>
        <v/>
      </c>
    </row>
    <row r="403">
      <c r="G403" s="23">
        <f>IF($A403="","",_xlfn.TEXTJOIN("; ",TRUE,IF(COUNTIF('Clarice'!$B$6:$B$300,$A403)&gt;0,"Clarice",""),IF(COUNTIF('Luisa'!$B$6:$B$300,$A403)&gt;0,"Luisa",""),IF(COUNTIF('Lui'!$B$6:$B$300,$A403)&gt;0,"Lui",""),IF(COUNTIF('Thaís'!$B$6:$B$300,$A403)&gt;0,"Thaís",""),IF(COUNTIF('Daniel'!$B$6:$B$300,$A403)&gt;0,"Daniel",""),IF(COUNTIF('Fernando'!$B$6:$B$300,$A403)&gt;0,"Fernando",""),IF(COUNTIF('Stephanie'!$B$6:$B$300,$A403)&gt;0,"Stephanie",""),IF(COUNTIF('Fox'!$B$6:$B$300,$A403)&gt;0,"Fox",""),IF(COUNTIF('Bruna'!$B$6:$B$300,$A403)&gt;0,"Bruna",""),IF(COUNTIF('Stella'!$B$6:$B$300,$A403)&gt;0,"Stella",""),IF(COUNTIF('Igor'!$B$6:$B$300,$A403)&gt;0,"Igor","")))</f>
        <v/>
      </c>
      <c r="J403" s="24">
        <f>IF(OR($A403="",(COUNTIF('Clarice'!$B$6:$B$300,$A403)+COUNTIF('Luisa'!$B$6:$B$300,$A403)+COUNTIF('Lui'!$B$6:$B$300,$A403)+COUNTIF('Thaís'!$B$6:$B$300,$A403)+COUNTIF('Daniel'!$B$6:$B$300,$A403)+COUNTIF('Fernando'!$B$6:$B$300,$A403)+COUNTIF('Stephanie'!$B$6:$B$300,$A403)+COUNTIF('Fox'!$B$6:$B$300,$A403)+COUNTIF('Bruna'!$B$6:$B$300,$A403)+COUNTIF('Stella'!$B$6:$B$300,$A403)+COUNTIF('Igor'!$B$6:$B$300,$A403))=0),"",(COUNTIFS('Clarice'!$B$6:$B$300,$A403,'Clarice'!$F$6:$F$300,"Concluído")+COUNTIFS('Luisa'!$B$6:$B$300,$A403,'Luisa'!$F$6:$F$300,"Concluído")+COUNTIFS('Lui'!$B$6:$B$300,$A403,'Lui'!$F$6:$F$300,"Concluído")+COUNTIFS('Thaís'!$B$6:$B$300,$A403,'Thaís'!$F$6:$F$300,"Concluído")+COUNTIFS('Daniel'!$B$6:$B$300,$A403,'Daniel'!$F$6:$F$300,"Concluído")+COUNTIFS('Fernando'!$B$6:$B$300,$A403,'Fernando'!$F$6:$F$300,"Concluído")+COUNTIFS('Stephanie'!$B$6:$B$300,$A403,'Stephanie'!$F$6:$F$300,"Concluído")+COUNTIFS('Fox'!$B$6:$B$300,$A403,'Fox'!$F$6:$F$300,"Concluído")+COUNTIFS('Bruna'!$B$6:$B$300,$A403,'Bruna'!$F$6:$F$300,"Concluído")+COUNTIFS('Stella'!$B$6:$B$300,$A403,'Stella'!$F$6:$F$300,"Concluído")+COUNTIFS('Igor'!$B$6:$B$300,$A403,'Igor'!$F$6:$F$300,"Concluído"))&amp;" / "&amp;(COUNTIF('Clarice'!$B$6:$B$300,$A403)+COUNTIF('Luisa'!$B$6:$B$300,$A403)+COUNTIF('Lui'!$B$6:$B$300,$A403)+COUNTIF('Thaís'!$B$6:$B$300,$A403)+COUNTIF('Daniel'!$B$6:$B$300,$A403)+COUNTIF('Fernando'!$B$6:$B$300,$A403)+COUNTIF('Stephanie'!$B$6:$B$300,$A403)+COUNTIF('Fox'!$B$6:$B$300,$A403)+COUNTIF('Bruna'!$B$6:$B$300,$A403)+COUNTIF('Stella'!$B$6:$B$300,$A403)+COUNTIF('Igor'!$B$6:$B$300,$A403)))</f>
        <v/>
      </c>
      <c r="P403" s="25">
        <f>IF($A403="","",IF(M403&lt;&gt;"",M403,IF(K403&lt;&gt;"",K403,"")))</f>
        <v/>
      </c>
      <c r="Q403" s="25">
        <f>IF($A403="","",IF(N403&lt;&gt;"",N403,IF(L403&lt;&gt;"",L403,"")))</f>
        <v/>
      </c>
      <c r="S403" s="23">
        <f t="array" ref="S403">IF($A403="","",_xlfn.TEXTJOIN(CHAR(10),TRUE,IF('Clarice'!$B$6:$B$300=$A403,"Clarice"&amp;IF('Clarice'!$E$6:$E$300="",""," : "&amp;'Clarice'!$E$6:$E$300)&amp;" ["&amp;'Clarice'!$F$6:$F$300&amp;"]",""),IF('Luisa'!$B$6:$B$300=$A403,"Luisa"&amp;IF('Luisa'!$E$6:$E$300="",""," : "&amp;'Luisa'!$E$6:$E$300)&amp;" ["&amp;'Luisa'!$F$6:$F$300&amp;"]",""),IF('Lui'!$B$6:$B$300=$A403,"Lui"&amp;IF('Lui'!$E$6:$E$300="",""," : "&amp;'Lui'!$E$6:$E$300)&amp;" ["&amp;'Lui'!$F$6:$F$300&amp;"]",""),IF('Thaís'!$B$6:$B$300=$A403,"Thaís"&amp;IF('Thaís'!$E$6:$E$300="",""," : "&amp;'Thaís'!$E$6:$E$300)&amp;" ["&amp;'Thaís'!$F$6:$F$300&amp;"]",""),IF('Daniel'!$B$6:$B$300=$A403,"Daniel"&amp;IF('Daniel'!$E$6:$E$300="",""," : "&amp;'Daniel'!$E$6:$E$300)&amp;" ["&amp;'Daniel'!$F$6:$F$300&amp;"]",""),IF('Fernando'!$B$6:$B$300=$A403,"Fernando"&amp;IF('Fernando'!$E$6:$E$300="",""," : "&amp;'Fernando'!$E$6:$E$300)&amp;" ["&amp;'Fernando'!$F$6:$F$300&amp;"]",""),IF('Stephanie'!$B$6:$B$300=$A403,"Stephanie"&amp;IF('Stephanie'!$E$6:$E$300="",""," : "&amp;'Stephanie'!$E$6:$E$300)&amp;" ["&amp;'Stephanie'!$F$6:$F$300&amp;"]",""),IF('Fox'!$B$6:$B$300=$A403,"Fox"&amp;IF('Fox'!$E$6:$E$300="",""," : "&amp;'Fox'!$E$6:$E$300)&amp;" ["&amp;'Fox'!$F$6:$F$300&amp;"]",""),IF('Bruna'!$B$6:$B$300=$A403,"Bruna"&amp;IF('Bruna'!$E$6:$E$300="",""," : "&amp;'Bruna'!$E$6:$E$300)&amp;" ["&amp;'Bruna'!$F$6:$F$300&amp;"]",""),IF('Stella'!$B$6:$B$300=$A403,"Stella"&amp;IF('Stella'!$E$6:$E$300="",""," : "&amp;'Stella'!$E$6:$E$300)&amp;" ["&amp;'Stella'!$F$6:$F$300&amp;"]",""),IF('Igor'!$B$6:$B$300=$A403,"Igor"&amp;IF('Igor'!$E$6:$E$300="",""," : "&amp;'Igor'!$E$6:$E$300)&amp;" ["&amp;'Igor'!$F$6:$F$300&amp;"]","")))</f>
        <v/>
      </c>
    </row>
    <row r="404">
      <c r="G404" s="23">
        <f>IF($A404="","",_xlfn.TEXTJOIN("; ",TRUE,IF(COUNTIF('Clarice'!$B$6:$B$300,$A404)&gt;0,"Clarice",""),IF(COUNTIF('Luisa'!$B$6:$B$300,$A404)&gt;0,"Luisa",""),IF(COUNTIF('Lui'!$B$6:$B$300,$A404)&gt;0,"Lui",""),IF(COUNTIF('Thaís'!$B$6:$B$300,$A404)&gt;0,"Thaís",""),IF(COUNTIF('Daniel'!$B$6:$B$300,$A404)&gt;0,"Daniel",""),IF(COUNTIF('Fernando'!$B$6:$B$300,$A404)&gt;0,"Fernando",""),IF(COUNTIF('Stephanie'!$B$6:$B$300,$A404)&gt;0,"Stephanie",""),IF(COUNTIF('Fox'!$B$6:$B$300,$A404)&gt;0,"Fox",""),IF(COUNTIF('Bruna'!$B$6:$B$300,$A404)&gt;0,"Bruna",""),IF(COUNTIF('Stella'!$B$6:$B$300,$A404)&gt;0,"Stella",""),IF(COUNTIF('Igor'!$B$6:$B$300,$A404)&gt;0,"Igor","")))</f>
        <v/>
      </c>
      <c r="J404" s="24">
        <f>IF(OR($A404="",(COUNTIF('Clarice'!$B$6:$B$300,$A404)+COUNTIF('Luisa'!$B$6:$B$300,$A404)+COUNTIF('Lui'!$B$6:$B$300,$A404)+COUNTIF('Thaís'!$B$6:$B$300,$A404)+COUNTIF('Daniel'!$B$6:$B$300,$A404)+COUNTIF('Fernando'!$B$6:$B$300,$A404)+COUNTIF('Stephanie'!$B$6:$B$300,$A404)+COUNTIF('Fox'!$B$6:$B$300,$A404)+COUNTIF('Bruna'!$B$6:$B$300,$A404)+COUNTIF('Stella'!$B$6:$B$300,$A404)+COUNTIF('Igor'!$B$6:$B$300,$A404))=0),"",(COUNTIFS('Clarice'!$B$6:$B$300,$A404,'Clarice'!$F$6:$F$300,"Concluído")+COUNTIFS('Luisa'!$B$6:$B$300,$A404,'Luisa'!$F$6:$F$300,"Concluído")+COUNTIFS('Lui'!$B$6:$B$300,$A404,'Lui'!$F$6:$F$300,"Concluído")+COUNTIFS('Thaís'!$B$6:$B$300,$A404,'Thaís'!$F$6:$F$300,"Concluído")+COUNTIFS('Daniel'!$B$6:$B$300,$A404,'Daniel'!$F$6:$F$300,"Concluído")+COUNTIFS('Fernando'!$B$6:$B$300,$A404,'Fernando'!$F$6:$F$300,"Concluído")+COUNTIFS('Stephanie'!$B$6:$B$300,$A404,'Stephanie'!$F$6:$F$300,"Concluído")+COUNTIFS('Fox'!$B$6:$B$300,$A404,'Fox'!$F$6:$F$300,"Concluído")+COUNTIFS('Bruna'!$B$6:$B$300,$A404,'Bruna'!$F$6:$F$300,"Concluído")+COUNTIFS('Stella'!$B$6:$B$300,$A404,'Stella'!$F$6:$F$300,"Concluído")+COUNTIFS('Igor'!$B$6:$B$300,$A404,'Igor'!$F$6:$F$300,"Concluído"))&amp;" / "&amp;(COUNTIF('Clarice'!$B$6:$B$300,$A404)+COUNTIF('Luisa'!$B$6:$B$300,$A404)+COUNTIF('Lui'!$B$6:$B$300,$A404)+COUNTIF('Thaís'!$B$6:$B$300,$A404)+COUNTIF('Daniel'!$B$6:$B$300,$A404)+COUNTIF('Fernando'!$B$6:$B$300,$A404)+COUNTIF('Stephanie'!$B$6:$B$300,$A404)+COUNTIF('Fox'!$B$6:$B$300,$A404)+COUNTIF('Bruna'!$B$6:$B$300,$A404)+COUNTIF('Stella'!$B$6:$B$300,$A404)+COUNTIF('Igor'!$B$6:$B$300,$A404)))</f>
        <v/>
      </c>
      <c r="P404" s="25">
        <f>IF($A404="","",IF(M404&lt;&gt;"",M404,IF(K404&lt;&gt;"",K404,"")))</f>
        <v/>
      </c>
      <c r="Q404" s="25">
        <f>IF($A404="","",IF(N404&lt;&gt;"",N404,IF(L404&lt;&gt;"",L404,"")))</f>
        <v/>
      </c>
      <c r="S404" s="23">
        <f t="array" ref="S404">IF($A404="","",_xlfn.TEXTJOIN(CHAR(10),TRUE,IF('Clarice'!$B$6:$B$300=$A404,"Clarice"&amp;IF('Clarice'!$E$6:$E$300="",""," : "&amp;'Clarice'!$E$6:$E$300)&amp;" ["&amp;'Clarice'!$F$6:$F$300&amp;"]",""),IF('Luisa'!$B$6:$B$300=$A404,"Luisa"&amp;IF('Luisa'!$E$6:$E$300="",""," : "&amp;'Luisa'!$E$6:$E$300)&amp;" ["&amp;'Luisa'!$F$6:$F$300&amp;"]",""),IF('Lui'!$B$6:$B$300=$A404,"Lui"&amp;IF('Lui'!$E$6:$E$300="",""," : "&amp;'Lui'!$E$6:$E$300)&amp;" ["&amp;'Lui'!$F$6:$F$300&amp;"]",""),IF('Thaís'!$B$6:$B$300=$A404,"Thaís"&amp;IF('Thaís'!$E$6:$E$300="",""," : "&amp;'Thaís'!$E$6:$E$300)&amp;" ["&amp;'Thaís'!$F$6:$F$300&amp;"]",""),IF('Daniel'!$B$6:$B$300=$A404,"Daniel"&amp;IF('Daniel'!$E$6:$E$300="",""," : "&amp;'Daniel'!$E$6:$E$300)&amp;" ["&amp;'Daniel'!$F$6:$F$300&amp;"]",""),IF('Fernando'!$B$6:$B$300=$A404,"Fernando"&amp;IF('Fernando'!$E$6:$E$300="",""," : "&amp;'Fernando'!$E$6:$E$300)&amp;" ["&amp;'Fernando'!$F$6:$F$300&amp;"]",""),IF('Stephanie'!$B$6:$B$300=$A404,"Stephanie"&amp;IF('Stephanie'!$E$6:$E$300="",""," : "&amp;'Stephanie'!$E$6:$E$300)&amp;" ["&amp;'Stephanie'!$F$6:$F$300&amp;"]",""),IF('Fox'!$B$6:$B$300=$A404,"Fox"&amp;IF('Fox'!$E$6:$E$300="",""," : "&amp;'Fox'!$E$6:$E$300)&amp;" ["&amp;'Fox'!$F$6:$F$300&amp;"]",""),IF('Bruna'!$B$6:$B$300=$A404,"Bruna"&amp;IF('Bruna'!$E$6:$E$300="",""," : "&amp;'Bruna'!$E$6:$E$300)&amp;" ["&amp;'Bruna'!$F$6:$F$300&amp;"]",""),IF('Stella'!$B$6:$B$300=$A404,"Stella"&amp;IF('Stella'!$E$6:$E$300="",""," : "&amp;'Stella'!$E$6:$E$300)&amp;" ["&amp;'Stella'!$F$6:$F$300&amp;"]",""),IF('Igor'!$B$6:$B$300=$A404,"Igor"&amp;IF('Igor'!$E$6:$E$300="",""," : "&amp;'Igor'!$E$6:$E$300)&amp;" ["&amp;'Igor'!$F$6:$F$300&amp;"]","")))</f>
        <v/>
      </c>
    </row>
    <row r="405">
      <c r="G405" s="23">
        <f>IF($A405="","",_xlfn.TEXTJOIN("; ",TRUE,IF(COUNTIF('Clarice'!$B$6:$B$300,$A405)&gt;0,"Clarice",""),IF(COUNTIF('Luisa'!$B$6:$B$300,$A405)&gt;0,"Luisa",""),IF(COUNTIF('Lui'!$B$6:$B$300,$A405)&gt;0,"Lui",""),IF(COUNTIF('Thaís'!$B$6:$B$300,$A405)&gt;0,"Thaís",""),IF(COUNTIF('Daniel'!$B$6:$B$300,$A405)&gt;0,"Daniel",""),IF(COUNTIF('Fernando'!$B$6:$B$300,$A405)&gt;0,"Fernando",""),IF(COUNTIF('Stephanie'!$B$6:$B$300,$A405)&gt;0,"Stephanie",""),IF(COUNTIF('Fox'!$B$6:$B$300,$A405)&gt;0,"Fox",""),IF(COUNTIF('Bruna'!$B$6:$B$300,$A405)&gt;0,"Bruna",""),IF(COUNTIF('Stella'!$B$6:$B$300,$A405)&gt;0,"Stella",""),IF(COUNTIF('Igor'!$B$6:$B$300,$A405)&gt;0,"Igor","")))</f>
        <v/>
      </c>
      <c r="J405" s="24">
        <f>IF(OR($A405="",(COUNTIF('Clarice'!$B$6:$B$300,$A405)+COUNTIF('Luisa'!$B$6:$B$300,$A405)+COUNTIF('Lui'!$B$6:$B$300,$A405)+COUNTIF('Thaís'!$B$6:$B$300,$A405)+COUNTIF('Daniel'!$B$6:$B$300,$A405)+COUNTIF('Fernando'!$B$6:$B$300,$A405)+COUNTIF('Stephanie'!$B$6:$B$300,$A405)+COUNTIF('Fox'!$B$6:$B$300,$A405)+COUNTIF('Bruna'!$B$6:$B$300,$A405)+COUNTIF('Stella'!$B$6:$B$300,$A405)+COUNTIF('Igor'!$B$6:$B$300,$A405))=0),"",(COUNTIFS('Clarice'!$B$6:$B$300,$A405,'Clarice'!$F$6:$F$300,"Concluído")+COUNTIFS('Luisa'!$B$6:$B$300,$A405,'Luisa'!$F$6:$F$300,"Concluído")+COUNTIFS('Lui'!$B$6:$B$300,$A405,'Lui'!$F$6:$F$300,"Concluído")+COUNTIFS('Thaís'!$B$6:$B$300,$A405,'Thaís'!$F$6:$F$300,"Concluído")+COUNTIFS('Daniel'!$B$6:$B$300,$A405,'Daniel'!$F$6:$F$300,"Concluído")+COUNTIFS('Fernando'!$B$6:$B$300,$A405,'Fernando'!$F$6:$F$300,"Concluído")+COUNTIFS('Stephanie'!$B$6:$B$300,$A405,'Stephanie'!$F$6:$F$300,"Concluído")+COUNTIFS('Fox'!$B$6:$B$300,$A405,'Fox'!$F$6:$F$300,"Concluído")+COUNTIFS('Bruna'!$B$6:$B$300,$A405,'Bruna'!$F$6:$F$300,"Concluído")+COUNTIFS('Stella'!$B$6:$B$300,$A405,'Stella'!$F$6:$F$300,"Concluído")+COUNTIFS('Igor'!$B$6:$B$300,$A405,'Igor'!$F$6:$F$300,"Concluído"))&amp;" / "&amp;(COUNTIF('Clarice'!$B$6:$B$300,$A405)+COUNTIF('Luisa'!$B$6:$B$300,$A405)+COUNTIF('Lui'!$B$6:$B$300,$A405)+COUNTIF('Thaís'!$B$6:$B$300,$A405)+COUNTIF('Daniel'!$B$6:$B$300,$A405)+COUNTIF('Fernando'!$B$6:$B$300,$A405)+COUNTIF('Stephanie'!$B$6:$B$300,$A405)+COUNTIF('Fox'!$B$6:$B$300,$A405)+COUNTIF('Bruna'!$B$6:$B$300,$A405)+COUNTIF('Stella'!$B$6:$B$300,$A405)+COUNTIF('Igor'!$B$6:$B$300,$A405)))</f>
        <v/>
      </c>
      <c r="P405" s="25">
        <f>IF($A405="","",IF(M405&lt;&gt;"",M405,IF(K405&lt;&gt;"",K405,"")))</f>
        <v/>
      </c>
      <c r="Q405" s="25">
        <f>IF($A405="","",IF(N405&lt;&gt;"",N405,IF(L405&lt;&gt;"",L405,"")))</f>
        <v/>
      </c>
      <c r="S405" s="23">
        <f t="array" ref="S405">IF($A405="","",_xlfn.TEXTJOIN(CHAR(10),TRUE,IF('Clarice'!$B$6:$B$300=$A405,"Clarice"&amp;IF('Clarice'!$E$6:$E$300="",""," : "&amp;'Clarice'!$E$6:$E$300)&amp;" ["&amp;'Clarice'!$F$6:$F$300&amp;"]",""),IF('Luisa'!$B$6:$B$300=$A405,"Luisa"&amp;IF('Luisa'!$E$6:$E$300="",""," : "&amp;'Luisa'!$E$6:$E$300)&amp;" ["&amp;'Luisa'!$F$6:$F$300&amp;"]",""),IF('Lui'!$B$6:$B$300=$A405,"Lui"&amp;IF('Lui'!$E$6:$E$300="",""," : "&amp;'Lui'!$E$6:$E$300)&amp;" ["&amp;'Lui'!$F$6:$F$300&amp;"]",""),IF('Thaís'!$B$6:$B$300=$A405,"Thaís"&amp;IF('Thaís'!$E$6:$E$300="",""," : "&amp;'Thaís'!$E$6:$E$300)&amp;" ["&amp;'Thaís'!$F$6:$F$300&amp;"]",""),IF('Daniel'!$B$6:$B$300=$A405,"Daniel"&amp;IF('Daniel'!$E$6:$E$300="",""," : "&amp;'Daniel'!$E$6:$E$300)&amp;" ["&amp;'Daniel'!$F$6:$F$300&amp;"]",""),IF('Fernando'!$B$6:$B$300=$A405,"Fernando"&amp;IF('Fernando'!$E$6:$E$300="",""," : "&amp;'Fernando'!$E$6:$E$300)&amp;" ["&amp;'Fernando'!$F$6:$F$300&amp;"]",""),IF('Stephanie'!$B$6:$B$300=$A405,"Stephanie"&amp;IF('Stephanie'!$E$6:$E$300="",""," : "&amp;'Stephanie'!$E$6:$E$300)&amp;" ["&amp;'Stephanie'!$F$6:$F$300&amp;"]",""),IF('Fox'!$B$6:$B$300=$A405,"Fox"&amp;IF('Fox'!$E$6:$E$300="",""," : "&amp;'Fox'!$E$6:$E$300)&amp;" ["&amp;'Fox'!$F$6:$F$300&amp;"]",""),IF('Bruna'!$B$6:$B$300=$A405,"Bruna"&amp;IF('Bruna'!$E$6:$E$300="",""," : "&amp;'Bruna'!$E$6:$E$300)&amp;" ["&amp;'Bruna'!$F$6:$F$300&amp;"]",""),IF('Stella'!$B$6:$B$300=$A405,"Stella"&amp;IF('Stella'!$E$6:$E$300="",""," : "&amp;'Stella'!$E$6:$E$300)&amp;" ["&amp;'Stella'!$F$6:$F$300&amp;"]",""),IF('Igor'!$B$6:$B$300=$A405,"Igor"&amp;IF('Igor'!$E$6:$E$300="",""," : "&amp;'Igor'!$E$6:$E$300)&amp;" ["&amp;'Igor'!$F$6:$F$300&amp;"]","")))</f>
        <v/>
      </c>
    </row>
    <row r="406">
      <c r="G406" s="23">
        <f>IF($A406="","",_xlfn.TEXTJOIN("; ",TRUE,IF(COUNTIF('Clarice'!$B$6:$B$300,$A406)&gt;0,"Clarice",""),IF(COUNTIF('Luisa'!$B$6:$B$300,$A406)&gt;0,"Luisa",""),IF(COUNTIF('Lui'!$B$6:$B$300,$A406)&gt;0,"Lui",""),IF(COUNTIF('Thaís'!$B$6:$B$300,$A406)&gt;0,"Thaís",""),IF(COUNTIF('Daniel'!$B$6:$B$300,$A406)&gt;0,"Daniel",""),IF(COUNTIF('Fernando'!$B$6:$B$300,$A406)&gt;0,"Fernando",""),IF(COUNTIF('Stephanie'!$B$6:$B$300,$A406)&gt;0,"Stephanie",""),IF(COUNTIF('Fox'!$B$6:$B$300,$A406)&gt;0,"Fox",""),IF(COUNTIF('Bruna'!$B$6:$B$300,$A406)&gt;0,"Bruna",""),IF(COUNTIF('Stella'!$B$6:$B$300,$A406)&gt;0,"Stella",""),IF(COUNTIF('Igor'!$B$6:$B$300,$A406)&gt;0,"Igor","")))</f>
        <v/>
      </c>
      <c r="J406" s="24">
        <f>IF(OR($A406="",(COUNTIF('Clarice'!$B$6:$B$300,$A406)+COUNTIF('Luisa'!$B$6:$B$300,$A406)+COUNTIF('Lui'!$B$6:$B$300,$A406)+COUNTIF('Thaís'!$B$6:$B$300,$A406)+COUNTIF('Daniel'!$B$6:$B$300,$A406)+COUNTIF('Fernando'!$B$6:$B$300,$A406)+COUNTIF('Stephanie'!$B$6:$B$300,$A406)+COUNTIF('Fox'!$B$6:$B$300,$A406)+COUNTIF('Bruna'!$B$6:$B$300,$A406)+COUNTIF('Stella'!$B$6:$B$300,$A406)+COUNTIF('Igor'!$B$6:$B$300,$A406))=0),"",(COUNTIFS('Clarice'!$B$6:$B$300,$A406,'Clarice'!$F$6:$F$300,"Concluído")+COUNTIFS('Luisa'!$B$6:$B$300,$A406,'Luisa'!$F$6:$F$300,"Concluído")+COUNTIFS('Lui'!$B$6:$B$300,$A406,'Lui'!$F$6:$F$300,"Concluído")+COUNTIFS('Thaís'!$B$6:$B$300,$A406,'Thaís'!$F$6:$F$300,"Concluído")+COUNTIFS('Daniel'!$B$6:$B$300,$A406,'Daniel'!$F$6:$F$300,"Concluído")+COUNTIFS('Fernando'!$B$6:$B$300,$A406,'Fernando'!$F$6:$F$300,"Concluído")+COUNTIFS('Stephanie'!$B$6:$B$300,$A406,'Stephanie'!$F$6:$F$300,"Concluído")+COUNTIFS('Fox'!$B$6:$B$300,$A406,'Fox'!$F$6:$F$300,"Concluído")+COUNTIFS('Bruna'!$B$6:$B$300,$A406,'Bruna'!$F$6:$F$300,"Concluído")+COUNTIFS('Stella'!$B$6:$B$300,$A406,'Stella'!$F$6:$F$300,"Concluído")+COUNTIFS('Igor'!$B$6:$B$300,$A406,'Igor'!$F$6:$F$300,"Concluído"))&amp;" / "&amp;(COUNTIF('Clarice'!$B$6:$B$300,$A406)+COUNTIF('Luisa'!$B$6:$B$300,$A406)+COUNTIF('Lui'!$B$6:$B$300,$A406)+COUNTIF('Thaís'!$B$6:$B$300,$A406)+COUNTIF('Daniel'!$B$6:$B$300,$A406)+COUNTIF('Fernando'!$B$6:$B$300,$A406)+COUNTIF('Stephanie'!$B$6:$B$300,$A406)+COUNTIF('Fox'!$B$6:$B$300,$A406)+COUNTIF('Bruna'!$B$6:$B$300,$A406)+COUNTIF('Stella'!$B$6:$B$300,$A406)+COUNTIF('Igor'!$B$6:$B$300,$A406)))</f>
        <v/>
      </c>
      <c r="P406" s="25">
        <f>IF($A406="","",IF(M406&lt;&gt;"",M406,IF(K406&lt;&gt;"",K406,"")))</f>
        <v/>
      </c>
      <c r="Q406" s="25">
        <f>IF($A406="","",IF(N406&lt;&gt;"",N406,IF(L406&lt;&gt;"",L406,"")))</f>
        <v/>
      </c>
      <c r="S406" s="23">
        <f t="array" ref="S406">IF($A406="","",_xlfn.TEXTJOIN(CHAR(10),TRUE,IF('Clarice'!$B$6:$B$300=$A406,"Clarice"&amp;IF('Clarice'!$E$6:$E$300="",""," : "&amp;'Clarice'!$E$6:$E$300)&amp;" ["&amp;'Clarice'!$F$6:$F$300&amp;"]",""),IF('Luisa'!$B$6:$B$300=$A406,"Luisa"&amp;IF('Luisa'!$E$6:$E$300="",""," : "&amp;'Luisa'!$E$6:$E$300)&amp;" ["&amp;'Luisa'!$F$6:$F$300&amp;"]",""),IF('Lui'!$B$6:$B$300=$A406,"Lui"&amp;IF('Lui'!$E$6:$E$300="",""," : "&amp;'Lui'!$E$6:$E$300)&amp;" ["&amp;'Lui'!$F$6:$F$300&amp;"]",""),IF('Thaís'!$B$6:$B$300=$A406,"Thaís"&amp;IF('Thaís'!$E$6:$E$300="",""," : "&amp;'Thaís'!$E$6:$E$300)&amp;" ["&amp;'Thaís'!$F$6:$F$300&amp;"]",""),IF('Daniel'!$B$6:$B$300=$A406,"Daniel"&amp;IF('Daniel'!$E$6:$E$300="",""," : "&amp;'Daniel'!$E$6:$E$300)&amp;" ["&amp;'Daniel'!$F$6:$F$300&amp;"]",""),IF('Fernando'!$B$6:$B$300=$A406,"Fernando"&amp;IF('Fernando'!$E$6:$E$300="",""," : "&amp;'Fernando'!$E$6:$E$300)&amp;" ["&amp;'Fernando'!$F$6:$F$300&amp;"]",""),IF('Stephanie'!$B$6:$B$300=$A406,"Stephanie"&amp;IF('Stephanie'!$E$6:$E$300="",""," : "&amp;'Stephanie'!$E$6:$E$300)&amp;" ["&amp;'Stephanie'!$F$6:$F$300&amp;"]",""),IF('Fox'!$B$6:$B$300=$A406,"Fox"&amp;IF('Fox'!$E$6:$E$300="",""," : "&amp;'Fox'!$E$6:$E$300)&amp;" ["&amp;'Fox'!$F$6:$F$300&amp;"]",""),IF('Bruna'!$B$6:$B$300=$A406,"Bruna"&amp;IF('Bruna'!$E$6:$E$300="",""," : "&amp;'Bruna'!$E$6:$E$300)&amp;" ["&amp;'Bruna'!$F$6:$F$300&amp;"]",""),IF('Stella'!$B$6:$B$300=$A406,"Stella"&amp;IF('Stella'!$E$6:$E$300="",""," : "&amp;'Stella'!$E$6:$E$300)&amp;" ["&amp;'Stella'!$F$6:$F$300&amp;"]",""),IF('Igor'!$B$6:$B$300=$A406,"Igor"&amp;IF('Igor'!$E$6:$E$300="",""," : "&amp;'Igor'!$E$6:$E$300)&amp;" ["&amp;'Igor'!$F$6:$F$300&amp;"]","")))</f>
        <v/>
      </c>
    </row>
    <row r="407">
      <c r="G407" s="23">
        <f>IF($A407="","",_xlfn.TEXTJOIN("; ",TRUE,IF(COUNTIF('Clarice'!$B$6:$B$300,$A407)&gt;0,"Clarice",""),IF(COUNTIF('Luisa'!$B$6:$B$300,$A407)&gt;0,"Luisa",""),IF(COUNTIF('Lui'!$B$6:$B$300,$A407)&gt;0,"Lui",""),IF(COUNTIF('Thaís'!$B$6:$B$300,$A407)&gt;0,"Thaís",""),IF(COUNTIF('Daniel'!$B$6:$B$300,$A407)&gt;0,"Daniel",""),IF(COUNTIF('Fernando'!$B$6:$B$300,$A407)&gt;0,"Fernando",""),IF(COUNTIF('Stephanie'!$B$6:$B$300,$A407)&gt;0,"Stephanie",""),IF(COUNTIF('Fox'!$B$6:$B$300,$A407)&gt;0,"Fox",""),IF(COUNTIF('Bruna'!$B$6:$B$300,$A407)&gt;0,"Bruna",""),IF(COUNTIF('Stella'!$B$6:$B$300,$A407)&gt;0,"Stella",""),IF(COUNTIF('Igor'!$B$6:$B$300,$A407)&gt;0,"Igor","")))</f>
        <v/>
      </c>
      <c r="J407" s="24">
        <f>IF(OR($A407="",(COUNTIF('Clarice'!$B$6:$B$300,$A407)+COUNTIF('Luisa'!$B$6:$B$300,$A407)+COUNTIF('Lui'!$B$6:$B$300,$A407)+COUNTIF('Thaís'!$B$6:$B$300,$A407)+COUNTIF('Daniel'!$B$6:$B$300,$A407)+COUNTIF('Fernando'!$B$6:$B$300,$A407)+COUNTIF('Stephanie'!$B$6:$B$300,$A407)+COUNTIF('Fox'!$B$6:$B$300,$A407)+COUNTIF('Bruna'!$B$6:$B$300,$A407)+COUNTIF('Stella'!$B$6:$B$300,$A407)+COUNTIF('Igor'!$B$6:$B$300,$A407))=0),"",(COUNTIFS('Clarice'!$B$6:$B$300,$A407,'Clarice'!$F$6:$F$300,"Concluído")+COUNTIFS('Luisa'!$B$6:$B$300,$A407,'Luisa'!$F$6:$F$300,"Concluído")+COUNTIFS('Lui'!$B$6:$B$300,$A407,'Lui'!$F$6:$F$300,"Concluído")+COUNTIFS('Thaís'!$B$6:$B$300,$A407,'Thaís'!$F$6:$F$300,"Concluído")+COUNTIFS('Daniel'!$B$6:$B$300,$A407,'Daniel'!$F$6:$F$300,"Concluído")+COUNTIFS('Fernando'!$B$6:$B$300,$A407,'Fernando'!$F$6:$F$300,"Concluído")+COUNTIFS('Stephanie'!$B$6:$B$300,$A407,'Stephanie'!$F$6:$F$300,"Concluído")+COUNTIFS('Fox'!$B$6:$B$300,$A407,'Fox'!$F$6:$F$300,"Concluído")+COUNTIFS('Bruna'!$B$6:$B$300,$A407,'Bruna'!$F$6:$F$300,"Concluído")+COUNTIFS('Stella'!$B$6:$B$300,$A407,'Stella'!$F$6:$F$300,"Concluído")+COUNTIFS('Igor'!$B$6:$B$300,$A407,'Igor'!$F$6:$F$300,"Concluído"))&amp;" / "&amp;(COUNTIF('Clarice'!$B$6:$B$300,$A407)+COUNTIF('Luisa'!$B$6:$B$300,$A407)+COUNTIF('Lui'!$B$6:$B$300,$A407)+COUNTIF('Thaís'!$B$6:$B$300,$A407)+COUNTIF('Daniel'!$B$6:$B$300,$A407)+COUNTIF('Fernando'!$B$6:$B$300,$A407)+COUNTIF('Stephanie'!$B$6:$B$300,$A407)+COUNTIF('Fox'!$B$6:$B$300,$A407)+COUNTIF('Bruna'!$B$6:$B$300,$A407)+COUNTIF('Stella'!$B$6:$B$300,$A407)+COUNTIF('Igor'!$B$6:$B$300,$A407)))</f>
        <v/>
      </c>
      <c r="P407" s="25">
        <f>IF($A407="","",IF(M407&lt;&gt;"",M407,IF(K407&lt;&gt;"",K407,"")))</f>
        <v/>
      </c>
      <c r="Q407" s="25">
        <f>IF($A407="","",IF(N407&lt;&gt;"",N407,IF(L407&lt;&gt;"",L407,"")))</f>
        <v/>
      </c>
      <c r="S407" s="23">
        <f t="array" ref="S407">IF($A407="","",_xlfn.TEXTJOIN(CHAR(10),TRUE,IF('Clarice'!$B$6:$B$300=$A407,"Clarice"&amp;IF('Clarice'!$E$6:$E$300="",""," : "&amp;'Clarice'!$E$6:$E$300)&amp;" ["&amp;'Clarice'!$F$6:$F$300&amp;"]",""),IF('Luisa'!$B$6:$B$300=$A407,"Luisa"&amp;IF('Luisa'!$E$6:$E$300="",""," : "&amp;'Luisa'!$E$6:$E$300)&amp;" ["&amp;'Luisa'!$F$6:$F$300&amp;"]",""),IF('Lui'!$B$6:$B$300=$A407,"Lui"&amp;IF('Lui'!$E$6:$E$300="",""," : "&amp;'Lui'!$E$6:$E$300)&amp;" ["&amp;'Lui'!$F$6:$F$300&amp;"]",""),IF('Thaís'!$B$6:$B$300=$A407,"Thaís"&amp;IF('Thaís'!$E$6:$E$300="",""," : "&amp;'Thaís'!$E$6:$E$300)&amp;" ["&amp;'Thaís'!$F$6:$F$300&amp;"]",""),IF('Daniel'!$B$6:$B$300=$A407,"Daniel"&amp;IF('Daniel'!$E$6:$E$300="",""," : "&amp;'Daniel'!$E$6:$E$300)&amp;" ["&amp;'Daniel'!$F$6:$F$300&amp;"]",""),IF('Fernando'!$B$6:$B$300=$A407,"Fernando"&amp;IF('Fernando'!$E$6:$E$300="",""," : "&amp;'Fernando'!$E$6:$E$300)&amp;" ["&amp;'Fernando'!$F$6:$F$300&amp;"]",""),IF('Stephanie'!$B$6:$B$300=$A407,"Stephanie"&amp;IF('Stephanie'!$E$6:$E$300="",""," : "&amp;'Stephanie'!$E$6:$E$300)&amp;" ["&amp;'Stephanie'!$F$6:$F$300&amp;"]",""),IF('Fox'!$B$6:$B$300=$A407,"Fox"&amp;IF('Fox'!$E$6:$E$300="",""," : "&amp;'Fox'!$E$6:$E$300)&amp;" ["&amp;'Fox'!$F$6:$F$300&amp;"]",""),IF('Bruna'!$B$6:$B$300=$A407,"Bruna"&amp;IF('Bruna'!$E$6:$E$300="",""," : "&amp;'Bruna'!$E$6:$E$300)&amp;" ["&amp;'Bruna'!$F$6:$F$300&amp;"]",""),IF('Stella'!$B$6:$B$300=$A407,"Stella"&amp;IF('Stella'!$E$6:$E$300="",""," : "&amp;'Stella'!$E$6:$E$300)&amp;" ["&amp;'Stella'!$F$6:$F$300&amp;"]",""),IF('Igor'!$B$6:$B$300=$A407,"Igor"&amp;IF('Igor'!$E$6:$E$300="",""," : "&amp;'Igor'!$E$6:$E$300)&amp;" ["&amp;'Igor'!$F$6:$F$300&amp;"]","")))</f>
        <v/>
      </c>
    </row>
    <row r="408">
      <c r="G408" s="23">
        <f>IF($A408="","",_xlfn.TEXTJOIN("; ",TRUE,IF(COUNTIF('Clarice'!$B$6:$B$300,$A408)&gt;0,"Clarice",""),IF(COUNTIF('Luisa'!$B$6:$B$300,$A408)&gt;0,"Luisa",""),IF(COUNTIF('Lui'!$B$6:$B$300,$A408)&gt;0,"Lui",""),IF(COUNTIF('Thaís'!$B$6:$B$300,$A408)&gt;0,"Thaís",""),IF(COUNTIF('Daniel'!$B$6:$B$300,$A408)&gt;0,"Daniel",""),IF(COUNTIF('Fernando'!$B$6:$B$300,$A408)&gt;0,"Fernando",""),IF(COUNTIF('Stephanie'!$B$6:$B$300,$A408)&gt;0,"Stephanie",""),IF(COUNTIF('Fox'!$B$6:$B$300,$A408)&gt;0,"Fox",""),IF(COUNTIF('Bruna'!$B$6:$B$300,$A408)&gt;0,"Bruna",""),IF(COUNTIF('Stella'!$B$6:$B$300,$A408)&gt;0,"Stella",""),IF(COUNTIF('Igor'!$B$6:$B$300,$A408)&gt;0,"Igor","")))</f>
        <v/>
      </c>
      <c r="J408" s="24">
        <f>IF(OR($A408="",(COUNTIF('Clarice'!$B$6:$B$300,$A408)+COUNTIF('Luisa'!$B$6:$B$300,$A408)+COUNTIF('Lui'!$B$6:$B$300,$A408)+COUNTIF('Thaís'!$B$6:$B$300,$A408)+COUNTIF('Daniel'!$B$6:$B$300,$A408)+COUNTIF('Fernando'!$B$6:$B$300,$A408)+COUNTIF('Stephanie'!$B$6:$B$300,$A408)+COUNTIF('Fox'!$B$6:$B$300,$A408)+COUNTIF('Bruna'!$B$6:$B$300,$A408)+COUNTIF('Stella'!$B$6:$B$300,$A408)+COUNTIF('Igor'!$B$6:$B$300,$A408))=0),"",(COUNTIFS('Clarice'!$B$6:$B$300,$A408,'Clarice'!$F$6:$F$300,"Concluído")+COUNTIFS('Luisa'!$B$6:$B$300,$A408,'Luisa'!$F$6:$F$300,"Concluído")+COUNTIFS('Lui'!$B$6:$B$300,$A408,'Lui'!$F$6:$F$300,"Concluído")+COUNTIFS('Thaís'!$B$6:$B$300,$A408,'Thaís'!$F$6:$F$300,"Concluído")+COUNTIFS('Daniel'!$B$6:$B$300,$A408,'Daniel'!$F$6:$F$300,"Concluído")+COUNTIFS('Fernando'!$B$6:$B$300,$A408,'Fernando'!$F$6:$F$300,"Concluído")+COUNTIFS('Stephanie'!$B$6:$B$300,$A408,'Stephanie'!$F$6:$F$300,"Concluído")+COUNTIFS('Fox'!$B$6:$B$300,$A408,'Fox'!$F$6:$F$300,"Concluído")+COUNTIFS('Bruna'!$B$6:$B$300,$A408,'Bruna'!$F$6:$F$300,"Concluído")+COUNTIFS('Stella'!$B$6:$B$300,$A408,'Stella'!$F$6:$F$300,"Concluído")+COUNTIFS('Igor'!$B$6:$B$300,$A408,'Igor'!$F$6:$F$300,"Concluído"))&amp;" / "&amp;(COUNTIF('Clarice'!$B$6:$B$300,$A408)+COUNTIF('Luisa'!$B$6:$B$300,$A408)+COUNTIF('Lui'!$B$6:$B$300,$A408)+COUNTIF('Thaís'!$B$6:$B$300,$A408)+COUNTIF('Daniel'!$B$6:$B$300,$A408)+COUNTIF('Fernando'!$B$6:$B$300,$A408)+COUNTIF('Stephanie'!$B$6:$B$300,$A408)+COUNTIF('Fox'!$B$6:$B$300,$A408)+COUNTIF('Bruna'!$B$6:$B$300,$A408)+COUNTIF('Stella'!$B$6:$B$300,$A408)+COUNTIF('Igor'!$B$6:$B$300,$A408)))</f>
        <v/>
      </c>
      <c r="P408" s="25">
        <f>IF($A408="","",IF(M408&lt;&gt;"",M408,IF(K408&lt;&gt;"",K408,"")))</f>
        <v/>
      </c>
      <c r="Q408" s="25">
        <f>IF($A408="","",IF(N408&lt;&gt;"",N408,IF(L408&lt;&gt;"",L408,"")))</f>
        <v/>
      </c>
      <c r="S408" s="23">
        <f t="array" ref="S408">IF($A408="","",_xlfn.TEXTJOIN(CHAR(10),TRUE,IF('Clarice'!$B$6:$B$300=$A408,"Clarice"&amp;IF('Clarice'!$E$6:$E$300="",""," : "&amp;'Clarice'!$E$6:$E$300)&amp;" ["&amp;'Clarice'!$F$6:$F$300&amp;"]",""),IF('Luisa'!$B$6:$B$300=$A408,"Luisa"&amp;IF('Luisa'!$E$6:$E$300="",""," : "&amp;'Luisa'!$E$6:$E$300)&amp;" ["&amp;'Luisa'!$F$6:$F$300&amp;"]",""),IF('Lui'!$B$6:$B$300=$A408,"Lui"&amp;IF('Lui'!$E$6:$E$300="",""," : "&amp;'Lui'!$E$6:$E$300)&amp;" ["&amp;'Lui'!$F$6:$F$300&amp;"]",""),IF('Thaís'!$B$6:$B$300=$A408,"Thaís"&amp;IF('Thaís'!$E$6:$E$300="",""," : "&amp;'Thaís'!$E$6:$E$300)&amp;" ["&amp;'Thaís'!$F$6:$F$300&amp;"]",""),IF('Daniel'!$B$6:$B$300=$A408,"Daniel"&amp;IF('Daniel'!$E$6:$E$300="",""," : "&amp;'Daniel'!$E$6:$E$300)&amp;" ["&amp;'Daniel'!$F$6:$F$300&amp;"]",""),IF('Fernando'!$B$6:$B$300=$A408,"Fernando"&amp;IF('Fernando'!$E$6:$E$300="",""," : "&amp;'Fernando'!$E$6:$E$300)&amp;" ["&amp;'Fernando'!$F$6:$F$300&amp;"]",""),IF('Stephanie'!$B$6:$B$300=$A408,"Stephanie"&amp;IF('Stephanie'!$E$6:$E$300="",""," : "&amp;'Stephanie'!$E$6:$E$300)&amp;" ["&amp;'Stephanie'!$F$6:$F$300&amp;"]",""),IF('Fox'!$B$6:$B$300=$A408,"Fox"&amp;IF('Fox'!$E$6:$E$300="",""," : "&amp;'Fox'!$E$6:$E$300)&amp;" ["&amp;'Fox'!$F$6:$F$300&amp;"]",""),IF('Bruna'!$B$6:$B$300=$A408,"Bruna"&amp;IF('Bruna'!$E$6:$E$300="",""," : "&amp;'Bruna'!$E$6:$E$300)&amp;" ["&amp;'Bruna'!$F$6:$F$300&amp;"]",""),IF('Stella'!$B$6:$B$300=$A408,"Stella"&amp;IF('Stella'!$E$6:$E$300="",""," : "&amp;'Stella'!$E$6:$E$300)&amp;" ["&amp;'Stella'!$F$6:$F$300&amp;"]",""),IF('Igor'!$B$6:$B$300=$A408,"Igor"&amp;IF('Igor'!$E$6:$E$300="",""," : "&amp;'Igor'!$E$6:$E$300)&amp;" ["&amp;'Igor'!$F$6:$F$300&amp;"]","")))</f>
        <v/>
      </c>
    </row>
    <row r="409">
      <c r="G409" s="23">
        <f>IF($A409="","",_xlfn.TEXTJOIN("; ",TRUE,IF(COUNTIF('Clarice'!$B$6:$B$300,$A409)&gt;0,"Clarice",""),IF(COUNTIF('Luisa'!$B$6:$B$300,$A409)&gt;0,"Luisa",""),IF(COUNTIF('Lui'!$B$6:$B$300,$A409)&gt;0,"Lui",""),IF(COUNTIF('Thaís'!$B$6:$B$300,$A409)&gt;0,"Thaís",""),IF(COUNTIF('Daniel'!$B$6:$B$300,$A409)&gt;0,"Daniel",""),IF(COUNTIF('Fernando'!$B$6:$B$300,$A409)&gt;0,"Fernando",""),IF(COUNTIF('Stephanie'!$B$6:$B$300,$A409)&gt;0,"Stephanie",""),IF(COUNTIF('Fox'!$B$6:$B$300,$A409)&gt;0,"Fox",""),IF(COUNTIF('Bruna'!$B$6:$B$300,$A409)&gt;0,"Bruna",""),IF(COUNTIF('Stella'!$B$6:$B$300,$A409)&gt;0,"Stella",""),IF(COUNTIF('Igor'!$B$6:$B$300,$A409)&gt;0,"Igor","")))</f>
        <v/>
      </c>
      <c r="J409" s="24">
        <f>IF(OR($A409="",(COUNTIF('Clarice'!$B$6:$B$300,$A409)+COUNTIF('Luisa'!$B$6:$B$300,$A409)+COUNTIF('Lui'!$B$6:$B$300,$A409)+COUNTIF('Thaís'!$B$6:$B$300,$A409)+COUNTIF('Daniel'!$B$6:$B$300,$A409)+COUNTIF('Fernando'!$B$6:$B$300,$A409)+COUNTIF('Stephanie'!$B$6:$B$300,$A409)+COUNTIF('Fox'!$B$6:$B$300,$A409)+COUNTIF('Bruna'!$B$6:$B$300,$A409)+COUNTIF('Stella'!$B$6:$B$300,$A409)+COUNTIF('Igor'!$B$6:$B$300,$A409))=0),"",(COUNTIFS('Clarice'!$B$6:$B$300,$A409,'Clarice'!$F$6:$F$300,"Concluído")+COUNTIFS('Luisa'!$B$6:$B$300,$A409,'Luisa'!$F$6:$F$300,"Concluído")+COUNTIFS('Lui'!$B$6:$B$300,$A409,'Lui'!$F$6:$F$300,"Concluído")+COUNTIFS('Thaís'!$B$6:$B$300,$A409,'Thaís'!$F$6:$F$300,"Concluído")+COUNTIFS('Daniel'!$B$6:$B$300,$A409,'Daniel'!$F$6:$F$300,"Concluído")+COUNTIFS('Fernando'!$B$6:$B$300,$A409,'Fernando'!$F$6:$F$300,"Concluído")+COUNTIFS('Stephanie'!$B$6:$B$300,$A409,'Stephanie'!$F$6:$F$300,"Concluído")+COUNTIFS('Fox'!$B$6:$B$300,$A409,'Fox'!$F$6:$F$300,"Concluído")+COUNTIFS('Bruna'!$B$6:$B$300,$A409,'Bruna'!$F$6:$F$300,"Concluído")+COUNTIFS('Stella'!$B$6:$B$300,$A409,'Stella'!$F$6:$F$300,"Concluído")+COUNTIFS('Igor'!$B$6:$B$300,$A409,'Igor'!$F$6:$F$300,"Concluído"))&amp;" / "&amp;(COUNTIF('Clarice'!$B$6:$B$300,$A409)+COUNTIF('Luisa'!$B$6:$B$300,$A409)+COUNTIF('Lui'!$B$6:$B$300,$A409)+COUNTIF('Thaís'!$B$6:$B$300,$A409)+COUNTIF('Daniel'!$B$6:$B$300,$A409)+COUNTIF('Fernando'!$B$6:$B$300,$A409)+COUNTIF('Stephanie'!$B$6:$B$300,$A409)+COUNTIF('Fox'!$B$6:$B$300,$A409)+COUNTIF('Bruna'!$B$6:$B$300,$A409)+COUNTIF('Stella'!$B$6:$B$300,$A409)+COUNTIF('Igor'!$B$6:$B$300,$A409)))</f>
        <v/>
      </c>
      <c r="P409" s="25">
        <f>IF($A409="","",IF(M409&lt;&gt;"",M409,IF(K409&lt;&gt;"",K409,"")))</f>
        <v/>
      </c>
      <c r="Q409" s="25">
        <f>IF($A409="","",IF(N409&lt;&gt;"",N409,IF(L409&lt;&gt;"",L409,"")))</f>
        <v/>
      </c>
      <c r="S409" s="23">
        <f t="array" ref="S409">IF($A409="","",_xlfn.TEXTJOIN(CHAR(10),TRUE,IF('Clarice'!$B$6:$B$300=$A409,"Clarice"&amp;IF('Clarice'!$E$6:$E$300="",""," : "&amp;'Clarice'!$E$6:$E$300)&amp;" ["&amp;'Clarice'!$F$6:$F$300&amp;"]",""),IF('Luisa'!$B$6:$B$300=$A409,"Luisa"&amp;IF('Luisa'!$E$6:$E$300="",""," : "&amp;'Luisa'!$E$6:$E$300)&amp;" ["&amp;'Luisa'!$F$6:$F$300&amp;"]",""),IF('Lui'!$B$6:$B$300=$A409,"Lui"&amp;IF('Lui'!$E$6:$E$300="",""," : "&amp;'Lui'!$E$6:$E$300)&amp;" ["&amp;'Lui'!$F$6:$F$300&amp;"]",""),IF('Thaís'!$B$6:$B$300=$A409,"Thaís"&amp;IF('Thaís'!$E$6:$E$300="",""," : "&amp;'Thaís'!$E$6:$E$300)&amp;" ["&amp;'Thaís'!$F$6:$F$300&amp;"]",""),IF('Daniel'!$B$6:$B$300=$A409,"Daniel"&amp;IF('Daniel'!$E$6:$E$300="",""," : "&amp;'Daniel'!$E$6:$E$300)&amp;" ["&amp;'Daniel'!$F$6:$F$300&amp;"]",""),IF('Fernando'!$B$6:$B$300=$A409,"Fernando"&amp;IF('Fernando'!$E$6:$E$300="",""," : "&amp;'Fernando'!$E$6:$E$300)&amp;" ["&amp;'Fernando'!$F$6:$F$300&amp;"]",""),IF('Stephanie'!$B$6:$B$300=$A409,"Stephanie"&amp;IF('Stephanie'!$E$6:$E$300="",""," : "&amp;'Stephanie'!$E$6:$E$300)&amp;" ["&amp;'Stephanie'!$F$6:$F$300&amp;"]",""),IF('Fox'!$B$6:$B$300=$A409,"Fox"&amp;IF('Fox'!$E$6:$E$300="",""," : "&amp;'Fox'!$E$6:$E$300)&amp;" ["&amp;'Fox'!$F$6:$F$300&amp;"]",""),IF('Bruna'!$B$6:$B$300=$A409,"Bruna"&amp;IF('Bruna'!$E$6:$E$300="",""," : "&amp;'Bruna'!$E$6:$E$300)&amp;" ["&amp;'Bruna'!$F$6:$F$300&amp;"]",""),IF('Stella'!$B$6:$B$300=$A409,"Stella"&amp;IF('Stella'!$E$6:$E$300="",""," : "&amp;'Stella'!$E$6:$E$300)&amp;" ["&amp;'Stella'!$F$6:$F$300&amp;"]",""),IF('Igor'!$B$6:$B$300=$A409,"Igor"&amp;IF('Igor'!$E$6:$E$300="",""," : "&amp;'Igor'!$E$6:$E$300)&amp;" ["&amp;'Igor'!$F$6:$F$300&amp;"]","")))</f>
        <v/>
      </c>
    </row>
    <row r="410">
      <c r="G410" s="23">
        <f>IF($A410="","",_xlfn.TEXTJOIN("; ",TRUE,IF(COUNTIF('Clarice'!$B$6:$B$300,$A410)&gt;0,"Clarice",""),IF(COUNTIF('Luisa'!$B$6:$B$300,$A410)&gt;0,"Luisa",""),IF(COUNTIF('Lui'!$B$6:$B$300,$A410)&gt;0,"Lui",""),IF(COUNTIF('Thaís'!$B$6:$B$300,$A410)&gt;0,"Thaís",""),IF(COUNTIF('Daniel'!$B$6:$B$300,$A410)&gt;0,"Daniel",""),IF(COUNTIF('Fernando'!$B$6:$B$300,$A410)&gt;0,"Fernando",""),IF(COUNTIF('Stephanie'!$B$6:$B$300,$A410)&gt;0,"Stephanie",""),IF(COUNTIF('Fox'!$B$6:$B$300,$A410)&gt;0,"Fox",""),IF(COUNTIF('Bruna'!$B$6:$B$300,$A410)&gt;0,"Bruna",""),IF(COUNTIF('Stella'!$B$6:$B$300,$A410)&gt;0,"Stella",""),IF(COUNTIF('Igor'!$B$6:$B$300,$A410)&gt;0,"Igor","")))</f>
        <v/>
      </c>
      <c r="J410" s="24">
        <f>IF(OR($A410="",(COUNTIF('Clarice'!$B$6:$B$300,$A410)+COUNTIF('Luisa'!$B$6:$B$300,$A410)+COUNTIF('Lui'!$B$6:$B$300,$A410)+COUNTIF('Thaís'!$B$6:$B$300,$A410)+COUNTIF('Daniel'!$B$6:$B$300,$A410)+COUNTIF('Fernando'!$B$6:$B$300,$A410)+COUNTIF('Stephanie'!$B$6:$B$300,$A410)+COUNTIF('Fox'!$B$6:$B$300,$A410)+COUNTIF('Bruna'!$B$6:$B$300,$A410)+COUNTIF('Stella'!$B$6:$B$300,$A410)+COUNTIF('Igor'!$B$6:$B$300,$A410))=0),"",(COUNTIFS('Clarice'!$B$6:$B$300,$A410,'Clarice'!$F$6:$F$300,"Concluído")+COUNTIFS('Luisa'!$B$6:$B$300,$A410,'Luisa'!$F$6:$F$300,"Concluído")+COUNTIFS('Lui'!$B$6:$B$300,$A410,'Lui'!$F$6:$F$300,"Concluído")+COUNTIFS('Thaís'!$B$6:$B$300,$A410,'Thaís'!$F$6:$F$300,"Concluído")+COUNTIFS('Daniel'!$B$6:$B$300,$A410,'Daniel'!$F$6:$F$300,"Concluído")+COUNTIFS('Fernando'!$B$6:$B$300,$A410,'Fernando'!$F$6:$F$300,"Concluído")+COUNTIFS('Stephanie'!$B$6:$B$300,$A410,'Stephanie'!$F$6:$F$300,"Concluído")+COUNTIFS('Fox'!$B$6:$B$300,$A410,'Fox'!$F$6:$F$300,"Concluído")+COUNTIFS('Bruna'!$B$6:$B$300,$A410,'Bruna'!$F$6:$F$300,"Concluído")+COUNTIFS('Stella'!$B$6:$B$300,$A410,'Stella'!$F$6:$F$300,"Concluído")+COUNTIFS('Igor'!$B$6:$B$300,$A410,'Igor'!$F$6:$F$300,"Concluído"))&amp;" / "&amp;(COUNTIF('Clarice'!$B$6:$B$300,$A410)+COUNTIF('Luisa'!$B$6:$B$300,$A410)+COUNTIF('Lui'!$B$6:$B$300,$A410)+COUNTIF('Thaís'!$B$6:$B$300,$A410)+COUNTIF('Daniel'!$B$6:$B$300,$A410)+COUNTIF('Fernando'!$B$6:$B$300,$A410)+COUNTIF('Stephanie'!$B$6:$B$300,$A410)+COUNTIF('Fox'!$B$6:$B$300,$A410)+COUNTIF('Bruna'!$B$6:$B$300,$A410)+COUNTIF('Stella'!$B$6:$B$300,$A410)+COUNTIF('Igor'!$B$6:$B$300,$A410)))</f>
        <v/>
      </c>
      <c r="P410" s="25">
        <f>IF($A410="","",IF(M410&lt;&gt;"",M410,IF(K410&lt;&gt;"",K410,"")))</f>
        <v/>
      </c>
      <c r="Q410" s="25">
        <f>IF($A410="","",IF(N410&lt;&gt;"",N410,IF(L410&lt;&gt;"",L410,"")))</f>
        <v/>
      </c>
      <c r="S410" s="23">
        <f t="array" ref="S410">IF($A410="","",_xlfn.TEXTJOIN(CHAR(10),TRUE,IF('Clarice'!$B$6:$B$300=$A410,"Clarice"&amp;IF('Clarice'!$E$6:$E$300="",""," : "&amp;'Clarice'!$E$6:$E$300)&amp;" ["&amp;'Clarice'!$F$6:$F$300&amp;"]",""),IF('Luisa'!$B$6:$B$300=$A410,"Luisa"&amp;IF('Luisa'!$E$6:$E$300="",""," : "&amp;'Luisa'!$E$6:$E$300)&amp;" ["&amp;'Luisa'!$F$6:$F$300&amp;"]",""),IF('Lui'!$B$6:$B$300=$A410,"Lui"&amp;IF('Lui'!$E$6:$E$300="",""," : "&amp;'Lui'!$E$6:$E$300)&amp;" ["&amp;'Lui'!$F$6:$F$300&amp;"]",""),IF('Thaís'!$B$6:$B$300=$A410,"Thaís"&amp;IF('Thaís'!$E$6:$E$300="",""," : "&amp;'Thaís'!$E$6:$E$300)&amp;" ["&amp;'Thaís'!$F$6:$F$300&amp;"]",""),IF('Daniel'!$B$6:$B$300=$A410,"Daniel"&amp;IF('Daniel'!$E$6:$E$300="",""," : "&amp;'Daniel'!$E$6:$E$300)&amp;" ["&amp;'Daniel'!$F$6:$F$300&amp;"]",""),IF('Fernando'!$B$6:$B$300=$A410,"Fernando"&amp;IF('Fernando'!$E$6:$E$300="",""," : "&amp;'Fernando'!$E$6:$E$300)&amp;" ["&amp;'Fernando'!$F$6:$F$300&amp;"]",""),IF('Stephanie'!$B$6:$B$300=$A410,"Stephanie"&amp;IF('Stephanie'!$E$6:$E$300="",""," : "&amp;'Stephanie'!$E$6:$E$300)&amp;" ["&amp;'Stephanie'!$F$6:$F$300&amp;"]",""),IF('Fox'!$B$6:$B$300=$A410,"Fox"&amp;IF('Fox'!$E$6:$E$300="",""," : "&amp;'Fox'!$E$6:$E$300)&amp;" ["&amp;'Fox'!$F$6:$F$300&amp;"]",""),IF('Bruna'!$B$6:$B$300=$A410,"Bruna"&amp;IF('Bruna'!$E$6:$E$300="",""," : "&amp;'Bruna'!$E$6:$E$300)&amp;" ["&amp;'Bruna'!$F$6:$F$300&amp;"]",""),IF('Stella'!$B$6:$B$300=$A410,"Stella"&amp;IF('Stella'!$E$6:$E$300="",""," : "&amp;'Stella'!$E$6:$E$300)&amp;" ["&amp;'Stella'!$F$6:$F$300&amp;"]",""),IF('Igor'!$B$6:$B$300=$A410,"Igor"&amp;IF('Igor'!$E$6:$E$300="",""," : "&amp;'Igor'!$E$6:$E$300)&amp;" ["&amp;'Igor'!$F$6:$F$300&amp;"]","")))</f>
        <v/>
      </c>
    </row>
    <row r="411">
      <c r="G411" s="23">
        <f>IF($A411="","",_xlfn.TEXTJOIN("; ",TRUE,IF(COUNTIF('Clarice'!$B$6:$B$300,$A411)&gt;0,"Clarice",""),IF(COUNTIF('Luisa'!$B$6:$B$300,$A411)&gt;0,"Luisa",""),IF(COUNTIF('Lui'!$B$6:$B$300,$A411)&gt;0,"Lui",""),IF(COUNTIF('Thaís'!$B$6:$B$300,$A411)&gt;0,"Thaís",""),IF(COUNTIF('Daniel'!$B$6:$B$300,$A411)&gt;0,"Daniel",""),IF(COUNTIF('Fernando'!$B$6:$B$300,$A411)&gt;0,"Fernando",""),IF(COUNTIF('Stephanie'!$B$6:$B$300,$A411)&gt;0,"Stephanie",""),IF(COUNTIF('Fox'!$B$6:$B$300,$A411)&gt;0,"Fox",""),IF(COUNTIF('Bruna'!$B$6:$B$300,$A411)&gt;0,"Bruna",""),IF(COUNTIF('Stella'!$B$6:$B$300,$A411)&gt;0,"Stella",""),IF(COUNTIF('Igor'!$B$6:$B$300,$A411)&gt;0,"Igor","")))</f>
        <v/>
      </c>
      <c r="J411" s="24">
        <f>IF(OR($A411="",(COUNTIF('Clarice'!$B$6:$B$300,$A411)+COUNTIF('Luisa'!$B$6:$B$300,$A411)+COUNTIF('Lui'!$B$6:$B$300,$A411)+COUNTIF('Thaís'!$B$6:$B$300,$A411)+COUNTIF('Daniel'!$B$6:$B$300,$A411)+COUNTIF('Fernando'!$B$6:$B$300,$A411)+COUNTIF('Stephanie'!$B$6:$B$300,$A411)+COUNTIF('Fox'!$B$6:$B$300,$A411)+COUNTIF('Bruna'!$B$6:$B$300,$A411)+COUNTIF('Stella'!$B$6:$B$300,$A411)+COUNTIF('Igor'!$B$6:$B$300,$A411))=0),"",(COUNTIFS('Clarice'!$B$6:$B$300,$A411,'Clarice'!$F$6:$F$300,"Concluído")+COUNTIFS('Luisa'!$B$6:$B$300,$A411,'Luisa'!$F$6:$F$300,"Concluído")+COUNTIFS('Lui'!$B$6:$B$300,$A411,'Lui'!$F$6:$F$300,"Concluído")+COUNTIFS('Thaís'!$B$6:$B$300,$A411,'Thaís'!$F$6:$F$300,"Concluído")+COUNTIFS('Daniel'!$B$6:$B$300,$A411,'Daniel'!$F$6:$F$300,"Concluído")+COUNTIFS('Fernando'!$B$6:$B$300,$A411,'Fernando'!$F$6:$F$300,"Concluído")+COUNTIFS('Stephanie'!$B$6:$B$300,$A411,'Stephanie'!$F$6:$F$300,"Concluído")+COUNTIFS('Fox'!$B$6:$B$300,$A411,'Fox'!$F$6:$F$300,"Concluído")+COUNTIFS('Bruna'!$B$6:$B$300,$A411,'Bruna'!$F$6:$F$300,"Concluído")+COUNTIFS('Stella'!$B$6:$B$300,$A411,'Stella'!$F$6:$F$300,"Concluído")+COUNTIFS('Igor'!$B$6:$B$300,$A411,'Igor'!$F$6:$F$300,"Concluído"))&amp;" / "&amp;(COUNTIF('Clarice'!$B$6:$B$300,$A411)+COUNTIF('Luisa'!$B$6:$B$300,$A411)+COUNTIF('Lui'!$B$6:$B$300,$A411)+COUNTIF('Thaís'!$B$6:$B$300,$A411)+COUNTIF('Daniel'!$B$6:$B$300,$A411)+COUNTIF('Fernando'!$B$6:$B$300,$A411)+COUNTIF('Stephanie'!$B$6:$B$300,$A411)+COUNTIF('Fox'!$B$6:$B$300,$A411)+COUNTIF('Bruna'!$B$6:$B$300,$A411)+COUNTIF('Stella'!$B$6:$B$300,$A411)+COUNTIF('Igor'!$B$6:$B$300,$A411)))</f>
        <v/>
      </c>
      <c r="P411" s="25">
        <f>IF($A411="","",IF(M411&lt;&gt;"",M411,IF(K411&lt;&gt;"",K411,"")))</f>
        <v/>
      </c>
      <c r="Q411" s="25">
        <f>IF($A411="","",IF(N411&lt;&gt;"",N411,IF(L411&lt;&gt;"",L411,"")))</f>
        <v/>
      </c>
      <c r="S411" s="23">
        <f t="array" ref="S411">IF($A411="","",_xlfn.TEXTJOIN(CHAR(10),TRUE,IF('Clarice'!$B$6:$B$300=$A411,"Clarice"&amp;IF('Clarice'!$E$6:$E$300="",""," : "&amp;'Clarice'!$E$6:$E$300)&amp;" ["&amp;'Clarice'!$F$6:$F$300&amp;"]",""),IF('Luisa'!$B$6:$B$300=$A411,"Luisa"&amp;IF('Luisa'!$E$6:$E$300="",""," : "&amp;'Luisa'!$E$6:$E$300)&amp;" ["&amp;'Luisa'!$F$6:$F$300&amp;"]",""),IF('Lui'!$B$6:$B$300=$A411,"Lui"&amp;IF('Lui'!$E$6:$E$300="",""," : "&amp;'Lui'!$E$6:$E$300)&amp;" ["&amp;'Lui'!$F$6:$F$300&amp;"]",""),IF('Thaís'!$B$6:$B$300=$A411,"Thaís"&amp;IF('Thaís'!$E$6:$E$300="",""," : "&amp;'Thaís'!$E$6:$E$300)&amp;" ["&amp;'Thaís'!$F$6:$F$300&amp;"]",""),IF('Daniel'!$B$6:$B$300=$A411,"Daniel"&amp;IF('Daniel'!$E$6:$E$300="",""," : "&amp;'Daniel'!$E$6:$E$300)&amp;" ["&amp;'Daniel'!$F$6:$F$300&amp;"]",""),IF('Fernando'!$B$6:$B$300=$A411,"Fernando"&amp;IF('Fernando'!$E$6:$E$300="",""," : "&amp;'Fernando'!$E$6:$E$300)&amp;" ["&amp;'Fernando'!$F$6:$F$300&amp;"]",""),IF('Stephanie'!$B$6:$B$300=$A411,"Stephanie"&amp;IF('Stephanie'!$E$6:$E$300="",""," : "&amp;'Stephanie'!$E$6:$E$300)&amp;" ["&amp;'Stephanie'!$F$6:$F$300&amp;"]",""),IF('Fox'!$B$6:$B$300=$A411,"Fox"&amp;IF('Fox'!$E$6:$E$300="",""," : "&amp;'Fox'!$E$6:$E$300)&amp;" ["&amp;'Fox'!$F$6:$F$300&amp;"]",""),IF('Bruna'!$B$6:$B$300=$A411,"Bruna"&amp;IF('Bruna'!$E$6:$E$300="",""," : "&amp;'Bruna'!$E$6:$E$300)&amp;" ["&amp;'Bruna'!$F$6:$F$300&amp;"]",""),IF('Stella'!$B$6:$B$300=$A411,"Stella"&amp;IF('Stella'!$E$6:$E$300="",""," : "&amp;'Stella'!$E$6:$E$300)&amp;" ["&amp;'Stella'!$F$6:$F$300&amp;"]",""),IF('Igor'!$B$6:$B$300=$A411,"Igor"&amp;IF('Igor'!$E$6:$E$300="",""," : "&amp;'Igor'!$E$6:$E$300)&amp;" ["&amp;'Igor'!$F$6:$F$300&amp;"]","")))</f>
        <v/>
      </c>
    </row>
    <row r="412">
      <c r="G412" s="23">
        <f>IF($A412="","",_xlfn.TEXTJOIN("; ",TRUE,IF(COUNTIF('Clarice'!$B$6:$B$300,$A412)&gt;0,"Clarice",""),IF(COUNTIF('Luisa'!$B$6:$B$300,$A412)&gt;0,"Luisa",""),IF(COUNTIF('Lui'!$B$6:$B$300,$A412)&gt;0,"Lui",""),IF(COUNTIF('Thaís'!$B$6:$B$300,$A412)&gt;0,"Thaís",""),IF(COUNTIF('Daniel'!$B$6:$B$300,$A412)&gt;0,"Daniel",""),IF(COUNTIF('Fernando'!$B$6:$B$300,$A412)&gt;0,"Fernando",""),IF(COUNTIF('Stephanie'!$B$6:$B$300,$A412)&gt;0,"Stephanie",""),IF(COUNTIF('Fox'!$B$6:$B$300,$A412)&gt;0,"Fox",""),IF(COUNTIF('Bruna'!$B$6:$B$300,$A412)&gt;0,"Bruna",""),IF(COUNTIF('Stella'!$B$6:$B$300,$A412)&gt;0,"Stella",""),IF(COUNTIF('Igor'!$B$6:$B$300,$A412)&gt;0,"Igor","")))</f>
        <v/>
      </c>
      <c r="J412" s="24">
        <f>IF(OR($A412="",(COUNTIF('Clarice'!$B$6:$B$300,$A412)+COUNTIF('Luisa'!$B$6:$B$300,$A412)+COUNTIF('Lui'!$B$6:$B$300,$A412)+COUNTIF('Thaís'!$B$6:$B$300,$A412)+COUNTIF('Daniel'!$B$6:$B$300,$A412)+COUNTIF('Fernando'!$B$6:$B$300,$A412)+COUNTIF('Stephanie'!$B$6:$B$300,$A412)+COUNTIF('Fox'!$B$6:$B$300,$A412)+COUNTIF('Bruna'!$B$6:$B$300,$A412)+COUNTIF('Stella'!$B$6:$B$300,$A412)+COUNTIF('Igor'!$B$6:$B$300,$A412))=0),"",(COUNTIFS('Clarice'!$B$6:$B$300,$A412,'Clarice'!$F$6:$F$300,"Concluído")+COUNTIFS('Luisa'!$B$6:$B$300,$A412,'Luisa'!$F$6:$F$300,"Concluído")+COUNTIFS('Lui'!$B$6:$B$300,$A412,'Lui'!$F$6:$F$300,"Concluído")+COUNTIFS('Thaís'!$B$6:$B$300,$A412,'Thaís'!$F$6:$F$300,"Concluído")+COUNTIFS('Daniel'!$B$6:$B$300,$A412,'Daniel'!$F$6:$F$300,"Concluído")+COUNTIFS('Fernando'!$B$6:$B$300,$A412,'Fernando'!$F$6:$F$300,"Concluído")+COUNTIFS('Stephanie'!$B$6:$B$300,$A412,'Stephanie'!$F$6:$F$300,"Concluído")+COUNTIFS('Fox'!$B$6:$B$300,$A412,'Fox'!$F$6:$F$300,"Concluído")+COUNTIFS('Bruna'!$B$6:$B$300,$A412,'Bruna'!$F$6:$F$300,"Concluído")+COUNTIFS('Stella'!$B$6:$B$300,$A412,'Stella'!$F$6:$F$300,"Concluído")+COUNTIFS('Igor'!$B$6:$B$300,$A412,'Igor'!$F$6:$F$300,"Concluído"))&amp;" / "&amp;(COUNTIF('Clarice'!$B$6:$B$300,$A412)+COUNTIF('Luisa'!$B$6:$B$300,$A412)+COUNTIF('Lui'!$B$6:$B$300,$A412)+COUNTIF('Thaís'!$B$6:$B$300,$A412)+COUNTIF('Daniel'!$B$6:$B$300,$A412)+COUNTIF('Fernando'!$B$6:$B$300,$A412)+COUNTIF('Stephanie'!$B$6:$B$300,$A412)+COUNTIF('Fox'!$B$6:$B$300,$A412)+COUNTIF('Bruna'!$B$6:$B$300,$A412)+COUNTIF('Stella'!$B$6:$B$300,$A412)+COUNTIF('Igor'!$B$6:$B$300,$A412)))</f>
        <v/>
      </c>
      <c r="P412" s="25">
        <f>IF($A412="","",IF(M412&lt;&gt;"",M412,IF(K412&lt;&gt;"",K412,"")))</f>
        <v/>
      </c>
      <c r="Q412" s="25">
        <f>IF($A412="","",IF(N412&lt;&gt;"",N412,IF(L412&lt;&gt;"",L412,"")))</f>
        <v/>
      </c>
      <c r="S412" s="23">
        <f t="array" ref="S412">IF($A412="","",_xlfn.TEXTJOIN(CHAR(10),TRUE,IF('Clarice'!$B$6:$B$300=$A412,"Clarice"&amp;IF('Clarice'!$E$6:$E$300="",""," : "&amp;'Clarice'!$E$6:$E$300)&amp;" ["&amp;'Clarice'!$F$6:$F$300&amp;"]",""),IF('Luisa'!$B$6:$B$300=$A412,"Luisa"&amp;IF('Luisa'!$E$6:$E$300="",""," : "&amp;'Luisa'!$E$6:$E$300)&amp;" ["&amp;'Luisa'!$F$6:$F$300&amp;"]",""),IF('Lui'!$B$6:$B$300=$A412,"Lui"&amp;IF('Lui'!$E$6:$E$300="",""," : "&amp;'Lui'!$E$6:$E$300)&amp;" ["&amp;'Lui'!$F$6:$F$300&amp;"]",""),IF('Thaís'!$B$6:$B$300=$A412,"Thaís"&amp;IF('Thaís'!$E$6:$E$300="",""," : "&amp;'Thaís'!$E$6:$E$300)&amp;" ["&amp;'Thaís'!$F$6:$F$300&amp;"]",""),IF('Daniel'!$B$6:$B$300=$A412,"Daniel"&amp;IF('Daniel'!$E$6:$E$300="",""," : "&amp;'Daniel'!$E$6:$E$300)&amp;" ["&amp;'Daniel'!$F$6:$F$300&amp;"]",""),IF('Fernando'!$B$6:$B$300=$A412,"Fernando"&amp;IF('Fernando'!$E$6:$E$300="",""," : "&amp;'Fernando'!$E$6:$E$300)&amp;" ["&amp;'Fernando'!$F$6:$F$300&amp;"]",""),IF('Stephanie'!$B$6:$B$300=$A412,"Stephanie"&amp;IF('Stephanie'!$E$6:$E$300="",""," : "&amp;'Stephanie'!$E$6:$E$300)&amp;" ["&amp;'Stephanie'!$F$6:$F$300&amp;"]",""),IF('Fox'!$B$6:$B$300=$A412,"Fox"&amp;IF('Fox'!$E$6:$E$300="",""," : "&amp;'Fox'!$E$6:$E$300)&amp;" ["&amp;'Fox'!$F$6:$F$300&amp;"]",""),IF('Bruna'!$B$6:$B$300=$A412,"Bruna"&amp;IF('Bruna'!$E$6:$E$300="",""," : "&amp;'Bruna'!$E$6:$E$300)&amp;" ["&amp;'Bruna'!$F$6:$F$300&amp;"]",""),IF('Stella'!$B$6:$B$300=$A412,"Stella"&amp;IF('Stella'!$E$6:$E$300="",""," : "&amp;'Stella'!$E$6:$E$300)&amp;" ["&amp;'Stella'!$F$6:$F$300&amp;"]",""),IF('Igor'!$B$6:$B$300=$A412,"Igor"&amp;IF('Igor'!$E$6:$E$300="",""," : "&amp;'Igor'!$E$6:$E$300)&amp;" ["&amp;'Igor'!$F$6:$F$300&amp;"]","")))</f>
        <v/>
      </c>
    </row>
    <row r="413">
      <c r="G413" s="23">
        <f>IF($A413="","",_xlfn.TEXTJOIN("; ",TRUE,IF(COUNTIF('Clarice'!$B$6:$B$300,$A413)&gt;0,"Clarice",""),IF(COUNTIF('Luisa'!$B$6:$B$300,$A413)&gt;0,"Luisa",""),IF(COUNTIF('Lui'!$B$6:$B$300,$A413)&gt;0,"Lui",""),IF(COUNTIF('Thaís'!$B$6:$B$300,$A413)&gt;0,"Thaís",""),IF(COUNTIF('Daniel'!$B$6:$B$300,$A413)&gt;0,"Daniel",""),IF(COUNTIF('Fernando'!$B$6:$B$300,$A413)&gt;0,"Fernando",""),IF(COUNTIF('Stephanie'!$B$6:$B$300,$A413)&gt;0,"Stephanie",""),IF(COUNTIF('Fox'!$B$6:$B$300,$A413)&gt;0,"Fox",""),IF(COUNTIF('Bruna'!$B$6:$B$300,$A413)&gt;0,"Bruna",""),IF(COUNTIF('Stella'!$B$6:$B$300,$A413)&gt;0,"Stella",""),IF(COUNTIF('Igor'!$B$6:$B$300,$A413)&gt;0,"Igor","")))</f>
        <v/>
      </c>
      <c r="J413" s="24">
        <f>IF(OR($A413="",(COUNTIF('Clarice'!$B$6:$B$300,$A413)+COUNTIF('Luisa'!$B$6:$B$300,$A413)+COUNTIF('Lui'!$B$6:$B$300,$A413)+COUNTIF('Thaís'!$B$6:$B$300,$A413)+COUNTIF('Daniel'!$B$6:$B$300,$A413)+COUNTIF('Fernando'!$B$6:$B$300,$A413)+COUNTIF('Stephanie'!$B$6:$B$300,$A413)+COUNTIF('Fox'!$B$6:$B$300,$A413)+COUNTIF('Bruna'!$B$6:$B$300,$A413)+COUNTIF('Stella'!$B$6:$B$300,$A413)+COUNTIF('Igor'!$B$6:$B$300,$A413))=0),"",(COUNTIFS('Clarice'!$B$6:$B$300,$A413,'Clarice'!$F$6:$F$300,"Concluído")+COUNTIFS('Luisa'!$B$6:$B$300,$A413,'Luisa'!$F$6:$F$300,"Concluído")+COUNTIFS('Lui'!$B$6:$B$300,$A413,'Lui'!$F$6:$F$300,"Concluído")+COUNTIFS('Thaís'!$B$6:$B$300,$A413,'Thaís'!$F$6:$F$300,"Concluído")+COUNTIFS('Daniel'!$B$6:$B$300,$A413,'Daniel'!$F$6:$F$300,"Concluído")+COUNTIFS('Fernando'!$B$6:$B$300,$A413,'Fernando'!$F$6:$F$300,"Concluído")+COUNTIFS('Stephanie'!$B$6:$B$300,$A413,'Stephanie'!$F$6:$F$300,"Concluído")+COUNTIFS('Fox'!$B$6:$B$300,$A413,'Fox'!$F$6:$F$300,"Concluído")+COUNTIFS('Bruna'!$B$6:$B$300,$A413,'Bruna'!$F$6:$F$300,"Concluído")+COUNTIFS('Stella'!$B$6:$B$300,$A413,'Stella'!$F$6:$F$300,"Concluído")+COUNTIFS('Igor'!$B$6:$B$300,$A413,'Igor'!$F$6:$F$300,"Concluído"))&amp;" / "&amp;(COUNTIF('Clarice'!$B$6:$B$300,$A413)+COUNTIF('Luisa'!$B$6:$B$300,$A413)+COUNTIF('Lui'!$B$6:$B$300,$A413)+COUNTIF('Thaís'!$B$6:$B$300,$A413)+COUNTIF('Daniel'!$B$6:$B$300,$A413)+COUNTIF('Fernando'!$B$6:$B$300,$A413)+COUNTIF('Stephanie'!$B$6:$B$300,$A413)+COUNTIF('Fox'!$B$6:$B$300,$A413)+COUNTIF('Bruna'!$B$6:$B$300,$A413)+COUNTIF('Stella'!$B$6:$B$300,$A413)+COUNTIF('Igor'!$B$6:$B$300,$A413)))</f>
        <v/>
      </c>
      <c r="P413" s="25">
        <f>IF($A413="","",IF(M413&lt;&gt;"",M413,IF(K413&lt;&gt;"",K413,"")))</f>
        <v/>
      </c>
      <c r="Q413" s="25">
        <f>IF($A413="","",IF(N413&lt;&gt;"",N413,IF(L413&lt;&gt;"",L413,"")))</f>
        <v/>
      </c>
      <c r="S413" s="23">
        <f t="array" ref="S413">IF($A413="","",_xlfn.TEXTJOIN(CHAR(10),TRUE,IF('Clarice'!$B$6:$B$300=$A413,"Clarice"&amp;IF('Clarice'!$E$6:$E$300="",""," : "&amp;'Clarice'!$E$6:$E$300)&amp;" ["&amp;'Clarice'!$F$6:$F$300&amp;"]",""),IF('Luisa'!$B$6:$B$300=$A413,"Luisa"&amp;IF('Luisa'!$E$6:$E$300="",""," : "&amp;'Luisa'!$E$6:$E$300)&amp;" ["&amp;'Luisa'!$F$6:$F$300&amp;"]",""),IF('Lui'!$B$6:$B$300=$A413,"Lui"&amp;IF('Lui'!$E$6:$E$300="",""," : "&amp;'Lui'!$E$6:$E$300)&amp;" ["&amp;'Lui'!$F$6:$F$300&amp;"]",""),IF('Thaís'!$B$6:$B$300=$A413,"Thaís"&amp;IF('Thaís'!$E$6:$E$300="",""," : "&amp;'Thaís'!$E$6:$E$300)&amp;" ["&amp;'Thaís'!$F$6:$F$300&amp;"]",""),IF('Daniel'!$B$6:$B$300=$A413,"Daniel"&amp;IF('Daniel'!$E$6:$E$300="",""," : "&amp;'Daniel'!$E$6:$E$300)&amp;" ["&amp;'Daniel'!$F$6:$F$300&amp;"]",""),IF('Fernando'!$B$6:$B$300=$A413,"Fernando"&amp;IF('Fernando'!$E$6:$E$300="",""," : "&amp;'Fernando'!$E$6:$E$300)&amp;" ["&amp;'Fernando'!$F$6:$F$300&amp;"]",""),IF('Stephanie'!$B$6:$B$300=$A413,"Stephanie"&amp;IF('Stephanie'!$E$6:$E$300="",""," : "&amp;'Stephanie'!$E$6:$E$300)&amp;" ["&amp;'Stephanie'!$F$6:$F$300&amp;"]",""),IF('Fox'!$B$6:$B$300=$A413,"Fox"&amp;IF('Fox'!$E$6:$E$300="",""," : "&amp;'Fox'!$E$6:$E$300)&amp;" ["&amp;'Fox'!$F$6:$F$300&amp;"]",""),IF('Bruna'!$B$6:$B$300=$A413,"Bruna"&amp;IF('Bruna'!$E$6:$E$300="",""," : "&amp;'Bruna'!$E$6:$E$300)&amp;" ["&amp;'Bruna'!$F$6:$F$300&amp;"]",""),IF('Stella'!$B$6:$B$300=$A413,"Stella"&amp;IF('Stella'!$E$6:$E$300="",""," : "&amp;'Stella'!$E$6:$E$300)&amp;" ["&amp;'Stella'!$F$6:$F$300&amp;"]",""),IF('Igor'!$B$6:$B$300=$A413,"Igor"&amp;IF('Igor'!$E$6:$E$300="",""," : "&amp;'Igor'!$E$6:$E$300)&amp;" ["&amp;'Igor'!$F$6:$F$300&amp;"]","")))</f>
        <v/>
      </c>
    </row>
    <row r="414">
      <c r="G414" s="23">
        <f>IF($A414="","",_xlfn.TEXTJOIN("; ",TRUE,IF(COUNTIF('Clarice'!$B$6:$B$300,$A414)&gt;0,"Clarice",""),IF(COUNTIF('Luisa'!$B$6:$B$300,$A414)&gt;0,"Luisa",""),IF(COUNTIF('Lui'!$B$6:$B$300,$A414)&gt;0,"Lui",""),IF(COUNTIF('Thaís'!$B$6:$B$300,$A414)&gt;0,"Thaís",""),IF(COUNTIF('Daniel'!$B$6:$B$300,$A414)&gt;0,"Daniel",""),IF(COUNTIF('Fernando'!$B$6:$B$300,$A414)&gt;0,"Fernando",""),IF(COUNTIF('Stephanie'!$B$6:$B$300,$A414)&gt;0,"Stephanie",""),IF(COUNTIF('Fox'!$B$6:$B$300,$A414)&gt;0,"Fox",""),IF(COUNTIF('Bruna'!$B$6:$B$300,$A414)&gt;0,"Bruna",""),IF(COUNTIF('Stella'!$B$6:$B$300,$A414)&gt;0,"Stella",""),IF(COUNTIF('Igor'!$B$6:$B$300,$A414)&gt;0,"Igor","")))</f>
        <v/>
      </c>
      <c r="J414" s="24">
        <f>IF(OR($A414="",(COUNTIF('Clarice'!$B$6:$B$300,$A414)+COUNTIF('Luisa'!$B$6:$B$300,$A414)+COUNTIF('Lui'!$B$6:$B$300,$A414)+COUNTIF('Thaís'!$B$6:$B$300,$A414)+COUNTIF('Daniel'!$B$6:$B$300,$A414)+COUNTIF('Fernando'!$B$6:$B$300,$A414)+COUNTIF('Stephanie'!$B$6:$B$300,$A414)+COUNTIF('Fox'!$B$6:$B$300,$A414)+COUNTIF('Bruna'!$B$6:$B$300,$A414)+COUNTIF('Stella'!$B$6:$B$300,$A414)+COUNTIF('Igor'!$B$6:$B$300,$A414))=0),"",(COUNTIFS('Clarice'!$B$6:$B$300,$A414,'Clarice'!$F$6:$F$300,"Concluído")+COUNTIFS('Luisa'!$B$6:$B$300,$A414,'Luisa'!$F$6:$F$300,"Concluído")+COUNTIFS('Lui'!$B$6:$B$300,$A414,'Lui'!$F$6:$F$300,"Concluído")+COUNTIFS('Thaís'!$B$6:$B$300,$A414,'Thaís'!$F$6:$F$300,"Concluído")+COUNTIFS('Daniel'!$B$6:$B$300,$A414,'Daniel'!$F$6:$F$300,"Concluído")+COUNTIFS('Fernando'!$B$6:$B$300,$A414,'Fernando'!$F$6:$F$300,"Concluído")+COUNTIFS('Stephanie'!$B$6:$B$300,$A414,'Stephanie'!$F$6:$F$300,"Concluído")+COUNTIFS('Fox'!$B$6:$B$300,$A414,'Fox'!$F$6:$F$300,"Concluído")+COUNTIFS('Bruna'!$B$6:$B$300,$A414,'Bruna'!$F$6:$F$300,"Concluído")+COUNTIFS('Stella'!$B$6:$B$300,$A414,'Stella'!$F$6:$F$300,"Concluído")+COUNTIFS('Igor'!$B$6:$B$300,$A414,'Igor'!$F$6:$F$300,"Concluído"))&amp;" / "&amp;(COUNTIF('Clarice'!$B$6:$B$300,$A414)+COUNTIF('Luisa'!$B$6:$B$300,$A414)+COUNTIF('Lui'!$B$6:$B$300,$A414)+COUNTIF('Thaís'!$B$6:$B$300,$A414)+COUNTIF('Daniel'!$B$6:$B$300,$A414)+COUNTIF('Fernando'!$B$6:$B$300,$A414)+COUNTIF('Stephanie'!$B$6:$B$300,$A414)+COUNTIF('Fox'!$B$6:$B$300,$A414)+COUNTIF('Bruna'!$B$6:$B$300,$A414)+COUNTIF('Stella'!$B$6:$B$300,$A414)+COUNTIF('Igor'!$B$6:$B$300,$A414)))</f>
        <v/>
      </c>
      <c r="P414" s="25">
        <f>IF($A414="","",IF(M414&lt;&gt;"",M414,IF(K414&lt;&gt;"",K414,"")))</f>
        <v/>
      </c>
      <c r="Q414" s="25">
        <f>IF($A414="","",IF(N414&lt;&gt;"",N414,IF(L414&lt;&gt;"",L414,"")))</f>
        <v/>
      </c>
      <c r="S414" s="23">
        <f t="array" ref="S414">IF($A414="","",_xlfn.TEXTJOIN(CHAR(10),TRUE,IF('Clarice'!$B$6:$B$300=$A414,"Clarice"&amp;IF('Clarice'!$E$6:$E$300="",""," : "&amp;'Clarice'!$E$6:$E$300)&amp;" ["&amp;'Clarice'!$F$6:$F$300&amp;"]",""),IF('Luisa'!$B$6:$B$300=$A414,"Luisa"&amp;IF('Luisa'!$E$6:$E$300="",""," : "&amp;'Luisa'!$E$6:$E$300)&amp;" ["&amp;'Luisa'!$F$6:$F$300&amp;"]",""),IF('Lui'!$B$6:$B$300=$A414,"Lui"&amp;IF('Lui'!$E$6:$E$300="",""," : "&amp;'Lui'!$E$6:$E$300)&amp;" ["&amp;'Lui'!$F$6:$F$300&amp;"]",""),IF('Thaís'!$B$6:$B$300=$A414,"Thaís"&amp;IF('Thaís'!$E$6:$E$300="",""," : "&amp;'Thaís'!$E$6:$E$300)&amp;" ["&amp;'Thaís'!$F$6:$F$300&amp;"]",""),IF('Daniel'!$B$6:$B$300=$A414,"Daniel"&amp;IF('Daniel'!$E$6:$E$300="",""," : "&amp;'Daniel'!$E$6:$E$300)&amp;" ["&amp;'Daniel'!$F$6:$F$300&amp;"]",""),IF('Fernando'!$B$6:$B$300=$A414,"Fernando"&amp;IF('Fernando'!$E$6:$E$300="",""," : "&amp;'Fernando'!$E$6:$E$300)&amp;" ["&amp;'Fernando'!$F$6:$F$300&amp;"]",""),IF('Stephanie'!$B$6:$B$300=$A414,"Stephanie"&amp;IF('Stephanie'!$E$6:$E$300="",""," : "&amp;'Stephanie'!$E$6:$E$300)&amp;" ["&amp;'Stephanie'!$F$6:$F$300&amp;"]",""),IF('Fox'!$B$6:$B$300=$A414,"Fox"&amp;IF('Fox'!$E$6:$E$300="",""," : "&amp;'Fox'!$E$6:$E$300)&amp;" ["&amp;'Fox'!$F$6:$F$300&amp;"]",""),IF('Bruna'!$B$6:$B$300=$A414,"Bruna"&amp;IF('Bruna'!$E$6:$E$300="",""," : "&amp;'Bruna'!$E$6:$E$300)&amp;" ["&amp;'Bruna'!$F$6:$F$300&amp;"]",""),IF('Stella'!$B$6:$B$300=$A414,"Stella"&amp;IF('Stella'!$E$6:$E$300="",""," : "&amp;'Stella'!$E$6:$E$300)&amp;" ["&amp;'Stella'!$F$6:$F$300&amp;"]",""),IF('Igor'!$B$6:$B$300=$A414,"Igor"&amp;IF('Igor'!$E$6:$E$300="",""," : "&amp;'Igor'!$E$6:$E$300)&amp;" ["&amp;'Igor'!$F$6:$F$300&amp;"]","")))</f>
        <v/>
      </c>
    </row>
    <row r="415">
      <c r="G415" s="23">
        <f>IF($A415="","",_xlfn.TEXTJOIN("; ",TRUE,IF(COUNTIF('Clarice'!$B$6:$B$300,$A415)&gt;0,"Clarice",""),IF(COUNTIF('Luisa'!$B$6:$B$300,$A415)&gt;0,"Luisa",""),IF(COUNTIF('Lui'!$B$6:$B$300,$A415)&gt;0,"Lui",""),IF(COUNTIF('Thaís'!$B$6:$B$300,$A415)&gt;0,"Thaís",""),IF(COUNTIF('Daniel'!$B$6:$B$300,$A415)&gt;0,"Daniel",""),IF(COUNTIF('Fernando'!$B$6:$B$300,$A415)&gt;0,"Fernando",""),IF(COUNTIF('Stephanie'!$B$6:$B$300,$A415)&gt;0,"Stephanie",""),IF(COUNTIF('Fox'!$B$6:$B$300,$A415)&gt;0,"Fox",""),IF(COUNTIF('Bruna'!$B$6:$B$300,$A415)&gt;0,"Bruna",""),IF(COUNTIF('Stella'!$B$6:$B$300,$A415)&gt;0,"Stella",""),IF(COUNTIF('Igor'!$B$6:$B$300,$A415)&gt;0,"Igor","")))</f>
        <v/>
      </c>
      <c r="J415" s="24">
        <f>IF(OR($A415="",(COUNTIF('Clarice'!$B$6:$B$300,$A415)+COUNTIF('Luisa'!$B$6:$B$300,$A415)+COUNTIF('Lui'!$B$6:$B$300,$A415)+COUNTIF('Thaís'!$B$6:$B$300,$A415)+COUNTIF('Daniel'!$B$6:$B$300,$A415)+COUNTIF('Fernando'!$B$6:$B$300,$A415)+COUNTIF('Stephanie'!$B$6:$B$300,$A415)+COUNTIF('Fox'!$B$6:$B$300,$A415)+COUNTIF('Bruna'!$B$6:$B$300,$A415)+COUNTIF('Stella'!$B$6:$B$300,$A415)+COUNTIF('Igor'!$B$6:$B$300,$A415))=0),"",(COUNTIFS('Clarice'!$B$6:$B$300,$A415,'Clarice'!$F$6:$F$300,"Concluído")+COUNTIFS('Luisa'!$B$6:$B$300,$A415,'Luisa'!$F$6:$F$300,"Concluído")+COUNTIFS('Lui'!$B$6:$B$300,$A415,'Lui'!$F$6:$F$300,"Concluído")+COUNTIFS('Thaís'!$B$6:$B$300,$A415,'Thaís'!$F$6:$F$300,"Concluído")+COUNTIFS('Daniel'!$B$6:$B$300,$A415,'Daniel'!$F$6:$F$300,"Concluído")+COUNTIFS('Fernando'!$B$6:$B$300,$A415,'Fernando'!$F$6:$F$300,"Concluído")+COUNTIFS('Stephanie'!$B$6:$B$300,$A415,'Stephanie'!$F$6:$F$300,"Concluído")+COUNTIFS('Fox'!$B$6:$B$300,$A415,'Fox'!$F$6:$F$300,"Concluído")+COUNTIFS('Bruna'!$B$6:$B$300,$A415,'Bruna'!$F$6:$F$300,"Concluído")+COUNTIFS('Stella'!$B$6:$B$300,$A415,'Stella'!$F$6:$F$300,"Concluído")+COUNTIFS('Igor'!$B$6:$B$300,$A415,'Igor'!$F$6:$F$300,"Concluído"))&amp;" / "&amp;(COUNTIF('Clarice'!$B$6:$B$300,$A415)+COUNTIF('Luisa'!$B$6:$B$300,$A415)+COUNTIF('Lui'!$B$6:$B$300,$A415)+COUNTIF('Thaís'!$B$6:$B$300,$A415)+COUNTIF('Daniel'!$B$6:$B$300,$A415)+COUNTIF('Fernando'!$B$6:$B$300,$A415)+COUNTIF('Stephanie'!$B$6:$B$300,$A415)+COUNTIF('Fox'!$B$6:$B$300,$A415)+COUNTIF('Bruna'!$B$6:$B$300,$A415)+COUNTIF('Stella'!$B$6:$B$300,$A415)+COUNTIF('Igor'!$B$6:$B$300,$A415)))</f>
        <v/>
      </c>
      <c r="P415" s="25">
        <f>IF($A415="","",IF(M415&lt;&gt;"",M415,IF(K415&lt;&gt;"",K415,"")))</f>
        <v/>
      </c>
      <c r="Q415" s="25">
        <f>IF($A415="","",IF(N415&lt;&gt;"",N415,IF(L415&lt;&gt;"",L415,"")))</f>
        <v/>
      </c>
      <c r="S415" s="23">
        <f t="array" ref="S415">IF($A415="","",_xlfn.TEXTJOIN(CHAR(10),TRUE,IF('Clarice'!$B$6:$B$300=$A415,"Clarice"&amp;IF('Clarice'!$E$6:$E$300="",""," : "&amp;'Clarice'!$E$6:$E$300)&amp;" ["&amp;'Clarice'!$F$6:$F$300&amp;"]",""),IF('Luisa'!$B$6:$B$300=$A415,"Luisa"&amp;IF('Luisa'!$E$6:$E$300="",""," : "&amp;'Luisa'!$E$6:$E$300)&amp;" ["&amp;'Luisa'!$F$6:$F$300&amp;"]",""),IF('Lui'!$B$6:$B$300=$A415,"Lui"&amp;IF('Lui'!$E$6:$E$300="",""," : "&amp;'Lui'!$E$6:$E$300)&amp;" ["&amp;'Lui'!$F$6:$F$300&amp;"]",""),IF('Thaís'!$B$6:$B$300=$A415,"Thaís"&amp;IF('Thaís'!$E$6:$E$300="",""," : "&amp;'Thaís'!$E$6:$E$300)&amp;" ["&amp;'Thaís'!$F$6:$F$300&amp;"]",""),IF('Daniel'!$B$6:$B$300=$A415,"Daniel"&amp;IF('Daniel'!$E$6:$E$300="",""," : "&amp;'Daniel'!$E$6:$E$300)&amp;" ["&amp;'Daniel'!$F$6:$F$300&amp;"]",""),IF('Fernando'!$B$6:$B$300=$A415,"Fernando"&amp;IF('Fernando'!$E$6:$E$300="",""," : "&amp;'Fernando'!$E$6:$E$300)&amp;" ["&amp;'Fernando'!$F$6:$F$300&amp;"]",""),IF('Stephanie'!$B$6:$B$300=$A415,"Stephanie"&amp;IF('Stephanie'!$E$6:$E$300="",""," : "&amp;'Stephanie'!$E$6:$E$300)&amp;" ["&amp;'Stephanie'!$F$6:$F$300&amp;"]",""),IF('Fox'!$B$6:$B$300=$A415,"Fox"&amp;IF('Fox'!$E$6:$E$300="",""," : "&amp;'Fox'!$E$6:$E$300)&amp;" ["&amp;'Fox'!$F$6:$F$300&amp;"]",""),IF('Bruna'!$B$6:$B$300=$A415,"Bruna"&amp;IF('Bruna'!$E$6:$E$300="",""," : "&amp;'Bruna'!$E$6:$E$300)&amp;" ["&amp;'Bruna'!$F$6:$F$300&amp;"]",""),IF('Stella'!$B$6:$B$300=$A415,"Stella"&amp;IF('Stella'!$E$6:$E$300="",""," : "&amp;'Stella'!$E$6:$E$300)&amp;" ["&amp;'Stella'!$F$6:$F$300&amp;"]",""),IF('Igor'!$B$6:$B$300=$A415,"Igor"&amp;IF('Igor'!$E$6:$E$300="",""," : "&amp;'Igor'!$E$6:$E$300)&amp;" ["&amp;'Igor'!$F$6:$F$300&amp;"]","")))</f>
        <v/>
      </c>
    </row>
    <row r="416">
      <c r="G416" s="23">
        <f>IF($A416="","",_xlfn.TEXTJOIN("; ",TRUE,IF(COUNTIF('Clarice'!$B$6:$B$300,$A416)&gt;0,"Clarice",""),IF(COUNTIF('Luisa'!$B$6:$B$300,$A416)&gt;0,"Luisa",""),IF(COUNTIF('Lui'!$B$6:$B$300,$A416)&gt;0,"Lui",""),IF(COUNTIF('Thaís'!$B$6:$B$300,$A416)&gt;0,"Thaís",""),IF(COUNTIF('Daniel'!$B$6:$B$300,$A416)&gt;0,"Daniel",""),IF(COUNTIF('Fernando'!$B$6:$B$300,$A416)&gt;0,"Fernando",""),IF(COUNTIF('Stephanie'!$B$6:$B$300,$A416)&gt;0,"Stephanie",""),IF(COUNTIF('Fox'!$B$6:$B$300,$A416)&gt;0,"Fox",""),IF(COUNTIF('Bruna'!$B$6:$B$300,$A416)&gt;0,"Bruna",""),IF(COUNTIF('Stella'!$B$6:$B$300,$A416)&gt;0,"Stella",""),IF(COUNTIF('Igor'!$B$6:$B$300,$A416)&gt;0,"Igor","")))</f>
        <v/>
      </c>
      <c r="J416" s="24">
        <f>IF(OR($A416="",(COUNTIF('Clarice'!$B$6:$B$300,$A416)+COUNTIF('Luisa'!$B$6:$B$300,$A416)+COUNTIF('Lui'!$B$6:$B$300,$A416)+COUNTIF('Thaís'!$B$6:$B$300,$A416)+COUNTIF('Daniel'!$B$6:$B$300,$A416)+COUNTIF('Fernando'!$B$6:$B$300,$A416)+COUNTIF('Stephanie'!$B$6:$B$300,$A416)+COUNTIF('Fox'!$B$6:$B$300,$A416)+COUNTIF('Bruna'!$B$6:$B$300,$A416)+COUNTIF('Stella'!$B$6:$B$300,$A416)+COUNTIF('Igor'!$B$6:$B$300,$A416))=0),"",(COUNTIFS('Clarice'!$B$6:$B$300,$A416,'Clarice'!$F$6:$F$300,"Concluído")+COUNTIFS('Luisa'!$B$6:$B$300,$A416,'Luisa'!$F$6:$F$300,"Concluído")+COUNTIFS('Lui'!$B$6:$B$300,$A416,'Lui'!$F$6:$F$300,"Concluído")+COUNTIFS('Thaís'!$B$6:$B$300,$A416,'Thaís'!$F$6:$F$300,"Concluído")+COUNTIFS('Daniel'!$B$6:$B$300,$A416,'Daniel'!$F$6:$F$300,"Concluído")+COUNTIFS('Fernando'!$B$6:$B$300,$A416,'Fernando'!$F$6:$F$300,"Concluído")+COUNTIFS('Stephanie'!$B$6:$B$300,$A416,'Stephanie'!$F$6:$F$300,"Concluído")+COUNTIFS('Fox'!$B$6:$B$300,$A416,'Fox'!$F$6:$F$300,"Concluído")+COUNTIFS('Bruna'!$B$6:$B$300,$A416,'Bruna'!$F$6:$F$300,"Concluído")+COUNTIFS('Stella'!$B$6:$B$300,$A416,'Stella'!$F$6:$F$300,"Concluído")+COUNTIFS('Igor'!$B$6:$B$300,$A416,'Igor'!$F$6:$F$300,"Concluído"))&amp;" / "&amp;(COUNTIF('Clarice'!$B$6:$B$300,$A416)+COUNTIF('Luisa'!$B$6:$B$300,$A416)+COUNTIF('Lui'!$B$6:$B$300,$A416)+COUNTIF('Thaís'!$B$6:$B$300,$A416)+COUNTIF('Daniel'!$B$6:$B$300,$A416)+COUNTIF('Fernando'!$B$6:$B$300,$A416)+COUNTIF('Stephanie'!$B$6:$B$300,$A416)+COUNTIF('Fox'!$B$6:$B$300,$A416)+COUNTIF('Bruna'!$B$6:$B$300,$A416)+COUNTIF('Stella'!$B$6:$B$300,$A416)+COUNTIF('Igor'!$B$6:$B$300,$A416)))</f>
        <v/>
      </c>
      <c r="P416" s="25">
        <f>IF($A416="","",IF(M416&lt;&gt;"",M416,IF(K416&lt;&gt;"",K416,"")))</f>
        <v/>
      </c>
      <c r="Q416" s="25">
        <f>IF($A416="","",IF(N416&lt;&gt;"",N416,IF(L416&lt;&gt;"",L416,"")))</f>
        <v/>
      </c>
      <c r="S416" s="23">
        <f t="array" ref="S416">IF($A416="","",_xlfn.TEXTJOIN(CHAR(10),TRUE,IF('Clarice'!$B$6:$B$300=$A416,"Clarice"&amp;IF('Clarice'!$E$6:$E$300="",""," : "&amp;'Clarice'!$E$6:$E$300)&amp;" ["&amp;'Clarice'!$F$6:$F$300&amp;"]",""),IF('Luisa'!$B$6:$B$300=$A416,"Luisa"&amp;IF('Luisa'!$E$6:$E$300="",""," : "&amp;'Luisa'!$E$6:$E$300)&amp;" ["&amp;'Luisa'!$F$6:$F$300&amp;"]",""),IF('Lui'!$B$6:$B$300=$A416,"Lui"&amp;IF('Lui'!$E$6:$E$300="",""," : "&amp;'Lui'!$E$6:$E$300)&amp;" ["&amp;'Lui'!$F$6:$F$300&amp;"]",""),IF('Thaís'!$B$6:$B$300=$A416,"Thaís"&amp;IF('Thaís'!$E$6:$E$300="",""," : "&amp;'Thaís'!$E$6:$E$300)&amp;" ["&amp;'Thaís'!$F$6:$F$300&amp;"]",""),IF('Daniel'!$B$6:$B$300=$A416,"Daniel"&amp;IF('Daniel'!$E$6:$E$300="",""," : "&amp;'Daniel'!$E$6:$E$300)&amp;" ["&amp;'Daniel'!$F$6:$F$300&amp;"]",""),IF('Fernando'!$B$6:$B$300=$A416,"Fernando"&amp;IF('Fernando'!$E$6:$E$300="",""," : "&amp;'Fernando'!$E$6:$E$300)&amp;" ["&amp;'Fernando'!$F$6:$F$300&amp;"]",""),IF('Stephanie'!$B$6:$B$300=$A416,"Stephanie"&amp;IF('Stephanie'!$E$6:$E$300="",""," : "&amp;'Stephanie'!$E$6:$E$300)&amp;" ["&amp;'Stephanie'!$F$6:$F$300&amp;"]",""),IF('Fox'!$B$6:$B$300=$A416,"Fox"&amp;IF('Fox'!$E$6:$E$300="",""," : "&amp;'Fox'!$E$6:$E$300)&amp;" ["&amp;'Fox'!$F$6:$F$300&amp;"]",""),IF('Bruna'!$B$6:$B$300=$A416,"Bruna"&amp;IF('Bruna'!$E$6:$E$300="",""," : "&amp;'Bruna'!$E$6:$E$300)&amp;" ["&amp;'Bruna'!$F$6:$F$300&amp;"]",""),IF('Stella'!$B$6:$B$300=$A416,"Stella"&amp;IF('Stella'!$E$6:$E$300="",""," : "&amp;'Stella'!$E$6:$E$300)&amp;" ["&amp;'Stella'!$F$6:$F$300&amp;"]",""),IF('Igor'!$B$6:$B$300=$A416,"Igor"&amp;IF('Igor'!$E$6:$E$300="",""," : "&amp;'Igor'!$E$6:$E$300)&amp;" ["&amp;'Igor'!$F$6:$F$300&amp;"]","")))</f>
        <v/>
      </c>
    </row>
    <row r="417">
      <c r="G417" s="23">
        <f>IF($A417="","",_xlfn.TEXTJOIN("; ",TRUE,IF(COUNTIF('Clarice'!$B$6:$B$300,$A417)&gt;0,"Clarice",""),IF(COUNTIF('Luisa'!$B$6:$B$300,$A417)&gt;0,"Luisa",""),IF(COUNTIF('Lui'!$B$6:$B$300,$A417)&gt;0,"Lui",""),IF(COUNTIF('Thaís'!$B$6:$B$300,$A417)&gt;0,"Thaís",""),IF(COUNTIF('Daniel'!$B$6:$B$300,$A417)&gt;0,"Daniel",""),IF(COUNTIF('Fernando'!$B$6:$B$300,$A417)&gt;0,"Fernando",""),IF(COUNTIF('Stephanie'!$B$6:$B$300,$A417)&gt;0,"Stephanie",""),IF(COUNTIF('Fox'!$B$6:$B$300,$A417)&gt;0,"Fox",""),IF(COUNTIF('Bruna'!$B$6:$B$300,$A417)&gt;0,"Bruna",""),IF(COUNTIF('Stella'!$B$6:$B$300,$A417)&gt;0,"Stella",""),IF(COUNTIF('Igor'!$B$6:$B$300,$A417)&gt;0,"Igor","")))</f>
        <v/>
      </c>
      <c r="J417" s="24">
        <f>IF(OR($A417="",(COUNTIF('Clarice'!$B$6:$B$300,$A417)+COUNTIF('Luisa'!$B$6:$B$300,$A417)+COUNTIF('Lui'!$B$6:$B$300,$A417)+COUNTIF('Thaís'!$B$6:$B$300,$A417)+COUNTIF('Daniel'!$B$6:$B$300,$A417)+COUNTIF('Fernando'!$B$6:$B$300,$A417)+COUNTIF('Stephanie'!$B$6:$B$300,$A417)+COUNTIF('Fox'!$B$6:$B$300,$A417)+COUNTIF('Bruna'!$B$6:$B$300,$A417)+COUNTIF('Stella'!$B$6:$B$300,$A417)+COUNTIF('Igor'!$B$6:$B$300,$A417))=0),"",(COUNTIFS('Clarice'!$B$6:$B$300,$A417,'Clarice'!$F$6:$F$300,"Concluído")+COUNTIFS('Luisa'!$B$6:$B$300,$A417,'Luisa'!$F$6:$F$300,"Concluído")+COUNTIFS('Lui'!$B$6:$B$300,$A417,'Lui'!$F$6:$F$300,"Concluído")+COUNTIFS('Thaís'!$B$6:$B$300,$A417,'Thaís'!$F$6:$F$300,"Concluído")+COUNTIFS('Daniel'!$B$6:$B$300,$A417,'Daniel'!$F$6:$F$300,"Concluído")+COUNTIFS('Fernando'!$B$6:$B$300,$A417,'Fernando'!$F$6:$F$300,"Concluído")+COUNTIFS('Stephanie'!$B$6:$B$300,$A417,'Stephanie'!$F$6:$F$300,"Concluído")+COUNTIFS('Fox'!$B$6:$B$300,$A417,'Fox'!$F$6:$F$300,"Concluído")+COUNTIFS('Bruna'!$B$6:$B$300,$A417,'Bruna'!$F$6:$F$300,"Concluído")+COUNTIFS('Stella'!$B$6:$B$300,$A417,'Stella'!$F$6:$F$300,"Concluído")+COUNTIFS('Igor'!$B$6:$B$300,$A417,'Igor'!$F$6:$F$300,"Concluído"))&amp;" / "&amp;(COUNTIF('Clarice'!$B$6:$B$300,$A417)+COUNTIF('Luisa'!$B$6:$B$300,$A417)+COUNTIF('Lui'!$B$6:$B$300,$A417)+COUNTIF('Thaís'!$B$6:$B$300,$A417)+COUNTIF('Daniel'!$B$6:$B$300,$A417)+COUNTIF('Fernando'!$B$6:$B$300,$A417)+COUNTIF('Stephanie'!$B$6:$B$300,$A417)+COUNTIF('Fox'!$B$6:$B$300,$A417)+COUNTIF('Bruna'!$B$6:$B$300,$A417)+COUNTIF('Stella'!$B$6:$B$300,$A417)+COUNTIF('Igor'!$B$6:$B$300,$A417)))</f>
        <v/>
      </c>
      <c r="P417" s="25">
        <f>IF($A417="","",IF(M417&lt;&gt;"",M417,IF(K417&lt;&gt;"",K417,"")))</f>
        <v/>
      </c>
      <c r="Q417" s="25">
        <f>IF($A417="","",IF(N417&lt;&gt;"",N417,IF(L417&lt;&gt;"",L417,"")))</f>
        <v/>
      </c>
      <c r="S417" s="23">
        <f t="array" ref="S417">IF($A417="","",_xlfn.TEXTJOIN(CHAR(10),TRUE,IF('Clarice'!$B$6:$B$300=$A417,"Clarice"&amp;IF('Clarice'!$E$6:$E$300="",""," : "&amp;'Clarice'!$E$6:$E$300)&amp;" ["&amp;'Clarice'!$F$6:$F$300&amp;"]",""),IF('Luisa'!$B$6:$B$300=$A417,"Luisa"&amp;IF('Luisa'!$E$6:$E$300="",""," : "&amp;'Luisa'!$E$6:$E$300)&amp;" ["&amp;'Luisa'!$F$6:$F$300&amp;"]",""),IF('Lui'!$B$6:$B$300=$A417,"Lui"&amp;IF('Lui'!$E$6:$E$300="",""," : "&amp;'Lui'!$E$6:$E$300)&amp;" ["&amp;'Lui'!$F$6:$F$300&amp;"]",""),IF('Thaís'!$B$6:$B$300=$A417,"Thaís"&amp;IF('Thaís'!$E$6:$E$300="",""," : "&amp;'Thaís'!$E$6:$E$300)&amp;" ["&amp;'Thaís'!$F$6:$F$300&amp;"]",""),IF('Daniel'!$B$6:$B$300=$A417,"Daniel"&amp;IF('Daniel'!$E$6:$E$300="",""," : "&amp;'Daniel'!$E$6:$E$300)&amp;" ["&amp;'Daniel'!$F$6:$F$300&amp;"]",""),IF('Fernando'!$B$6:$B$300=$A417,"Fernando"&amp;IF('Fernando'!$E$6:$E$300="",""," : "&amp;'Fernando'!$E$6:$E$300)&amp;" ["&amp;'Fernando'!$F$6:$F$300&amp;"]",""),IF('Stephanie'!$B$6:$B$300=$A417,"Stephanie"&amp;IF('Stephanie'!$E$6:$E$300="",""," : "&amp;'Stephanie'!$E$6:$E$300)&amp;" ["&amp;'Stephanie'!$F$6:$F$300&amp;"]",""),IF('Fox'!$B$6:$B$300=$A417,"Fox"&amp;IF('Fox'!$E$6:$E$300="",""," : "&amp;'Fox'!$E$6:$E$300)&amp;" ["&amp;'Fox'!$F$6:$F$300&amp;"]",""),IF('Bruna'!$B$6:$B$300=$A417,"Bruna"&amp;IF('Bruna'!$E$6:$E$300="",""," : "&amp;'Bruna'!$E$6:$E$300)&amp;" ["&amp;'Bruna'!$F$6:$F$300&amp;"]",""),IF('Stella'!$B$6:$B$300=$A417,"Stella"&amp;IF('Stella'!$E$6:$E$300="",""," : "&amp;'Stella'!$E$6:$E$300)&amp;" ["&amp;'Stella'!$F$6:$F$300&amp;"]",""),IF('Igor'!$B$6:$B$300=$A417,"Igor"&amp;IF('Igor'!$E$6:$E$300="",""," : "&amp;'Igor'!$E$6:$E$300)&amp;" ["&amp;'Igor'!$F$6:$F$300&amp;"]","")))</f>
        <v/>
      </c>
    </row>
    <row r="418">
      <c r="G418" s="23">
        <f>IF($A418="","",_xlfn.TEXTJOIN("; ",TRUE,IF(COUNTIF('Clarice'!$B$6:$B$300,$A418)&gt;0,"Clarice",""),IF(COUNTIF('Luisa'!$B$6:$B$300,$A418)&gt;0,"Luisa",""),IF(COUNTIF('Lui'!$B$6:$B$300,$A418)&gt;0,"Lui",""),IF(COUNTIF('Thaís'!$B$6:$B$300,$A418)&gt;0,"Thaís",""),IF(COUNTIF('Daniel'!$B$6:$B$300,$A418)&gt;0,"Daniel",""),IF(COUNTIF('Fernando'!$B$6:$B$300,$A418)&gt;0,"Fernando",""),IF(COUNTIF('Stephanie'!$B$6:$B$300,$A418)&gt;0,"Stephanie",""),IF(COUNTIF('Fox'!$B$6:$B$300,$A418)&gt;0,"Fox",""),IF(COUNTIF('Bruna'!$B$6:$B$300,$A418)&gt;0,"Bruna",""),IF(COUNTIF('Stella'!$B$6:$B$300,$A418)&gt;0,"Stella",""),IF(COUNTIF('Igor'!$B$6:$B$300,$A418)&gt;0,"Igor","")))</f>
        <v/>
      </c>
      <c r="J418" s="24">
        <f>IF(OR($A418="",(COUNTIF('Clarice'!$B$6:$B$300,$A418)+COUNTIF('Luisa'!$B$6:$B$300,$A418)+COUNTIF('Lui'!$B$6:$B$300,$A418)+COUNTIF('Thaís'!$B$6:$B$300,$A418)+COUNTIF('Daniel'!$B$6:$B$300,$A418)+COUNTIF('Fernando'!$B$6:$B$300,$A418)+COUNTIF('Stephanie'!$B$6:$B$300,$A418)+COUNTIF('Fox'!$B$6:$B$300,$A418)+COUNTIF('Bruna'!$B$6:$B$300,$A418)+COUNTIF('Stella'!$B$6:$B$300,$A418)+COUNTIF('Igor'!$B$6:$B$300,$A418))=0),"",(COUNTIFS('Clarice'!$B$6:$B$300,$A418,'Clarice'!$F$6:$F$300,"Concluído")+COUNTIFS('Luisa'!$B$6:$B$300,$A418,'Luisa'!$F$6:$F$300,"Concluído")+COUNTIFS('Lui'!$B$6:$B$300,$A418,'Lui'!$F$6:$F$300,"Concluído")+COUNTIFS('Thaís'!$B$6:$B$300,$A418,'Thaís'!$F$6:$F$300,"Concluído")+COUNTIFS('Daniel'!$B$6:$B$300,$A418,'Daniel'!$F$6:$F$300,"Concluído")+COUNTIFS('Fernando'!$B$6:$B$300,$A418,'Fernando'!$F$6:$F$300,"Concluído")+COUNTIFS('Stephanie'!$B$6:$B$300,$A418,'Stephanie'!$F$6:$F$300,"Concluído")+COUNTIFS('Fox'!$B$6:$B$300,$A418,'Fox'!$F$6:$F$300,"Concluído")+COUNTIFS('Bruna'!$B$6:$B$300,$A418,'Bruna'!$F$6:$F$300,"Concluído")+COUNTIFS('Stella'!$B$6:$B$300,$A418,'Stella'!$F$6:$F$300,"Concluído")+COUNTIFS('Igor'!$B$6:$B$300,$A418,'Igor'!$F$6:$F$300,"Concluído"))&amp;" / "&amp;(COUNTIF('Clarice'!$B$6:$B$300,$A418)+COUNTIF('Luisa'!$B$6:$B$300,$A418)+COUNTIF('Lui'!$B$6:$B$300,$A418)+COUNTIF('Thaís'!$B$6:$B$300,$A418)+COUNTIF('Daniel'!$B$6:$B$300,$A418)+COUNTIF('Fernando'!$B$6:$B$300,$A418)+COUNTIF('Stephanie'!$B$6:$B$300,$A418)+COUNTIF('Fox'!$B$6:$B$300,$A418)+COUNTIF('Bruna'!$B$6:$B$300,$A418)+COUNTIF('Stella'!$B$6:$B$300,$A418)+COUNTIF('Igor'!$B$6:$B$300,$A418)))</f>
        <v/>
      </c>
      <c r="P418" s="25">
        <f>IF($A418="","",IF(M418&lt;&gt;"",M418,IF(K418&lt;&gt;"",K418,"")))</f>
        <v/>
      </c>
      <c r="Q418" s="25">
        <f>IF($A418="","",IF(N418&lt;&gt;"",N418,IF(L418&lt;&gt;"",L418,"")))</f>
        <v/>
      </c>
      <c r="S418" s="23">
        <f t="array" ref="S418">IF($A418="","",_xlfn.TEXTJOIN(CHAR(10),TRUE,IF('Clarice'!$B$6:$B$300=$A418,"Clarice"&amp;IF('Clarice'!$E$6:$E$300="",""," : "&amp;'Clarice'!$E$6:$E$300)&amp;" ["&amp;'Clarice'!$F$6:$F$300&amp;"]",""),IF('Luisa'!$B$6:$B$300=$A418,"Luisa"&amp;IF('Luisa'!$E$6:$E$300="",""," : "&amp;'Luisa'!$E$6:$E$300)&amp;" ["&amp;'Luisa'!$F$6:$F$300&amp;"]",""),IF('Lui'!$B$6:$B$300=$A418,"Lui"&amp;IF('Lui'!$E$6:$E$300="",""," : "&amp;'Lui'!$E$6:$E$300)&amp;" ["&amp;'Lui'!$F$6:$F$300&amp;"]",""),IF('Thaís'!$B$6:$B$300=$A418,"Thaís"&amp;IF('Thaís'!$E$6:$E$300="",""," : "&amp;'Thaís'!$E$6:$E$300)&amp;" ["&amp;'Thaís'!$F$6:$F$300&amp;"]",""),IF('Daniel'!$B$6:$B$300=$A418,"Daniel"&amp;IF('Daniel'!$E$6:$E$300="",""," : "&amp;'Daniel'!$E$6:$E$300)&amp;" ["&amp;'Daniel'!$F$6:$F$300&amp;"]",""),IF('Fernando'!$B$6:$B$300=$A418,"Fernando"&amp;IF('Fernando'!$E$6:$E$300="",""," : "&amp;'Fernando'!$E$6:$E$300)&amp;" ["&amp;'Fernando'!$F$6:$F$300&amp;"]",""),IF('Stephanie'!$B$6:$B$300=$A418,"Stephanie"&amp;IF('Stephanie'!$E$6:$E$300="",""," : "&amp;'Stephanie'!$E$6:$E$300)&amp;" ["&amp;'Stephanie'!$F$6:$F$300&amp;"]",""),IF('Fox'!$B$6:$B$300=$A418,"Fox"&amp;IF('Fox'!$E$6:$E$300="",""," : "&amp;'Fox'!$E$6:$E$300)&amp;" ["&amp;'Fox'!$F$6:$F$300&amp;"]",""),IF('Bruna'!$B$6:$B$300=$A418,"Bruna"&amp;IF('Bruna'!$E$6:$E$300="",""," : "&amp;'Bruna'!$E$6:$E$300)&amp;" ["&amp;'Bruna'!$F$6:$F$300&amp;"]",""),IF('Stella'!$B$6:$B$300=$A418,"Stella"&amp;IF('Stella'!$E$6:$E$300="",""," : "&amp;'Stella'!$E$6:$E$300)&amp;" ["&amp;'Stella'!$F$6:$F$300&amp;"]",""),IF('Igor'!$B$6:$B$300=$A418,"Igor"&amp;IF('Igor'!$E$6:$E$300="",""," : "&amp;'Igor'!$E$6:$E$300)&amp;" ["&amp;'Igor'!$F$6:$F$300&amp;"]","")))</f>
        <v/>
      </c>
    </row>
    <row r="419">
      <c r="G419" s="23">
        <f>IF($A419="","",_xlfn.TEXTJOIN("; ",TRUE,IF(COUNTIF('Clarice'!$B$6:$B$300,$A419)&gt;0,"Clarice",""),IF(COUNTIF('Luisa'!$B$6:$B$300,$A419)&gt;0,"Luisa",""),IF(COUNTIF('Lui'!$B$6:$B$300,$A419)&gt;0,"Lui",""),IF(COUNTIF('Thaís'!$B$6:$B$300,$A419)&gt;0,"Thaís",""),IF(COUNTIF('Daniel'!$B$6:$B$300,$A419)&gt;0,"Daniel",""),IF(COUNTIF('Fernando'!$B$6:$B$300,$A419)&gt;0,"Fernando",""),IF(COUNTIF('Stephanie'!$B$6:$B$300,$A419)&gt;0,"Stephanie",""),IF(COUNTIF('Fox'!$B$6:$B$300,$A419)&gt;0,"Fox",""),IF(COUNTIF('Bruna'!$B$6:$B$300,$A419)&gt;0,"Bruna",""),IF(COUNTIF('Stella'!$B$6:$B$300,$A419)&gt;0,"Stella",""),IF(COUNTIF('Igor'!$B$6:$B$300,$A419)&gt;0,"Igor","")))</f>
        <v/>
      </c>
      <c r="J419" s="24">
        <f>IF(OR($A419="",(COUNTIF('Clarice'!$B$6:$B$300,$A419)+COUNTIF('Luisa'!$B$6:$B$300,$A419)+COUNTIF('Lui'!$B$6:$B$300,$A419)+COUNTIF('Thaís'!$B$6:$B$300,$A419)+COUNTIF('Daniel'!$B$6:$B$300,$A419)+COUNTIF('Fernando'!$B$6:$B$300,$A419)+COUNTIF('Stephanie'!$B$6:$B$300,$A419)+COUNTIF('Fox'!$B$6:$B$300,$A419)+COUNTIF('Bruna'!$B$6:$B$300,$A419)+COUNTIF('Stella'!$B$6:$B$300,$A419)+COUNTIF('Igor'!$B$6:$B$300,$A419))=0),"",(COUNTIFS('Clarice'!$B$6:$B$300,$A419,'Clarice'!$F$6:$F$300,"Concluído")+COUNTIFS('Luisa'!$B$6:$B$300,$A419,'Luisa'!$F$6:$F$300,"Concluído")+COUNTIFS('Lui'!$B$6:$B$300,$A419,'Lui'!$F$6:$F$300,"Concluído")+COUNTIFS('Thaís'!$B$6:$B$300,$A419,'Thaís'!$F$6:$F$300,"Concluído")+COUNTIFS('Daniel'!$B$6:$B$300,$A419,'Daniel'!$F$6:$F$300,"Concluído")+COUNTIFS('Fernando'!$B$6:$B$300,$A419,'Fernando'!$F$6:$F$300,"Concluído")+COUNTIFS('Stephanie'!$B$6:$B$300,$A419,'Stephanie'!$F$6:$F$300,"Concluído")+COUNTIFS('Fox'!$B$6:$B$300,$A419,'Fox'!$F$6:$F$300,"Concluído")+COUNTIFS('Bruna'!$B$6:$B$300,$A419,'Bruna'!$F$6:$F$300,"Concluído")+COUNTIFS('Stella'!$B$6:$B$300,$A419,'Stella'!$F$6:$F$300,"Concluído")+COUNTIFS('Igor'!$B$6:$B$300,$A419,'Igor'!$F$6:$F$300,"Concluído"))&amp;" / "&amp;(COUNTIF('Clarice'!$B$6:$B$300,$A419)+COUNTIF('Luisa'!$B$6:$B$300,$A419)+COUNTIF('Lui'!$B$6:$B$300,$A419)+COUNTIF('Thaís'!$B$6:$B$300,$A419)+COUNTIF('Daniel'!$B$6:$B$300,$A419)+COUNTIF('Fernando'!$B$6:$B$300,$A419)+COUNTIF('Stephanie'!$B$6:$B$300,$A419)+COUNTIF('Fox'!$B$6:$B$300,$A419)+COUNTIF('Bruna'!$B$6:$B$300,$A419)+COUNTIF('Stella'!$B$6:$B$300,$A419)+COUNTIF('Igor'!$B$6:$B$300,$A419)))</f>
        <v/>
      </c>
      <c r="P419" s="25">
        <f>IF($A419="","",IF(M419&lt;&gt;"",M419,IF(K419&lt;&gt;"",K419,"")))</f>
        <v/>
      </c>
      <c r="Q419" s="25">
        <f>IF($A419="","",IF(N419&lt;&gt;"",N419,IF(L419&lt;&gt;"",L419,"")))</f>
        <v/>
      </c>
      <c r="S419" s="23">
        <f t="array" ref="S419">IF($A419="","",_xlfn.TEXTJOIN(CHAR(10),TRUE,IF('Clarice'!$B$6:$B$300=$A419,"Clarice"&amp;IF('Clarice'!$E$6:$E$300="",""," : "&amp;'Clarice'!$E$6:$E$300)&amp;" ["&amp;'Clarice'!$F$6:$F$300&amp;"]",""),IF('Luisa'!$B$6:$B$300=$A419,"Luisa"&amp;IF('Luisa'!$E$6:$E$300="",""," : "&amp;'Luisa'!$E$6:$E$300)&amp;" ["&amp;'Luisa'!$F$6:$F$300&amp;"]",""),IF('Lui'!$B$6:$B$300=$A419,"Lui"&amp;IF('Lui'!$E$6:$E$300="",""," : "&amp;'Lui'!$E$6:$E$300)&amp;" ["&amp;'Lui'!$F$6:$F$300&amp;"]",""),IF('Thaís'!$B$6:$B$300=$A419,"Thaís"&amp;IF('Thaís'!$E$6:$E$300="",""," : "&amp;'Thaís'!$E$6:$E$300)&amp;" ["&amp;'Thaís'!$F$6:$F$300&amp;"]",""),IF('Daniel'!$B$6:$B$300=$A419,"Daniel"&amp;IF('Daniel'!$E$6:$E$300="",""," : "&amp;'Daniel'!$E$6:$E$300)&amp;" ["&amp;'Daniel'!$F$6:$F$300&amp;"]",""),IF('Fernando'!$B$6:$B$300=$A419,"Fernando"&amp;IF('Fernando'!$E$6:$E$300="",""," : "&amp;'Fernando'!$E$6:$E$300)&amp;" ["&amp;'Fernando'!$F$6:$F$300&amp;"]",""),IF('Stephanie'!$B$6:$B$300=$A419,"Stephanie"&amp;IF('Stephanie'!$E$6:$E$300="",""," : "&amp;'Stephanie'!$E$6:$E$300)&amp;" ["&amp;'Stephanie'!$F$6:$F$300&amp;"]",""),IF('Fox'!$B$6:$B$300=$A419,"Fox"&amp;IF('Fox'!$E$6:$E$300="",""," : "&amp;'Fox'!$E$6:$E$300)&amp;" ["&amp;'Fox'!$F$6:$F$300&amp;"]",""),IF('Bruna'!$B$6:$B$300=$A419,"Bruna"&amp;IF('Bruna'!$E$6:$E$300="",""," : "&amp;'Bruna'!$E$6:$E$300)&amp;" ["&amp;'Bruna'!$F$6:$F$300&amp;"]",""),IF('Stella'!$B$6:$B$300=$A419,"Stella"&amp;IF('Stella'!$E$6:$E$300="",""," : "&amp;'Stella'!$E$6:$E$300)&amp;" ["&amp;'Stella'!$F$6:$F$300&amp;"]",""),IF('Igor'!$B$6:$B$300=$A419,"Igor"&amp;IF('Igor'!$E$6:$E$300="",""," : "&amp;'Igor'!$E$6:$E$300)&amp;" ["&amp;'Igor'!$F$6:$F$300&amp;"]","")))</f>
        <v/>
      </c>
    </row>
    <row r="420">
      <c r="G420" s="23">
        <f>IF($A420="","",_xlfn.TEXTJOIN("; ",TRUE,IF(COUNTIF('Clarice'!$B$6:$B$300,$A420)&gt;0,"Clarice",""),IF(COUNTIF('Luisa'!$B$6:$B$300,$A420)&gt;0,"Luisa",""),IF(COUNTIF('Lui'!$B$6:$B$300,$A420)&gt;0,"Lui",""),IF(COUNTIF('Thaís'!$B$6:$B$300,$A420)&gt;0,"Thaís",""),IF(COUNTIF('Daniel'!$B$6:$B$300,$A420)&gt;0,"Daniel",""),IF(COUNTIF('Fernando'!$B$6:$B$300,$A420)&gt;0,"Fernando",""),IF(COUNTIF('Stephanie'!$B$6:$B$300,$A420)&gt;0,"Stephanie",""),IF(COUNTIF('Fox'!$B$6:$B$300,$A420)&gt;0,"Fox",""),IF(COUNTIF('Bruna'!$B$6:$B$300,$A420)&gt;0,"Bruna",""),IF(COUNTIF('Stella'!$B$6:$B$300,$A420)&gt;0,"Stella",""),IF(COUNTIF('Igor'!$B$6:$B$300,$A420)&gt;0,"Igor","")))</f>
        <v/>
      </c>
      <c r="J420" s="24">
        <f>IF(OR($A420="",(COUNTIF('Clarice'!$B$6:$B$300,$A420)+COUNTIF('Luisa'!$B$6:$B$300,$A420)+COUNTIF('Lui'!$B$6:$B$300,$A420)+COUNTIF('Thaís'!$B$6:$B$300,$A420)+COUNTIF('Daniel'!$B$6:$B$300,$A420)+COUNTIF('Fernando'!$B$6:$B$300,$A420)+COUNTIF('Stephanie'!$B$6:$B$300,$A420)+COUNTIF('Fox'!$B$6:$B$300,$A420)+COUNTIF('Bruna'!$B$6:$B$300,$A420)+COUNTIF('Stella'!$B$6:$B$300,$A420)+COUNTIF('Igor'!$B$6:$B$300,$A420))=0),"",(COUNTIFS('Clarice'!$B$6:$B$300,$A420,'Clarice'!$F$6:$F$300,"Concluído")+COUNTIFS('Luisa'!$B$6:$B$300,$A420,'Luisa'!$F$6:$F$300,"Concluído")+COUNTIFS('Lui'!$B$6:$B$300,$A420,'Lui'!$F$6:$F$300,"Concluído")+COUNTIFS('Thaís'!$B$6:$B$300,$A420,'Thaís'!$F$6:$F$300,"Concluído")+COUNTIFS('Daniel'!$B$6:$B$300,$A420,'Daniel'!$F$6:$F$300,"Concluído")+COUNTIFS('Fernando'!$B$6:$B$300,$A420,'Fernando'!$F$6:$F$300,"Concluído")+COUNTIFS('Stephanie'!$B$6:$B$300,$A420,'Stephanie'!$F$6:$F$300,"Concluído")+COUNTIFS('Fox'!$B$6:$B$300,$A420,'Fox'!$F$6:$F$300,"Concluído")+COUNTIFS('Bruna'!$B$6:$B$300,$A420,'Bruna'!$F$6:$F$300,"Concluído")+COUNTIFS('Stella'!$B$6:$B$300,$A420,'Stella'!$F$6:$F$300,"Concluído")+COUNTIFS('Igor'!$B$6:$B$300,$A420,'Igor'!$F$6:$F$300,"Concluído"))&amp;" / "&amp;(COUNTIF('Clarice'!$B$6:$B$300,$A420)+COUNTIF('Luisa'!$B$6:$B$300,$A420)+COUNTIF('Lui'!$B$6:$B$300,$A420)+COUNTIF('Thaís'!$B$6:$B$300,$A420)+COUNTIF('Daniel'!$B$6:$B$300,$A420)+COUNTIF('Fernando'!$B$6:$B$300,$A420)+COUNTIF('Stephanie'!$B$6:$B$300,$A420)+COUNTIF('Fox'!$B$6:$B$300,$A420)+COUNTIF('Bruna'!$B$6:$B$300,$A420)+COUNTIF('Stella'!$B$6:$B$300,$A420)+COUNTIF('Igor'!$B$6:$B$300,$A420)))</f>
        <v/>
      </c>
      <c r="P420" s="25">
        <f>IF($A420="","",IF(M420&lt;&gt;"",M420,IF(K420&lt;&gt;"",K420,"")))</f>
        <v/>
      </c>
      <c r="Q420" s="25">
        <f>IF($A420="","",IF(N420&lt;&gt;"",N420,IF(L420&lt;&gt;"",L420,"")))</f>
        <v/>
      </c>
      <c r="S420" s="23">
        <f t="array" ref="S420">IF($A420="","",_xlfn.TEXTJOIN(CHAR(10),TRUE,IF('Clarice'!$B$6:$B$300=$A420,"Clarice"&amp;IF('Clarice'!$E$6:$E$300="",""," : "&amp;'Clarice'!$E$6:$E$300)&amp;" ["&amp;'Clarice'!$F$6:$F$300&amp;"]",""),IF('Luisa'!$B$6:$B$300=$A420,"Luisa"&amp;IF('Luisa'!$E$6:$E$300="",""," : "&amp;'Luisa'!$E$6:$E$300)&amp;" ["&amp;'Luisa'!$F$6:$F$300&amp;"]",""),IF('Lui'!$B$6:$B$300=$A420,"Lui"&amp;IF('Lui'!$E$6:$E$300="",""," : "&amp;'Lui'!$E$6:$E$300)&amp;" ["&amp;'Lui'!$F$6:$F$300&amp;"]",""),IF('Thaís'!$B$6:$B$300=$A420,"Thaís"&amp;IF('Thaís'!$E$6:$E$300="",""," : "&amp;'Thaís'!$E$6:$E$300)&amp;" ["&amp;'Thaís'!$F$6:$F$300&amp;"]",""),IF('Daniel'!$B$6:$B$300=$A420,"Daniel"&amp;IF('Daniel'!$E$6:$E$300="",""," : "&amp;'Daniel'!$E$6:$E$300)&amp;" ["&amp;'Daniel'!$F$6:$F$300&amp;"]",""),IF('Fernando'!$B$6:$B$300=$A420,"Fernando"&amp;IF('Fernando'!$E$6:$E$300="",""," : "&amp;'Fernando'!$E$6:$E$300)&amp;" ["&amp;'Fernando'!$F$6:$F$300&amp;"]",""),IF('Stephanie'!$B$6:$B$300=$A420,"Stephanie"&amp;IF('Stephanie'!$E$6:$E$300="",""," : "&amp;'Stephanie'!$E$6:$E$300)&amp;" ["&amp;'Stephanie'!$F$6:$F$300&amp;"]",""),IF('Fox'!$B$6:$B$300=$A420,"Fox"&amp;IF('Fox'!$E$6:$E$300="",""," : "&amp;'Fox'!$E$6:$E$300)&amp;" ["&amp;'Fox'!$F$6:$F$300&amp;"]",""),IF('Bruna'!$B$6:$B$300=$A420,"Bruna"&amp;IF('Bruna'!$E$6:$E$300="",""," : "&amp;'Bruna'!$E$6:$E$300)&amp;" ["&amp;'Bruna'!$F$6:$F$300&amp;"]",""),IF('Stella'!$B$6:$B$300=$A420,"Stella"&amp;IF('Stella'!$E$6:$E$300="",""," : "&amp;'Stella'!$E$6:$E$300)&amp;" ["&amp;'Stella'!$F$6:$F$300&amp;"]",""),IF('Igor'!$B$6:$B$300=$A420,"Igor"&amp;IF('Igor'!$E$6:$E$300="",""," : "&amp;'Igor'!$E$6:$E$300)&amp;" ["&amp;'Igor'!$F$6:$F$300&amp;"]","")))</f>
        <v/>
      </c>
    </row>
    <row r="421">
      <c r="G421" s="23">
        <f>IF($A421="","",_xlfn.TEXTJOIN("; ",TRUE,IF(COUNTIF('Clarice'!$B$6:$B$300,$A421)&gt;0,"Clarice",""),IF(COUNTIF('Luisa'!$B$6:$B$300,$A421)&gt;0,"Luisa",""),IF(COUNTIF('Lui'!$B$6:$B$300,$A421)&gt;0,"Lui",""),IF(COUNTIF('Thaís'!$B$6:$B$300,$A421)&gt;0,"Thaís",""),IF(COUNTIF('Daniel'!$B$6:$B$300,$A421)&gt;0,"Daniel",""),IF(COUNTIF('Fernando'!$B$6:$B$300,$A421)&gt;0,"Fernando",""),IF(COUNTIF('Stephanie'!$B$6:$B$300,$A421)&gt;0,"Stephanie",""),IF(COUNTIF('Fox'!$B$6:$B$300,$A421)&gt;0,"Fox",""),IF(COUNTIF('Bruna'!$B$6:$B$300,$A421)&gt;0,"Bruna",""),IF(COUNTIF('Stella'!$B$6:$B$300,$A421)&gt;0,"Stella",""),IF(COUNTIF('Igor'!$B$6:$B$300,$A421)&gt;0,"Igor","")))</f>
        <v/>
      </c>
      <c r="J421" s="24">
        <f>IF(OR($A421="",(COUNTIF('Clarice'!$B$6:$B$300,$A421)+COUNTIF('Luisa'!$B$6:$B$300,$A421)+COUNTIF('Lui'!$B$6:$B$300,$A421)+COUNTIF('Thaís'!$B$6:$B$300,$A421)+COUNTIF('Daniel'!$B$6:$B$300,$A421)+COUNTIF('Fernando'!$B$6:$B$300,$A421)+COUNTIF('Stephanie'!$B$6:$B$300,$A421)+COUNTIF('Fox'!$B$6:$B$300,$A421)+COUNTIF('Bruna'!$B$6:$B$300,$A421)+COUNTIF('Stella'!$B$6:$B$300,$A421)+COUNTIF('Igor'!$B$6:$B$300,$A421))=0),"",(COUNTIFS('Clarice'!$B$6:$B$300,$A421,'Clarice'!$F$6:$F$300,"Concluído")+COUNTIFS('Luisa'!$B$6:$B$300,$A421,'Luisa'!$F$6:$F$300,"Concluído")+COUNTIFS('Lui'!$B$6:$B$300,$A421,'Lui'!$F$6:$F$300,"Concluído")+COUNTIFS('Thaís'!$B$6:$B$300,$A421,'Thaís'!$F$6:$F$300,"Concluído")+COUNTIFS('Daniel'!$B$6:$B$300,$A421,'Daniel'!$F$6:$F$300,"Concluído")+COUNTIFS('Fernando'!$B$6:$B$300,$A421,'Fernando'!$F$6:$F$300,"Concluído")+COUNTIFS('Stephanie'!$B$6:$B$300,$A421,'Stephanie'!$F$6:$F$300,"Concluído")+COUNTIFS('Fox'!$B$6:$B$300,$A421,'Fox'!$F$6:$F$300,"Concluído")+COUNTIFS('Bruna'!$B$6:$B$300,$A421,'Bruna'!$F$6:$F$300,"Concluído")+COUNTIFS('Stella'!$B$6:$B$300,$A421,'Stella'!$F$6:$F$300,"Concluído")+COUNTIFS('Igor'!$B$6:$B$300,$A421,'Igor'!$F$6:$F$300,"Concluído"))&amp;" / "&amp;(COUNTIF('Clarice'!$B$6:$B$300,$A421)+COUNTIF('Luisa'!$B$6:$B$300,$A421)+COUNTIF('Lui'!$B$6:$B$300,$A421)+COUNTIF('Thaís'!$B$6:$B$300,$A421)+COUNTIF('Daniel'!$B$6:$B$300,$A421)+COUNTIF('Fernando'!$B$6:$B$300,$A421)+COUNTIF('Stephanie'!$B$6:$B$300,$A421)+COUNTIF('Fox'!$B$6:$B$300,$A421)+COUNTIF('Bruna'!$B$6:$B$300,$A421)+COUNTIF('Stella'!$B$6:$B$300,$A421)+COUNTIF('Igor'!$B$6:$B$300,$A421)))</f>
        <v/>
      </c>
      <c r="P421" s="25">
        <f>IF($A421="","",IF(M421&lt;&gt;"",M421,IF(K421&lt;&gt;"",K421,"")))</f>
        <v/>
      </c>
      <c r="Q421" s="25">
        <f>IF($A421="","",IF(N421&lt;&gt;"",N421,IF(L421&lt;&gt;"",L421,"")))</f>
        <v/>
      </c>
      <c r="S421" s="23">
        <f t="array" ref="S421">IF($A421="","",_xlfn.TEXTJOIN(CHAR(10),TRUE,IF('Clarice'!$B$6:$B$300=$A421,"Clarice"&amp;IF('Clarice'!$E$6:$E$300="",""," : "&amp;'Clarice'!$E$6:$E$300)&amp;" ["&amp;'Clarice'!$F$6:$F$300&amp;"]",""),IF('Luisa'!$B$6:$B$300=$A421,"Luisa"&amp;IF('Luisa'!$E$6:$E$300="",""," : "&amp;'Luisa'!$E$6:$E$300)&amp;" ["&amp;'Luisa'!$F$6:$F$300&amp;"]",""),IF('Lui'!$B$6:$B$300=$A421,"Lui"&amp;IF('Lui'!$E$6:$E$300="",""," : "&amp;'Lui'!$E$6:$E$300)&amp;" ["&amp;'Lui'!$F$6:$F$300&amp;"]",""),IF('Thaís'!$B$6:$B$300=$A421,"Thaís"&amp;IF('Thaís'!$E$6:$E$300="",""," : "&amp;'Thaís'!$E$6:$E$300)&amp;" ["&amp;'Thaís'!$F$6:$F$300&amp;"]",""),IF('Daniel'!$B$6:$B$300=$A421,"Daniel"&amp;IF('Daniel'!$E$6:$E$300="",""," : "&amp;'Daniel'!$E$6:$E$300)&amp;" ["&amp;'Daniel'!$F$6:$F$300&amp;"]",""),IF('Fernando'!$B$6:$B$300=$A421,"Fernando"&amp;IF('Fernando'!$E$6:$E$300="",""," : "&amp;'Fernando'!$E$6:$E$300)&amp;" ["&amp;'Fernando'!$F$6:$F$300&amp;"]",""),IF('Stephanie'!$B$6:$B$300=$A421,"Stephanie"&amp;IF('Stephanie'!$E$6:$E$300="",""," : "&amp;'Stephanie'!$E$6:$E$300)&amp;" ["&amp;'Stephanie'!$F$6:$F$300&amp;"]",""),IF('Fox'!$B$6:$B$300=$A421,"Fox"&amp;IF('Fox'!$E$6:$E$300="",""," : "&amp;'Fox'!$E$6:$E$300)&amp;" ["&amp;'Fox'!$F$6:$F$300&amp;"]",""),IF('Bruna'!$B$6:$B$300=$A421,"Bruna"&amp;IF('Bruna'!$E$6:$E$300="",""," : "&amp;'Bruna'!$E$6:$E$300)&amp;" ["&amp;'Bruna'!$F$6:$F$300&amp;"]",""),IF('Stella'!$B$6:$B$300=$A421,"Stella"&amp;IF('Stella'!$E$6:$E$300="",""," : "&amp;'Stella'!$E$6:$E$300)&amp;" ["&amp;'Stella'!$F$6:$F$300&amp;"]",""),IF('Igor'!$B$6:$B$300=$A421,"Igor"&amp;IF('Igor'!$E$6:$E$300="",""," : "&amp;'Igor'!$E$6:$E$300)&amp;" ["&amp;'Igor'!$F$6:$F$300&amp;"]","")))</f>
        <v/>
      </c>
    </row>
    <row r="422">
      <c r="G422" s="23">
        <f>IF($A422="","",_xlfn.TEXTJOIN("; ",TRUE,IF(COUNTIF('Clarice'!$B$6:$B$300,$A422)&gt;0,"Clarice",""),IF(COUNTIF('Luisa'!$B$6:$B$300,$A422)&gt;0,"Luisa",""),IF(COUNTIF('Lui'!$B$6:$B$300,$A422)&gt;0,"Lui",""),IF(COUNTIF('Thaís'!$B$6:$B$300,$A422)&gt;0,"Thaís",""),IF(COUNTIF('Daniel'!$B$6:$B$300,$A422)&gt;0,"Daniel",""),IF(COUNTIF('Fernando'!$B$6:$B$300,$A422)&gt;0,"Fernando",""),IF(COUNTIF('Stephanie'!$B$6:$B$300,$A422)&gt;0,"Stephanie",""),IF(COUNTIF('Fox'!$B$6:$B$300,$A422)&gt;0,"Fox",""),IF(COUNTIF('Bruna'!$B$6:$B$300,$A422)&gt;0,"Bruna",""),IF(COUNTIF('Stella'!$B$6:$B$300,$A422)&gt;0,"Stella",""),IF(COUNTIF('Igor'!$B$6:$B$300,$A422)&gt;0,"Igor","")))</f>
        <v/>
      </c>
      <c r="J422" s="24">
        <f>IF(OR($A422="",(COUNTIF('Clarice'!$B$6:$B$300,$A422)+COUNTIF('Luisa'!$B$6:$B$300,$A422)+COUNTIF('Lui'!$B$6:$B$300,$A422)+COUNTIF('Thaís'!$B$6:$B$300,$A422)+COUNTIF('Daniel'!$B$6:$B$300,$A422)+COUNTIF('Fernando'!$B$6:$B$300,$A422)+COUNTIF('Stephanie'!$B$6:$B$300,$A422)+COUNTIF('Fox'!$B$6:$B$300,$A422)+COUNTIF('Bruna'!$B$6:$B$300,$A422)+COUNTIF('Stella'!$B$6:$B$300,$A422)+COUNTIF('Igor'!$B$6:$B$300,$A422))=0),"",(COUNTIFS('Clarice'!$B$6:$B$300,$A422,'Clarice'!$F$6:$F$300,"Concluído")+COUNTIFS('Luisa'!$B$6:$B$300,$A422,'Luisa'!$F$6:$F$300,"Concluído")+COUNTIFS('Lui'!$B$6:$B$300,$A422,'Lui'!$F$6:$F$300,"Concluído")+COUNTIFS('Thaís'!$B$6:$B$300,$A422,'Thaís'!$F$6:$F$300,"Concluído")+COUNTIFS('Daniel'!$B$6:$B$300,$A422,'Daniel'!$F$6:$F$300,"Concluído")+COUNTIFS('Fernando'!$B$6:$B$300,$A422,'Fernando'!$F$6:$F$300,"Concluído")+COUNTIFS('Stephanie'!$B$6:$B$300,$A422,'Stephanie'!$F$6:$F$300,"Concluído")+COUNTIFS('Fox'!$B$6:$B$300,$A422,'Fox'!$F$6:$F$300,"Concluído")+COUNTIFS('Bruna'!$B$6:$B$300,$A422,'Bruna'!$F$6:$F$300,"Concluído")+COUNTIFS('Stella'!$B$6:$B$300,$A422,'Stella'!$F$6:$F$300,"Concluído")+COUNTIFS('Igor'!$B$6:$B$300,$A422,'Igor'!$F$6:$F$300,"Concluído"))&amp;" / "&amp;(COUNTIF('Clarice'!$B$6:$B$300,$A422)+COUNTIF('Luisa'!$B$6:$B$300,$A422)+COUNTIF('Lui'!$B$6:$B$300,$A422)+COUNTIF('Thaís'!$B$6:$B$300,$A422)+COUNTIF('Daniel'!$B$6:$B$300,$A422)+COUNTIF('Fernando'!$B$6:$B$300,$A422)+COUNTIF('Stephanie'!$B$6:$B$300,$A422)+COUNTIF('Fox'!$B$6:$B$300,$A422)+COUNTIF('Bruna'!$B$6:$B$300,$A422)+COUNTIF('Stella'!$B$6:$B$300,$A422)+COUNTIF('Igor'!$B$6:$B$300,$A422)))</f>
        <v/>
      </c>
      <c r="P422" s="25">
        <f>IF($A422="","",IF(M422&lt;&gt;"",M422,IF(K422&lt;&gt;"",K422,"")))</f>
        <v/>
      </c>
      <c r="Q422" s="25">
        <f>IF($A422="","",IF(N422&lt;&gt;"",N422,IF(L422&lt;&gt;"",L422,"")))</f>
        <v/>
      </c>
      <c r="S422" s="23">
        <f t="array" ref="S422">IF($A422="","",_xlfn.TEXTJOIN(CHAR(10),TRUE,IF('Clarice'!$B$6:$B$300=$A422,"Clarice"&amp;IF('Clarice'!$E$6:$E$300="",""," : "&amp;'Clarice'!$E$6:$E$300)&amp;" ["&amp;'Clarice'!$F$6:$F$300&amp;"]",""),IF('Luisa'!$B$6:$B$300=$A422,"Luisa"&amp;IF('Luisa'!$E$6:$E$300="",""," : "&amp;'Luisa'!$E$6:$E$300)&amp;" ["&amp;'Luisa'!$F$6:$F$300&amp;"]",""),IF('Lui'!$B$6:$B$300=$A422,"Lui"&amp;IF('Lui'!$E$6:$E$300="",""," : "&amp;'Lui'!$E$6:$E$300)&amp;" ["&amp;'Lui'!$F$6:$F$300&amp;"]",""),IF('Thaís'!$B$6:$B$300=$A422,"Thaís"&amp;IF('Thaís'!$E$6:$E$300="",""," : "&amp;'Thaís'!$E$6:$E$300)&amp;" ["&amp;'Thaís'!$F$6:$F$300&amp;"]",""),IF('Daniel'!$B$6:$B$300=$A422,"Daniel"&amp;IF('Daniel'!$E$6:$E$300="",""," : "&amp;'Daniel'!$E$6:$E$300)&amp;" ["&amp;'Daniel'!$F$6:$F$300&amp;"]",""),IF('Fernando'!$B$6:$B$300=$A422,"Fernando"&amp;IF('Fernando'!$E$6:$E$300="",""," : "&amp;'Fernando'!$E$6:$E$300)&amp;" ["&amp;'Fernando'!$F$6:$F$300&amp;"]",""),IF('Stephanie'!$B$6:$B$300=$A422,"Stephanie"&amp;IF('Stephanie'!$E$6:$E$300="",""," : "&amp;'Stephanie'!$E$6:$E$300)&amp;" ["&amp;'Stephanie'!$F$6:$F$300&amp;"]",""),IF('Fox'!$B$6:$B$300=$A422,"Fox"&amp;IF('Fox'!$E$6:$E$300="",""," : "&amp;'Fox'!$E$6:$E$300)&amp;" ["&amp;'Fox'!$F$6:$F$300&amp;"]",""),IF('Bruna'!$B$6:$B$300=$A422,"Bruna"&amp;IF('Bruna'!$E$6:$E$300="",""," : "&amp;'Bruna'!$E$6:$E$300)&amp;" ["&amp;'Bruna'!$F$6:$F$300&amp;"]",""),IF('Stella'!$B$6:$B$300=$A422,"Stella"&amp;IF('Stella'!$E$6:$E$300="",""," : "&amp;'Stella'!$E$6:$E$300)&amp;" ["&amp;'Stella'!$F$6:$F$300&amp;"]",""),IF('Igor'!$B$6:$B$300=$A422,"Igor"&amp;IF('Igor'!$E$6:$E$300="",""," : "&amp;'Igor'!$E$6:$E$300)&amp;" ["&amp;'Igor'!$F$6:$F$300&amp;"]","")))</f>
        <v/>
      </c>
    </row>
    <row r="423">
      <c r="G423" s="23">
        <f>IF($A423="","",_xlfn.TEXTJOIN("; ",TRUE,IF(COUNTIF('Clarice'!$B$6:$B$300,$A423)&gt;0,"Clarice",""),IF(COUNTIF('Luisa'!$B$6:$B$300,$A423)&gt;0,"Luisa",""),IF(COUNTIF('Lui'!$B$6:$B$300,$A423)&gt;0,"Lui",""),IF(COUNTIF('Thaís'!$B$6:$B$300,$A423)&gt;0,"Thaís",""),IF(COUNTIF('Daniel'!$B$6:$B$300,$A423)&gt;0,"Daniel",""),IF(COUNTIF('Fernando'!$B$6:$B$300,$A423)&gt;0,"Fernando",""),IF(COUNTIF('Stephanie'!$B$6:$B$300,$A423)&gt;0,"Stephanie",""),IF(COUNTIF('Fox'!$B$6:$B$300,$A423)&gt;0,"Fox",""),IF(COUNTIF('Bruna'!$B$6:$B$300,$A423)&gt;0,"Bruna",""),IF(COUNTIF('Stella'!$B$6:$B$300,$A423)&gt;0,"Stella",""),IF(COUNTIF('Igor'!$B$6:$B$300,$A423)&gt;0,"Igor","")))</f>
        <v/>
      </c>
      <c r="J423" s="24">
        <f>IF(OR($A423="",(COUNTIF('Clarice'!$B$6:$B$300,$A423)+COUNTIF('Luisa'!$B$6:$B$300,$A423)+COUNTIF('Lui'!$B$6:$B$300,$A423)+COUNTIF('Thaís'!$B$6:$B$300,$A423)+COUNTIF('Daniel'!$B$6:$B$300,$A423)+COUNTIF('Fernando'!$B$6:$B$300,$A423)+COUNTIF('Stephanie'!$B$6:$B$300,$A423)+COUNTIF('Fox'!$B$6:$B$300,$A423)+COUNTIF('Bruna'!$B$6:$B$300,$A423)+COUNTIF('Stella'!$B$6:$B$300,$A423)+COUNTIF('Igor'!$B$6:$B$300,$A423))=0),"",(COUNTIFS('Clarice'!$B$6:$B$300,$A423,'Clarice'!$F$6:$F$300,"Concluído")+COUNTIFS('Luisa'!$B$6:$B$300,$A423,'Luisa'!$F$6:$F$300,"Concluído")+COUNTIFS('Lui'!$B$6:$B$300,$A423,'Lui'!$F$6:$F$300,"Concluído")+COUNTIFS('Thaís'!$B$6:$B$300,$A423,'Thaís'!$F$6:$F$300,"Concluído")+COUNTIFS('Daniel'!$B$6:$B$300,$A423,'Daniel'!$F$6:$F$300,"Concluído")+COUNTIFS('Fernando'!$B$6:$B$300,$A423,'Fernando'!$F$6:$F$300,"Concluído")+COUNTIFS('Stephanie'!$B$6:$B$300,$A423,'Stephanie'!$F$6:$F$300,"Concluído")+COUNTIFS('Fox'!$B$6:$B$300,$A423,'Fox'!$F$6:$F$300,"Concluído")+COUNTIFS('Bruna'!$B$6:$B$300,$A423,'Bruna'!$F$6:$F$300,"Concluído")+COUNTIFS('Stella'!$B$6:$B$300,$A423,'Stella'!$F$6:$F$300,"Concluído")+COUNTIFS('Igor'!$B$6:$B$300,$A423,'Igor'!$F$6:$F$300,"Concluído"))&amp;" / "&amp;(COUNTIF('Clarice'!$B$6:$B$300,$A423)+COUNTIF('Luisa'!$B$6:$B$300,$A423)+COUNTIF('Lui'!$B$6:$B$300,$A423)+COUNTIF('Thaís'!$B$6:$B$300,$A423)+COUNTIF('Daniel'!$B$6:$B$300,$A423)+COUNTIF('Fernando'!$B$6:$B$300,$A423)+COUNTIF('Stephanie'!$B$6:$B$300,$A423)+COUNTIF('Fox'!$B$6:$B$300,$A423)+COUNTIF('Bruna'!$B$6:$B$300,$A423)+COUNTIF('Stella'!$B$6:$B$300,$A423)+COUNTIF('Igor'!$B$6:$B$300,$A423)))</f>
        <v/>
      </c>
      <c r="P423" s="25">
        <f>IF($A423="","",IF(M423&lt;&gt;"",M423,IF(K423&lt;&gt;"",K423,"")))</f>
        <v/>
      </c>
      <c r="Q423" s="25">
        <f>IF($A423="","",IF(N423&lt;&gt;"",N423,IF(L423&lt;&gt;"",L423,"")))</f>
        <v/>
      </c>
      <c r="S423" s="23">
        <f t="array" ref="S423">IF($A423="","",_xlfn.TEXTJOIN(CHAR(10),TRUE,IF('Clarice'!$B$6:$B$300=$A423,"Clarice"&amp;IF('Clarice'!$E$6:$E$300="",""," : "&amp;'Clarice'!$E$6:$E$300)&amp;" ["&amp;'Clarice'!$F$6:$F$300&amp;"]",""),IF('Luisa'!$B$6:$B$300=$A423,"Luisa"&amp;IF('Luisa'!$E$6:$E$300="",""," : "&amp;'Luisa'!$E$6:$E$300)&amp;" ["&amp;'Luisa'!$F$6:$F$300&amp;"]",""),IF('Lui'!$B$6:$B$300=$A423,"Lui"&amp;IF('Lui'!$E$6:$E$300="",""," : "&amp;'Lui'!$E$6:$E$300)&amp;" ["&amp;'Lui'!$F$6:$F$300&amp;"]",""),IF('Thaís'!$B$6:$B$300=$A423,"Thaís"&amp;IF('Thaís'!$E$6:$E$300="",""," : "&amp;'Thaís'!$E$6:$E$300)&amp;" ["&amp;'Thaís'!$F$6:$F$300&amp;"]",""),IF('Daniel'!$B$6:$B$300=$A423,"Daniel"&amp;IF('Daniel'!$E$6:$E$300="",""," : "&amp;'Daniel'!$E$6:$E$300)&amp;" ["&amp;'Daniel'!$F$6:$F$300&amp;"]",""),IF('Fernando'!$B$6:$B$300=$A423,"Fernando"&amp;IF('Fernando'!$E$6:$E$300="",""," : "&amp;'Fernando'!$E$6:$E$300)&amp;" ["&amp;'Fernando'!$F$6:$F$300&amp;"]",""),IF('Stephanie'!$B$6:$B$300=$A423,"Stephanie"&amp;IF('Stephanie'!$E$6:$E$300="",""," : "&amp;'Stephanie'!$E$6:$E$300)&amp;" ["&amp;'Stephanie'!$F$6:$F$300&amp;"]",""),IF('Fox'!$B$6:$B$300=$A423,"Fox"&amp;IF('Fox'!$E$6:$E$300="",""," : "&amp;'Fox'!$E$6:$E$300)&amp;" ["&amp;'Fox'!$F$6:$F$300&amp;"]",""),IF('Bruna'!$B$6:$B$300=$A423,"Bruna"&amp;IF('Bruna'!$E$6:$E$300="",""," : "&amp;'Bruna'!$E$6:$E$300)&amp;" ["&amp;'Bruna'!$F$6:$F$300&amp;"]",""),IF('Stella'!$B$6:$B$300=$A423,"Stella"&amp;IF('Stella'!$E$6:$E$300="",""," : "&amp;'Stella'!$E$6:$E$300)&amp;" ["&amp;'Stella'!$F$6:$F$300&amp;"]",""),IF('Igor'!$B$6:$B$300=$A423,"Igor"&amp;IF('Igor'!$E$6:$E$300="",""," : "&amp;'Igor'!$E$6:$E$300)&amp;" ["&amp;'Igor'!$F$6:$F$300&amp;"]","")))</f>
        <v/>
      </c>
    </row>
    <row r="424">
      <c r="G424" s="23">
        <f>IF($A424="","",_xlfn.TEXTJOIN("; ",TRUE,IF(COUNTIF('Clarice'!$B$6:$B$300,$A424)&gt;0,"Clarice",""),IF(COUNTIF('Luisa'!$B$6:$B$300,$A424)&gt;0,"Luisa",""),IF(COUNTIF('Lui'!$B$6:$B$300,$A424)&gt;0,"Lui",""),IF(COUNTIF('Thaís'!$B$6:$B$300,$A424)&gt;0,"Thaís",""),IF(COUNTIF('Daniel'!$B$6:$B$300,$A424)&gt;0,"Daniel",""),IF(COUNTIF('Fernando'!$B$6:$B$300,$A424)&gt;0,"Fernando",""),IF(COUNTIF('Stephanie'!$B$6:$B$300,$A424)&gt;0,"Stephanie",""),IF(COUNTIF('Fox'!$B$6:$B$300,$A424)&gt;0,"Fox",""),IF(COUNTIF('Bruna'!$B$6:$B$300,$A424)&gt;0,"Bruna",""),IF(COUNTIF('Stella'!$B$6:$B$300,$A424)&gt;0,"Stella",""),IF(COUNTIF('Igor'!$B$6:$B$300,$A424)&gt;0,"Igor","")))</f>
        <v/>
      </c>
      <c r="J424" s="24">
        <f>IF(OR($A424="",(COUNTIF('Clarice'!$B$6:$B$300,$A424)+COUNTIF('Luisa'!$B$6:$B$300,$A424)+COUNTIF('Lui'!$B$6:$B$300,$A424)+COUNTIF('Thaís'!$B$6:$B$300,$A424)+COUNTIF('Daniel'!$B$6:$B$300,$A424)+COUNTIF('Fernando'!$B$6:$B$300,$A424)+COUNTIF('Stephanie'!$B$6:$B$300,$A424)+COUNTIF('Fox'!$B$6:$B$300,$A424)+COUNTIF('Bruna'!$B$6:$B$300,$A424)+COUNTIF('Stella'!$B$6:$B$300,$A424)+COUNTIF('Igor'!$B$6:$B$300,$A424))=0),"",(COUNTIFS('Clarice'!$B$6:$B$300,$A424,'Clarice'!$F$6:$F$300,"Concluído")+COUNTIFS('Luisa'!$B$6:$B$300,$A424,'Luisa'!$F$6:$F$300,"Concluído")+COUNTIFS('Lui'!$B$6:$B$300,$A424,'Lui'!$F$6:$F$300,"Concluído")+COUNTIFS('Thaís'!$B$6:$B$300,$A424,'Thaís'!$F$6:$F$300,"Concluído")+COUNTIFS('Daniel'!$B$6:$B$300,$A424,'Daniel'!$F$6:$F$300,"Concluído")+COUNTIFS('Fernando'!$B$6:$B$300,$A424,'Fernando'!$F$6:$F$300,"Concluído")+COUNTIFS('Stephanie'!$B$6:$B$300,$A424,'Stephanie'!$F$6:$F$300,"Concluído")+COUNTIFS('Fox'!$B$6:$B$300,$A424,'Fox'!$F$6:$F$300,"Concluído")+COUNTIFS('Bruna'!$B$6:$B$300,$A424,'Bruna'!$F$6:$F$300,"Concluído")+COUNTIFS('Stella'!$B$6:$B$300,$A424,'Stella'!$F$6:$F$300,"Concluído")+COUNTIFS('Igor'!$B$6:$B$300,$A424,'Igor'!$F$6:$F$300,"Concluído"))&amp;" / "&amp;(COUNTIF('Clarice'!$B$6:$B$300,$A424)+COUNTIF('Luisa'!$B$6:$B$300,$A424)+COUNTIF('Lui'!$B$6:$B$300,$A424)+COUNTIF('Thaís'!$B$6:$B$300,$A424)+COUNTIF('Daniel'!$B$6:$B$300,$A424)+COUNTIF('Fernando'!$B$6:$B$300,$A424)+COUNTIF('Stephanie'!$B$6:$B$300,$A424)+COUNTIF('Fox'!$B$6:$B$300,$A424)+COUNTIF('Bruna'!$B$6:$B$300,$A424)+COUNTIF('Stella'!$B$6:$B$300,$A424)+COUNTIF('Igor'!$B$6:$B$300,$A424)))</f>
        <v/>
      </c>
      <c r="P424" s="25">
        <f>IF($A424="","",IF(M424&lt;&gt;"",M424,IF(K424&lt;&gt;"",K424,"")))</f>
        <v/>
      </c>
      <c r="Q424" s="25">
        <f>IF($A424="","",IF(N424&lt;&gt;"",N424,IF(L424&lt;&gt;"",L424,"")))</f>
        <v/>
      </c>
      <c r="S424" s="23">
        <f t="array" ref="S424">IF($A424="","",_xlfn.TEXTJOIN(CHAR(10),TRUE,IF('Clarice'!$B$6:$B$300=$A424,"Clarice"&amp;IF('Clarice'!$E$6:$E$300="",""," : "&amp;'Clarice'!$E$6:$E$300)&amp;" ["&amp;'Clarice'!$F$6:$F$300&amp;"]",""),IF('Luisa'!$B$6:$B$300=$A424,"Luisa"&amp;IF('Luisa'!$E$6:$E$300="",""," : "&amp;'Luisa'!$E$6:$E$300)&amp;" ["&amp;'Luisa'!$F$6:$F$300&amp;"]",""),IF('Lui'!$B$6:$B$300=$A424,"Lui"&amp;IF('Lui'!$E$6:$E$300="",""," : "&amp;'Lui'!$E$6:$E$300)&amp;" ["&amp;'Lui'!$F$6:$F$300&amp;"]",""),IF('Thaís'!$B$6:$B$300=$A424,"Thaís"&amp;IF('Thaís'!$E$6:$E$300="",""," : "&amp;'Thaís'!$E$6:$E$300)&amp;" ["&amp;'Thaís'!$F$6:$F$300&amp;"]",""),IF('Daniel'!$B$6:$B$300=$A424,"Daniel"&amp;IF('Daniel'!$E$6:$E$300="",""," : "&amp;'Daniel'!$E$6:$E$300)&amp;" ["&amp;'Daniel'!$F$6:$F$300&amp;"]",""),IF('Fernando'!$B$6:$B$300=$A424,"Fernando"&amp;IF('Fernando'!$E$6:$E$300="",""," : "&amp;'Fernando'!$E$6:$E$300)&amp;" ["&amp;'Fernando'!$F$6:$F$300&amp;"]",""),IF('Stephanie'!$B$6:$B$300=$A424,"Stephanie"&amp;IF('Stephanie'!$E$6:$E$300="",""," : "&amp;'Stephanie'!$E$6:$E$300)&amp;" ["&amp;'Stephanie'!$F$6:$F$300&amp;"]",""),IF('Fox'!$B$6:$B$300=$A424,"Fox"&amp;IF('Fox'!$E$6:$E$300="",""," : "&amp;'Fox'!$E$6:$E$300)&amp;" ["&amp;'Fox'!$F$6:$F$300&amp;"]",""),IF('Bruna'!$B$6:$B$300=$A424,"Bruna"&amp;IF('Bruna'!$E$6:$E$300="",""," : "&amp;'Bruna'!$E$6:$E$300)&amp;" ["&amp;'Bruna'!$F$6:$F$300&amp;"]",""),IF('Stella'!$B$6:$B$300=$A424,"Stella"&amp;IF('Stella'!$E$6:$E$300="",""," : "&amp;'Stella'!$E$6:$E$300)&amp;" ["&amp;'Stella'!$F$6:$F$300&amp;"]",""),IF('Igor'!$B$6:$B$300=$A424,"Igor"&amp;IF('Igor'!$E$6:$E$300="",""," : "&amp;'Igor'!$E$6:$E$300)&amp;" ["&amp;'Igor'!$F$6:$F$300&amp;"]","")))</f>
        <v/>
      </c>
    </row>
    <row r="425">
      <c r="G425" s="23">
        <f>IF($A425="","",_xlfn.TEXTJOIN("; ",TRUE,IF(COUNTIF('Clarice'!$B$6:$B$300,$A425)&gt;0,"Clarice",""),IF(COUNTIF('Luisa'!$B$6:$B$300,$A425)&gt;0,"Luisa",""),IF(COUNTIF('Lui'!$B$6:$B$300,$A425)&gt;0,"Lui",""),IF(COUNTIF('Thaís'!$B$6:$B$300,$A425)&gt;0,"Thaís",""),IF(COUNTIF('Daniel'!$B$6:$B$300,$A425)&gt;0,"Daniel",""),IF(COUNTIF('Fernando'!$B$6:$B$300,$A425)&gt;0,"Fernando",""),IF(COUNTIF('Stephanie'!$B$6:$B$300,$A425)&gt;0,"Stephanie",""),IF(COUNTIF('Fox'!$B$6:$B$300,$A425)&gt;0,"Fox",""),IF(COUNTIF('Bruna'!$B$6:$B$300,$A425)&gt;0,"Bruna",""),IF(COUNTIF('Stella'!$B$6:$B$300,$A425)&gt;0,"Stella",""),IF(COUNTIF('Igor'!$B$6:$B$300,$A425)&gt;0,"Igor","")))</f>
        <v/>
      </c>
      <c r="J425" s="24">
        <f>IF(OR($A425="",(COUNTIF('Clarice'!$B$6:$B$300,$A425)+COUNTIF('Luisa'!$B$6:$B$300,$A425)+COUNTIF('Lui'!$B$6:$B$300,$A425)+COUNTIF('Thaís'!$B$6:$B$300,$A425)+COUNTIF('Daniel'!$B$6:$B$300,$A425)+COUNTIF('Fernando'!$B$6:$B$300,$A425)+COUNTIF('Stephanie'!$B$6:$B$300,$A425)+COUNTIF('Fox'!$B$6:$B$300,$A425)+COUNTIF('Bruna'!$B$6:$B$300,$A425)+COUNTIF('Stella'!$B$6:$B$300,$A425)+COUNTIF('Igor'!$B$6:$B$300,$A425))=0),"",(COUNTIFS('Clarice'!$B$6:$B$300,$A425,'Clarice'!$F$6:$F$300,"Concluído")+COUNTIFS('Luisa'!$B$6:$B$300,$A425,'Luisa'!$F$6:$F$300,"Concluído")+COUNTIFS('Lui'!$B$6:$B$300,$A425,'Lui'!$F$6:$F$300,"Concluído")+COUNTIFS('Thaís'!$B$6:$B$300,$A425,'Thaís'!$F$6:$F$300,"Concluído")+COUNTIFS('Daniel'!$B$6:$B$300,$A425,'Daniel'!$F$6:$F$300,"Concluído")+COUNTIFS('Fernando'!$B$6:$B$300,$A425,'Fernando'!$F$6:$F$300,"Concluído")+COUNTIFS('Stephanie'!$B$6:$B$300,$A425,'Stephanie'!$F$6:$F$300,"Concluído")+COUNTIFS('Fox'!$B$6:$B$300,$A425,'Fox'!$F$6:$F$300,"Concluído")+COUNTIFS('Bruna'!$B$6:$B$300,$A425,'Bruna'!$F$6:$F$300,"Concluído")+COUNTIFS('Stella'!$B$6:$B$300,$A425,'Stella'!$F$6:$F$300,"Concluído")+COUNTIFS('Igor'!$B$6:$B$300,$A425,'Igor'!$F$6:$F$300,"Concluído"))&amp;" / "&amp;(COUNTIF('Clarice'!$B$6:$B$300,$A425)+COUNTIF('Luisa'!$B$6:$B$300,$A425)+COUNTIF('Lui'!$B$6:$B$300,$A425)+COUNTIF('Thaís'!$B$6:$B$300,$A425)+COUNTIF('Daniel'!$B$6:$B$300,$A425)+COUNTIF('Fernando'!$B$6:$B$300,$A425)+COUNTIF('Stephanie'!$B$6:$B$300,$A425)+COUNTIF('Fox'!$B$6:$B$300,$A425)+COUNTIF('Bruna'!$B$6:$B$300,$A425)+COUNTIF('Stella'!$B$6:$B$300,$A425)+COUNTIF('Igor'!$B$6:$B$300,$A425)))</f>
        <v/>
      </c>
      <c r="P425" s="25">
        <f>IF($A425="","",IF(M425&lt;&gt;"",M425,IF(K425&lt;&gt;"",K425,"")))</f>
        <v/>
      </c>
      <c r="Q425" s="25">
        <f>IF($A425="","",IF(N425&lt;&gt;"",N425,IF(L425&lt;&gt;"",L425,"")))</f>
        <v/>
      </c>
      <c r="S425" s="23">
        <f t="array" ref="S425">IF($A425="","",_xlfn.TEXTJOIN(CHAR(10),TRUE,IF('Clarice'!$B$6:$B$300=$A425,"Clarice"&amp;IF('Clarice'!$E$6:$E$300="",""," : "&amp;'Clarice'!$E$6:$E$300)&amp;" ["&amp;'Clarice'!$F$6:$F$300&amp;"]",""),IF('Luisa'!$B$6:$B$300=$A425,"Luisa"&amp;IF('Luisa'!$E$6:$E$300="",""," : "&amp;'Luisa'!$E$6:$E$300)&amp;" ["&amp;'Luisa'!$F$6:$F$300&amp;"]",""),IF('Lui'!$B$6:$B$300=$A425,"Lui"&amp;IF('Lui'!$E$6:$E$300="",""," : "&amp;'Lui'!$E$6:$E$300)&amp;" ["&amp;'Lui'!$F$6:$F$300&amp;"]",""),IF('Thaís'!$B$6:$B$300=$A425,"Thaís"&amp;IF('Thaís'!$E$6:$E$300="",""," : "&amp;'Thaís'!$E$6:$E$300)&amp;" ["&amp;'Thaís'!$F$6:$F$300&amp;"]",""),IF('Daniel'!$B$6:$B$300=$A425,"Daniel"&amp;IF('Daniel'!$E$6:$E$300="",""," : "&amp;'Daniel'!$E$6:$E$300)&amp;" ["&amp;'Daniel'!$F$6:$F$300&amp;"]",""),IF('Fernando'!$B$6:$B$300=$A425,"Fernando"&amp;IF('Fernando'!$E$6:$E$300="",""," : "&amp;'Fernando'!$E$6:$E$300)&amp;" ["&amp;'Fernando'!$F$6:$F$300&amp;"]",""),IF('Stephanie'!$B$6:$B$300=$A425,"Stephanie"&amp;IF('Stephanie'!$E$6:$E$300="",""," : "&amp;'Stephanie'!$E$6:$E$300)&amp;" ["&amp;'Stephanie'!$F$6:$F$300&amp;"]",""),IF('Fox'!$B$6:$B$300=$A425,"Fox"&amp;IF('Fox'!$E$6:$E$300="",""," : "&amp;'Fox'!$E$6:$E$300)&amp;" ["&amp;'Fox'!$F$6:$F$300&amp;"]",""),IF('Bruna'!$B$6:$B$300=$A425,"Bruna"&amp;IF('Bruna'!$E$6:$E$300="",""," : "&amp;'Bruna'!$E$6:$E$300)&amp;" ["&amp;'Bruna'!$F$6:$F$300&amp;"]",""),IF('Stella'!$B$6:$B$300=$A425,"Stella"&amp;IF('Stella'!$E$6:$E$300="",""," : "&amp;'Stella'!$E$6:$E$300)&amp;" ["&amp;'Stella'!$F$6:$F$300&amp;"]",""),IF('Igor'!$B$6:$B$300=$A425,"Igor"&amp;IF('Igor'!$E$6:$E$300="",""," : "&amp;'Igor'!$E$6:$E$300)&amp;" ["&amp;'Igor'!$F$6:$F$300&amp;"]","")))</f>
        <v/>
      </c>
    </row>
    <row r="426">
      <c r="G426" s="23">
        <f>IF($A426="","",_xlfn.TEXTJOIN("; ",TRUE,IF(COUNTIF('Clarice'!$B$6:$B$300,$A426)&gt;0,"Clarice",""),IF(COUNTIF('Luisa'!$B$6:$B$300,$A426)&gt;0,"Luisa",""),IF(COUNTIF('Lui'!$B$6:$B$300,$A426)&gt;0,"Lui",""),IF(COUNTIF('Thaís'!$B$6:$B$300,$A426)&gt;0,"Thaís",""),IF(COUNTIF('Daniel'!$B$6:$B$300,$A426)&gt;0,"Daniel",""),IF(COUNTIF('Fernando'!$B$6:$B$300,$A426)&gt;0,"Fernando",""),IF(COUNTIF('Stephanie'!$B$6:$B$300,$A426)&gt;0,"Stephanie",""),IF(COUNTIF('Fox'!$B$6:$B$300,$A426)&gt;0,"Fox",""),IF(COUNTIF('Bruna'!$B$6:$B$300,$A426)&gt;0,"Bruna",""),IF(COUNTIF('Stella'!$B$6:$B$300,$A426)&gt;0,"Stella",""),IF(COUNTIF('Igor'!$B$6:$B$300,$A426)&gt;0,"Igor","")))</f>
        <v/>
      </c>
      <c r="J426" s="24">
        <f>IF(OR($A426="",(COUNTIF('Clarice'!$B$6:$B$300,$A426)+COUNTIF('Luisa'!$B$6:$B$300,$A426)+COUNTIF('Lui'!$B$6:$B$300,$A426)+COUNTIF('Thaís'!$B$6:$B$300,$A426)+COUNTIF('Daniel'!$B$6:$B$300,$A426)+COUNTIF('Fernando'!$B$6:$B$300,$A426)+COUNTIF('Stephanie'!$B$6:$B$300,$A426)+COUNTIF('Fox'!$B$6:$B$300,$A426)+COUNTIF('Bruna'!$B$6:$B$300,$A426)+COUNTIF('Stella'!$B$6:$B$300,$A426)+COUNTIF('Igor'!$B$6:$B$300,$A426))=0),"",(COUNTIFS('Clarice'!$B$6:$B$300,$A426,'Clarice'!$F$6:$F$300,"Concluído")+COUNTIFS('Luisa'!$B$6:$B$300,$A426,'Luisa'!$F$6:$F$300,"Concluído")+COUNTIFS('Lui'!$B$6:$B$300,$A426,'Lui'!$F$6:$F$300,"Concluído")+COUNTIFS('Thaís'!$B$6:$B$300,$A426,'Thaís'!$F$6:$F$300,"Concluído")+COUNTIFS('Daniel'!$B$6:$B$300,$A426,'Daniel'!$F$6:$F$300,"Concluído")+COUNTIFS('Fernando'!$B$6:$B$300,$A426,'Fernando'!$F$6:$F$300,"Concluído")+COUNTIFS('Stephanie'!$B$6:$B$300,$A426,'Stephanie'!$F$6:$F$300,"Concluído")+COUNTIFS('Fox'!$B$6:$B$300,$A426,'Fox'!$F$6:$F$300,"Concluído")+COUNTIFS('Bruna'!$B$6:$B$300,$A426,'Bruna'!$F$6:$F$300,"Concluído")+COUNTIFS('Stella'!$B$6:$B$300,$A426,'Stella'!$F$6:$F$300,"Concluído")+COUNTIFS('Igor'!$B$6:$B$300,$A426,'Igor'!$F$6:$F$300,"Concluído"))&amp;" / "&amp;(COUNTIF('Clarice'!$B$6:$B$300,$A426)+COUNTIF('Luisa'!$B$6:$B$300,$A426)+COUNTIF('Lui'!$B$6:$B$300,$A426)+COUNTIF('Thaís'!$B$6:$B$300,$A426)+COUNTIF('Daniel'!$B$6:$B$300,$A426)+COUNTIF('Fernando'!$B$6:$B$300,$A426)+COUNTIF('Stephanie'!$B$6:$B$300,$A426)+COUNTIF('Fox'!$B$6:$B$300,$A426)+COUNTIF('Bruna'!$B$6:$B$300,$A426)+COUNTIF('Stella'!$B$6:$B$300,$A426)+COUNTIF('Igor'!$B$6:$B$300,$A426)))</f>
        <v/>
      </c>
      <c r="P426" s="25">
        <f>IF($A426="","",IF(M426&lt;&gt;"",M426,IF(K426&lt;&gt;"",K426,"")))</f>
        <v/>
      </c>
      <c r="Q426" s="25">
        <f>IF($A426="","",IF(N426&lt;&gt;"",N426,IF(L426&lt;&gt;"",L426,"")))</f>
        <v/>
      </c>
      <c r="S426" s="23">
        <f t="array" ref="S426">IF($A426="","",_xlfn.TEXTJOIN(CHAR(10),TRUE,IF('Clarice'!$B$6:$B$300=$A426,"Clarice"&amp;IF('Clarice'!$E$6:$E$300="",""," : "&amp;'Clarice'!$E$6:$E$300)&amp;" ["&amp;'Clarice'!$F$6:$F$300&amp;"]",""),IF('Luisa'!$B$6:$B$300=$A426,"Luisa"&amp;IF('Luisa'!$E$6:$E$300="",""," : "&amp;'Luisa'!$E$6:$E$300)&amp;" ["&amp;'Luisa'!$F$6:$F$300&amp;"]",""),IF('Lui'!$B$6:$B$300=$A426,"Lui"&amp;IF('Lui'!$E$6:$E$300="",""," : "&amp;'Lui'!$E$6:$E$300)&amp;" ["&amp;'Lui'!$F$6:$F$300&amp;"]",""),IF('Thaís'!$B$6:$B$300=$A426,"Thaís"&amp;IF('Thaís'!$E$6:$E$300="",""," : "&amp;'Thaís'!$E$6:$E$300)&amp;" ["&amp;'Thaís'!$F$6:$F$300&amp;"]",""),IF('Daniel'!$B$6:$B$300=$A426,"Daniel"&amp;IF('Daniel'!$E$6:$E$300="",""," : "&amp;'Daniel'!$E$6:$E$300)&amp;" ["&amp;'Daniel'!$F$6:$F$300&amp;"]",""),IF('Fernando'!$B$6:$B$300=$A426,"Fernando"&amp;IF('Fernando'!$E$6:$E$300="",""," : "&amp;'Fernando'!$E$6:$E$300)&amp;" ["&amp;'Fernando'!$F$6:$F$300&amp;"]",""),IF('Stephanie'!$B$6:$B$300=$A426,"Stephanie"&amp;IF('Stephanie'!$E$6:$E$300="",""," : "&amp;'Stephanie'!$E$6:$E$300)&amp;" ["&amp;'Stephanie'!$F$6:$F$300&amp;"]",""),IF('Fox'!$B$6:$B$300=$A426,"Fox"&amp;IF('Fox'!$E$6:$E$300="",""," : "&amp;'Fox'!$E$6:$E$300)&amp;" ["&amp;'Fox'!$F$6:$F$300&amp;"]",""),IF('Bruna'!$B$6:$B$300=$A426,"Bruna"&amp;IF('Bruna'!$E$6:$E$300="",""," : "&amp;'Bruna'!$E$6:$E$300)&amp;" ["&amp;'Bruna'!$F$6:$F$300&amp;"]",""),IF('Stella'!$B$6:$B$300=$A426,"Stella"&amp;IF('Stella'!$E$6:$E$300="",""," : "&amp;'Stella'!$E$6:$E$300)&amp;" ["&amp;'Stella'!$F$6:$F$300&amp;"]",""),IF('Igor'!$B$6:$B$300=$A426,"Igor"&amp;IF('Igor'!$E$6:$E$300="",""," : "&amp;'Igor'!$E$6:$E$300)&amp;" ["&amp;'Igor'!$F$6:$F$300&amp;"]","")))</f>
        <v/>
      </c>
    </row>
    <row r="427">
      <c r="G427" s="23">
        <f>IF($A427="","",_xlfn.TEXTJOIN("; ",TRUE,IF(COUNTIF('Clarice'!$B$6:$B$300,$A427)&gt;0,"Clarice",""),IF(COUNTIF('Luisa'!$B$6:$B$300,$A427)&gt;0,"Luisa",""),IF(COUNTIF('Lui'!$B$6:$B$300,$A427)&gt;0,"Lui",""),IF(COUNTIF('Thaís'!$B$6:$B$300,$A427)&gt;0,"Thaís",""),IF(COUNTIF('Daniel'!$B$6:$B$300,$A427)&gt;0,"Daniel",""),IF(COUNTIF('Fernando'!$B$6:$B$300,$A427)&gt;0,"Fernando",""),IF(COUNTIF('Stephanie'!$B$6:$B$300,$A427)&gt;0,"Stephanie",""),IF(COUNTIF('Fox'!$B$6:$B$300,$A427)&gt;0,"Fox",""),IF(COUNTIF('Bruna'!$B$6:$B$300,$A427)&gt;0,"Bruna",""),IF(COUNTIF('Stella'!$B$6:$B$300,$A427)&gt;0,"Stella",""),IF(COUNTIF('Igor'!$B$6:$B$300,$A427)&gt;0,"Igor","")))</f>
        <v/>
      </c>
      <c r="J427" s="24">
        <f>IF(OR($A427="",(COUNTIF('Clarice'!$B$6:$B$300,$A427)+COUNTIF('Luisa'!$B$6:$B$300,$A427)+COUNTIF('Lui'!$B$6:$B$300,$A427)+COUNTIF('Thaís'!$B$6:$B$300,$A427)+COUNTIF('Daniel'!$B$6:$B$300,$A427)+COUNTIF('Fernando'!$B$6:$B$300,$A427)+COUNTIF('Stephanie'!$B$6:$B$300,$A427)+COUNTIF('Fox'!$B$6:$B$300,$A427)+COUNTIF('Bruna'!$B$6:$B$300,$A427)+COUNTIF('Stella'!$B$6:$B$300,$A427)+COUNTIF('Igor'!$B$6:$B$300,$A427))=0),"",(COUNTIFS('Clarice'!$B$6:$B$300,$A427,'Clarice'!$F$6:$F$300,"Concluído")+COUNTIFS('Luisa'!$B$6:$B$300,$A427,'Luisa'!$F$6:$F$300,"Concluído")+COUNTIFS('Lui'!$B$6:$B$300,$A427,'Lui'!$F$6:$F$300,"Concluído")+COUNTIFS('Thaís'!$B$6:$B$300,$A427,'Thaís'!$F$6:$F$300,"Concluído")+COUNTIFS('Daniel'!$B$6:$B$300,$A427,'Daniel'!$F$6:$F$300,"Concluído")+COUNTIFS('Fernando'!$B$6:$B$300,$A427,'Fernando'!$F$6:$F$300,"Concluído")+COUNTIFS('Stephanie'!$B$6:$B$300,$A427,'Stephanie'!$F$6:$F$300,"Concluído")+COUNTIFS('Fox'!$B$6:$B$300,$A427,'Fox'!$F$6:$F$300,"Concluído")+COUNTIFS('Bruna'!$B$6:$B$300,$A427,'Bruna'!$F$6:$F$300,"Concluído")+COUNTIFS('Stella'!$B$6:$B$300,$A427,'Stella'!$F$6:$F$300,"Concluído")+COUNTIFS('Igor'!$B$6:$B$300,$A427,'Igor'!$F$6:$F$300,"Concluído"))&amp;" / "&amp;(COUNTIF('Clarice'!$B$6:$B$300,$A427)+COUNTIF('Luisa'!$B$6:$B$300,$A427)+COUNTIF('Lui'!$B$6:$B$300,$A427)+COUNTIF('Thaís'!$B$6:$B$300,$A427)+COUNTIF('Daniel'!$B$6:$B$300,$A427)+COUNTIF('Fernando'!$B$6:$B$300,$A427)+COUNTIF('Stephanie'!$B$6:$B$300,$A427)+COUNTIF('Fox'!$B$6:$B$300,$A427)+COUNTIF('Bruna'!$B$6:$B$300,$A427)+COUNTIF('Stella'!$B$6:$B$300,$A427)+COUNTIF('Igor'!$B$6:$B$300,$A427)))</f>
        <v/>
      </c>
      <c r="P427" s="25">
        <f>IF($A427="","",IF(M427&lt;&gt;"",M427,IF(K427&lt;&gt;"",K427,"")))</f>
        <v/>
      </c>
      <c r="Q427" s="25">
        <f>IF($A427="","",IF(N427&lt;&gt;"",N427,IF(L427&lt;&gt;"",L427,"")))</f>
        <v/>
      </c>
      <c r="S427" s="23">
        <f t="array" ref="S427">IF($A427="","",_xlfn.TEXTJOIN(CHAR(10),TRUE,IF('Clarice'!$B$6:$B$300=$A427,"Clarice"&amp;IF('Clarice'!$E$6:$E$300="",""," : "&amp;'Clarice'!$E$6:$E$300)&amp;" ["&amp;'Clarice'!$F$6:$F$300&amp;"]",""),IF('Luisa'!$B$6:$B$300=$A427,"Luisa"&amp;IF('Luisa'!$E$6:$E$300="",""," : "&amp;'Luisa'!$E$6:$E$300)&amp;" ["&amp;'Luisa'!$F$6:$F$300&amp;"]",""),IF('Lui'!$B$6:$B$300=$A427,"Lui"&amp;IF('Lui'!$E$6:$E$300="",""," : "&amp;'Lui'!$E$6:$E$300)&amp;" ["&amp;'Lui'!$F$6:$F$300&amp;"]",""),IF('Thaís'!$B$6:$B$300=$A427,"Thaís"&amp;IF('Thaís'!$E$6:$E$300="",""," : "&amp;'Thaís'!$E$6:$E$300)&amp;" ["&amp;'Thaís'!$F$6:$F$300&amp;"]",""),IF('Daniel'!$B$6:$B$300=$A427,"Daniel"&amp;IF('Daniel'!$E$6:$E$300="",""," : "&amp;'Daniel'!$E$6:$E$300)&amp;" ["&amp;'Daniel'!$F$6:$F$300&amp;"]",""),IF('Fernando'!$B$6:$B$300=$A427,"Fernando"&amp;IF('Fernando'!$E$6:$E$300="",""," : "&amp;'Fernando'!$E$6:$E$300)&amp;" ["&amp;'Fernando'!$F$6:$F$300&amp;"]",""),IF('Stephanie'!$B$6:$B$300=$A427,"Stephanie"&amp;IF('Stephanie'!$E$6:$E$300="",""," : "&amp;'Stephanie'!$E$6:$E$300)&amp;" ["&amp;'Stephanie'!$F$6:$F$300&amp;"]",""),IF('Fox'!$B$6:$B$300=$A427,"Fox"&amp;IF('Fox'!$E$6:$E$300="",""," : "&amp;'Fox'!$E$6:$E$300)&amp;" ["&amp;'Fox'!$F$6:$F$300&amp;"]",""),IF('Bruna'!$B$6:$B$300=$A427,"Bruna"&amp;IF('Bruna'!$E$6:$E$300="",""," : "&amp;'Bruna'!$E$6:$E$300)&amp;" ["&amp;'Bruna'!$F$6:$F$300&amp;"]",""),IF('Stella'!$B$6:$B$300=$A427,"Stella"&amp;IF('Stella'!$E$6:$E$300="",""," : "&amp;'Stella'!$E$6:$E$300)&amp;" ["&amp;'Stella'!$F$6:$F$300&amp;"]",""),IF('Igor'!$B$6:$B$300=$A427,"Igor"&amp;IF('Igor'!$E$6:$E$300="",""," : "&amp;'Igor'!$E$6:$E$300)&amp;" ["&amp;'Igor'!$F$6:$F$300&amp;"]","")))</f>
        <v/>
      </c>
    </row>
    <row r="428">
      <c r="G428" s="23">
        <f>IF($A428="","",_xlfn.TEXTJOIN("; ",TRUE,IF(COUNTIF('Clarice'!$B$6:$B$300,$A428)&gt;0,"Clarice",""),IF(COUNTIF('Luisa'!$B$6:$B$300,$A428)&gt;0,"Luisa",""),IF(COUNTIF('Lui'!$B$6:$B$300,$A428)&gt;0,"Lui",""),IF(COUNTIF('Thaís'!$B$6:$B$300,$A428)&gt;0,"Thaís",""),IF(COUNTIF('Daniel'!$B$6:$B$300,$A428)&gt;0,"Daniel",""),IF(COUNTIF('Fernando'!$B$6:$B$300,$A428)&gt;0,"Fernando",""),IF(COUNTIF('Stephanie'!$B$6:$B$300,$A428)&gt;0,"Stephanie",""),IF(COUNTIF('Fox'!$B$6:$B$300,$A428)&gt;0,"Fox",""),IF(COUNTIF('Bruna'!$B$6:$B$300,$A428)&gt;0,"Bruna",""),IF(COUNTIF('Stella'!$B$6:$B$300,$A428)&gt;0,"Stella",""),IF(COUNTIF('Igor'!$B$6:$B$300,$A428)&gt;0,"Igor","")))</f>
        <v/>
      </c>
      <c r="J428" s="24">
        <f>IF(OR($A428="",(COUNTIF('Clarice'!$B$6:$B$300,$A428)+COUNTIF('Luisa'!$B$6:$B$300,$A428)+COUNTIF('Lui'!$B$6:$B$300,$A428)+COUNTIF('Thaís'!$B$6:$B$300,$A428)+COUNTIF('Daniel'!$B$6:$B$300,$A428)+COUNTIF('Fernando'!$B$6:$B$300,$A428)+COUNTIF('Stephanie'!$B$6:$B$300,$A428)+COUNTIF('Fox'!$B$6:$B$300,$A428)+COUNTIF('Bruna'!$B$6:$B$300,$A428)+COUNTIF('Stella'!$B$6:$B$300,$A428)+COUNTIF('Igor'!$B$6:$B$300,$A428))=0),"",(COUNTIFS('Clarice'!$B$6:$B$300,$A428,'Clarice'!$F$6:$F$300,"Concluído")+COUNTIFS('Luisa'!$B$6:$B$300,$A428,'Luisa'!$F$6:$F$300,"Concluído")+COUNTIFS('Lui'!$B$6:$B$300,$A428,'Lui'!$F$6:$F$300,"Concluído")+COUNTIFS('Thaís'!$B$6:$B$300,$A428,'Thaís'!$F$6:$F$300,"Concluído")+COUNTIFS('Daniel'!$B$6:$B$300,$A428,'Daniel'!$F$6:$F$300,"Concluído")+COUNTIFS('Fernando'!$B$6:$B$300,$A428,'Fernando'!$F$6:$F$300,"Concluído")+COUNTIFS('Stephanie'!$B$6:$B$300,$A428,'Stephanie'!$F$6:$F$300,"Concluído")+COUNTIFS('Fox'!$B$6:$B$300,$A428,'Fox'!$F$6:$F$300,"Concluído")+COUNTIFS('Bruna'!$B$6:$B$300,$A428,'Bruna'!$F$6:$F$300,"Concluído")+COUNTIFS('Stella'!$B$6:$B$300,$A428,'Stella'!$F$6:$F$300,"Concluído")+COUNTIFS('Igor'!$B$6:$B$300,$A428,'Igor'!$F$6:$F$300,"Concluído"))&amp;" / "&amp;(COUNTIF('Clarice'!$B$6:$B$300,$A428)+COUNTIF('Luisa'!$B$6:$B$300,$A428)+COUNTIF('Lui'!$B$6:$B$300,$A428)+COUNTIF('Thaís'!$B$6:$B$300,$A428)+COUNTIF('Daniel'!$B$6:$B$300,$A428)+COUNTIF('Fernando'!$B$6:$B$300,$A428)+COUNTIF('Stephanie'!$B$6:$B$300,$A428)+COUNTIF('Fox'!$B$6:$B$300,$A428)+COUNTIF('Bruna'!$B$6:$B$300,$A428)+COUNTIF('Stella'!$B$6:$B$300,$A428)+COUNTIF('Igor'!$B$6:$B$300,$A428)))</f>
        <v/>
      </c>
      <c r="P428" s="25">
        <f>IF($A428="","",IF(M428&lt;&gt;"",M428,IF(K428&lt;&gt;"",K428,"")))</f>
        <v/>
      </c>
      <c r="Q428" s="25">
        <f>IF($A428="","",IF(N428&lt;&gt;"",N428,IF(L428&lt;&gt;"",L428,"")))</f>
        <v/>
      </c>
      <c r="S428" s="23">
        <f t="array" ref="S428">IF($A428="","",_xlfn.TEXTJOIN(CHAR(10),TRUE,IF('Clarice'!$B$6:$B$300=$A428,"Clarice"&amp;IF('Clarice'!$E$6:$E$300="",""," : "&amp;'Clarice'!$E$6:$E$300)&amp;" ["&amp;'Clarice'!$F$6:$F$300&amp;"]",""),IF('Luisa'!$B$6:$B$300=$A428,"Luisa"&amp;IF('Luisa'!$E$6:$E$300="",""," : "&amp;'Luisa'!$E$6:$E$300)&amp;" ["&amp;'Luisa'!$F$6:$F$300&amp;"]",""),IF('Lui'!$B$6:$B$300=$A428,"Lui"&amp;IF('Lui'!$E$6:$E$300="",""," : "&amp;'Lui'!$E$6:$E$300)&amp;" ["&amp;'Lui'!$F$6:$F$300&amp;"]",""),IF('Thaís'!$B$6:$B$300=$A428,"Thaís"&amp;IF('Thaís'!$E$6:$E$300="",""," : "&amp;'Thaís'!$E$6:$E$300)&amp;" ["&amp;'Thaís'!$F$6:$F$300&amp;"]",""),IF('Daniel'!$B$6:$B$300=$A428,"Daniel"&amp;IF('Daniel'!$E$6:$E$300="",""," : "&amp;'Daniel'!$E$6:$E$300)&amp;" ["&amp;'Daniel'!$F$6:$F$300&amp;"]",""),IF('Fernando'!$B$6:$B$300=$A428,"Fernando"&amp;IF('Fernando'!$E$6:$E$300="",""," : "&amp;'Fernando'!$E$6:$E$300)&amp;" ["&amp;'Fernando'!$F$6:$F$300&amp;"]",""),IF('Stephanie'!$B$6:$B$300=$A428,"Stephanie"&amp;IF('Stephanie'!$E$6:$E$300="",""," : "&amp;'Stephanie'!$E$6:$E$300)&amp;" ["&amp;'Stephanie'!$F$6:$F$300&amp;"]",""),IF('Fox'!$B$6:$B$300=$A428,"Fox"&amp;IF('Fox'!$E$6:$E$300="",""," : "&amp;'Fox'!$E$6:$E$300)&amp;" ["&amp;'Fox'!$F$6:$F$300&amp;"]",""),IF('Bruna'!$B$6:$B$300=$A428,"Bruna"&amp;IF('Bruna'!$E$6:$E$300="",""," : "&amp;'Bruna'!$E$6:$E$300)&amp;" ["&amp;'Bruna'!$F$6:$F$300&amp;"]",""),IF('Stella'!$B$6:$B$300=$A428,"Stella"&amp;IF('Stella'!$E$6:$E$300="",""," : "&amp;'Stella'!$E$6:$E$300)&amp;" ["&amp;'Stella'!$F$6:$F$300&amp;"]",""),IF('Igor'!$B$6:$B$300=$A428,"Igor"&amp;IF('Igor'!$E$6:$E$300="",""," : "&amp;'Igor'!$E$6:$E$300)&amp;" ["&amp;'Igor'!$F$6:$F$300&amp;"]","")))</f>
        <v/>
      </c>
    </row>
    <row r="429">
      <c r="G429" s="23">
        <f>IF($A429="","",_xlfn.TEXTJOIN("; ",TRUE,IF(COUNTIF('Clarice'!$B$6:$B$300,$A429)&gt;0,"Clarice",""),IF(COUNTIF('Luisa'!$B$6:$B$300,$A429)&gt;0,"Luisa",""),IF(COUNTIF('Lui'!$B$6:$B$300,$A429)&gt;0,"Lui",""),IF(COUNTIF('Thaís'!$B$6:$B$300,$A429)&gt;0,"Thaís",""),IF(COUNTIF('Daniel'!$B$6:$B$300,$A429)&gt;0,"Daniel",""),IF(COUNTIF('Fernando'!$B$6:$B$300,$A429)&gt;0,"Fernando",""),IF(COUNTIF('Stephanie'!$B$6:$B$300,$A429)&gt;0,"Stephanie",""),IF(COUNTIF('Fox'!$B$6:$B$300,$A429)&gt;0,"Fox",""),IF(COUNTIF('Bruna'!$B$6:$B$300,$A429)&gt;0,"Bruna",""),IF(COUNTIF('Stella'!$B$6:$B$300,$A429)&gt;0,"Stella",""),IF(COUNTIF('Igor'!$B$6:$B$300,$A429)&gt;0,"Igor","")))</f>
        <v/>
      </c>
      <c r="J429" s="24">
        <f>IF(OR($A429="",(COUNTIF('Clarice'!$B$6:$B$300,$A429)+COUNTIF('Luisa'!$B$6:$B$300,$A429)+COUNTIF('Lui'!$B$6:$B$300,$A429)+COUNTIF('Thaís'!$B$6:$B$300,$A429)+COUNTIF('Daniel'!$B$6:$B$300,$A429)+COUNTIF('Fernando'!$B$6:$B$300,$A429)+COUNTIF('Stephanie'!$B$6:$B$300,$A429)+COUNTIF('Fox'!$B$6:$B$300,$A429)+COUNTIF('Bruna'!$B$6:$B$300,$A429)+COUNTIF('Stella'!$B$6:$B$300,$A429)+COUNTIF('Igor'!$B$6:$B$300,$A429))=0),"",(COUNTIFS('Clarice'!$B$6:$B$300,$A429,'Clarice'!$F$6:$F$300,"Concluído")+COUNTIFS('Luisa'!$B$6:$B$300,$A429,'Luisa'!$F$6:$F$300,"Concluído")+COUNTIFS('Lui'!$B$6:$B$300,$A429,'Lui'!$F$6:$F$300,"Concluído")+COUNTIFS('Thaís'!$B$6:$B$300,$A429,'Thaís'!$F$6:$F$300,"Concluído")+COUNTIFS('Daniel'!$B$6:$B$300,$A429,'Daniel'!$F$6:$F$300,"Concluído")+COUNTIFS('Fernando'!$B$6:$B$300,$A429,'Fernando'!$F$6:$F$300,"Concluído")+COUNTIFS('Stephanie'!$B$6:$B$300,$A429,'Stephanie'!$F$6:$F$300,"Concluído")+COUNTIFS('Fox'!$B$6:$B$300,$A429,'Fox'!$F$6:$F$300,"Concluído")+COUNTIFS('Bruna'!$B$6:$B$300,$A429,'Bruna'!$F$6:$F$300,"Concluído")+COUNTIFS('Stella'!$B$6:$B$300,$A429,'Stella'!$F$6:$F$300,"Concluído")+COUNTIFS('Igor'!$B$6:$B$300,$A429,'Igor'!$F$6:$F$300,"Concluído"))&amp;" / "&amp;(COUNTIF('Clarice'!$B$6:$B$300,$A429)+COUNTIF('Luisa'!$B$6:$B$300,$A429)+COUNTIF('Lui'!$B$6:$B$300,$A429)+COUNTIF('Thaís'!$B$6:$B$300,$A429)+COUNTIF('Daniel'!$B$6:$B$300,$A429)+COUNTIF('Fernando'!$B$6:$B$300,$A429)+COUNTIF('Stephanie'!$B$6:$B$300,$A429)+COUNTIF('Fox'!$B$6:$B$300,$A429)+COUNTIF('Bruna'!$B$6:$B$300,$A429)+COUNTIF('Stella'!$B$6:$B$300,$A429)+COUNTIF('Igor'!$B$6:$B$300,$A429)))</f>
        <v/>
      </c>
      <c r="P429" s="25">
        <f>IF($A429="","",IF(M429&lt;&gt;"",M429,IF(K429&lt;&gt;"",K429,"")))</f>
        <v/>
      </c>
      <c r="Q429" s="25">
        <f>IF($A429="","",IF(N429&lt;&gt;"",N429,IF(L429&lt;&gt;"",L429,"")))</f>
        <v/>
      </c>
      <c r="S429" s="23">
        <f t="array" ref="S429">IF($A429="","",_xlfn.TEXTJOIN(CHAR(10),TRUE,IF('Clarice'!$B$6:$B$300=$A429,"Clarice"&amp;IF('Clarice'!$E$6:$E$300="",""," : "&amp;'Clarice'!$E$6:$E$300)&amp;" ["&amp;'Clarice'!$F$6:$F$300&amp;"]",""),IF('Luisa'!$B$6:$B$300=$A429,"Luisa"&amp;IF('Luisa'!$E$6:$E$300="",""," : "&amp;'Luisa'!$E$6:$E$300)&amp;" ["&amp;'Luisa'!$F$6:$F$300&amp;"]",""),IF('Lui'!$B$6:$B$300=$A429,"Lui"&amp;IF('Lui'!$E$6:$E$300="",""," : "&amp;'Lui'!$E$6:$E$300)&amp;" ["&amp;'Lui'!$F$6:$F$300&amp;"]",""),IF('Thaís'!$B$6:$B$300=$A429,"Thaís"&amp;IF('Thaís'!$E$6:$E$300="",""," : "&amp;'Thaís'!$E$6:$E$300)&amp;" ["&amp;'Thaís'!$F$6:$F$300&amp;"]",""),IF('Daniel'!$B$6:$B$300=$A429,"Daniel"&amp;IF('Daniel'!$E$6:$E$300="",""," : "&amp;'Daniel'!$E$6:$E$300)&amp;" ["&amp;'Daniel'!$F$6:$F$300&amp;"]",""),IF('Fernando'!$B$6:$B$300=$A429,"Fernando"&amp;IF('Fernando'!$E$6:$E$300="",""," : "&amp;'Fernando'!$E$6:$E$300)&amp;" ["&amp;'Fernando'!$F$6:$F$300&amp;"]",""),IF('Stephanie'!$B$6:$B$300=$A429,"Stephanie"&amp;IF('Stephanie'!$E$6:$E$300="",""," : "&amp;'Stephanie'!$E$6:$E$300)&amp;" ["&amp;'Stephanie'!$F$6:$F$300&amp;"]",""),IF('Fox'!$B$6:$B$300=$A429,"Fox"&amp;IF('Fox'!$E$6:$E$300="",""," : "&amp;'Fox'!$E$6:$E$300)&amp;" ["&amp;'Fox'!$F$6:$F$300&amp;"]",""),IF('Bruna'!$B$6:$B$300=$A429,"Bruna"&amp;IF('Bruna'!$E$6:$E$300="",""," : "&amp;'Bruna'!$E$6:$E$300)&amp;" ["&amp;'Bruna'!$F$6:$F$300&amp;"]",""),IF('Stella'!$B$6:$B$300=$A429,"Stella"&amp;IF('Stella'!$E$6:$E$300="",""," : "&amp;'Stella'!$E$6:$E$300)&amp;" ["&amp;'Stella'!$F$6:$F$300&amp;"]",""),IF('Igor'!$B$6:$B$300=$A429,"Igor"&amp;IF('Igor'!$E$6:$E$300="",""," : "&amp;'Igor'!$E$6:$E$300)&amp;" ["&amp;'Igor'!$F$6:$F$300&amp;"]","")))</f>
        <v/>
      </c>
    </row>
    <row r="430">
      <c r="G430" s="23">
        <f>IF($A430="","",_xlfn.TEXTJOIN("; ",TRUE,IF(COUNTIF('Clarice'!$B$6:$B$300,$A430)&gt;0,"Clarice",""),IF(COUNTIF('Luisa'!$B$6:$B$300,$A430)&gt;0,"Luisa",""),IF(COUNTIF('Lui'!$B$6:$B$300,$A430)&gt;0,"Lui",""),IF(COUNTIF('Thaís'!$B$6:$B$300,$A430)&gt;0,"Thaís",""),IF(COUNTIF('Daniel'!$B$6:$B$300,$A430)&gt;0,"Daniel",""),IF(COUNTIF('Fernando'!$B$6:$B$300,$A430)&gt;0,"Fernando",""),IF(COUNTIF('Stephanie'!$B$6:$B$300,$A430)&gt;0,"Stephanie",""),IF(COUNTIF('Fox'!$B$6:$B$300,$A430)&gt;0,"Fox",""),IF(COUNTIF('Bruna'!$B$6:$B$300,$A430)&gt;0,"Bruna",""),IF(COUNTIF('Stella'!$B$6:$B$300,$A430)&gt;0,"Stella",""),IF(COUNTIF('Igor'!$B$6:$B$300,$A430)&gt;0,"Igor","")))</f>
        <v/>
      </c>
      <c r="J430" s="24">
        <f>IF(OR($A430="",(COUNTIF('Clarice'!$B$6:$B$300,$A430)+COUNTIF('Luisa'!$B$6:$B$300,$A430)+COUNTIF('Lui'!$B$6:$B$300,$A430)+COUNTIF('Thaís'!$B$6:$B$300,$A430)+COUNTIF('Daniel'!$B$6:$B$300,$A430)+COUNTIF('Fernando'!$B$6:$B$300,$A430)+COUNTIF('Stephanie'!$B$6:$B$300,$A430)+COUNTIF('Fox'!$B$6:$B$300,$A430)+COUNTIF('Bruna'!$B$6:$B$300,$A430)+COUNTIF('Stella'!$B$6:$B$300,$A430)+COUNTIF('Igor'!$B$6:$B$300,$A430))=0),"",(COUNTIFS('Clarice'!$B$6:$B$300,$A430,'Clarice'!$F$6:$F$300,"Concluído")+COUNTIFS('Luisa'!$B$6:$B$300,$A430,'Luisa'!$F$6:$F$300,"Concluído")+COUNTIFS('Lui'!$B$6:$B$300,$A430,'Lui'!$F$6:$F$300,"Concluído")+COUNTIFS('Thaís'!$B$6:$B$300,$A430,'Thaís'!$F$6:$F$300,"Concluído")+COUNTIFS('Daniel'!$B$6:$B$300,$A430,'Daniel'!$F$6:$F$300,"Concluído")+COUNTIFS('Fernando'!$B$6:$B$300,$A430,'Fernando'!$F$6:$F$300,"Concluído")+COUNTIFS('Stephanie'!$B$6:$B$300,$A430,'Stephanie'!$F$6:$F$300,"Concluído")+COUNTIFS('Fox'!$B$6:$B$300,$A430,'Fox'!$F$6:$F$300,"Concluído")+COUNTIFS('Bruna'!$B$6:$B$300,$A430,'Bruna'!$F$6:$F$300,"Concluído")+COUNTIFS('Stella'!$B$6:$B$300,$A430,'Stella'!$F$6:$F$300,"Concluído")+COUNTIFS('Igor'!$B$6:$B$300,$A430,'Igor'!$F$6:$F$300,"Concluído"))&amp;" / "&amp;(COUNTIF('Clarice'!$B$6:$B$300,$A430)+COUNTIF('Luisa'!$B$6:$B$300,$A430)+COUNTIF('Lui'!$B$6:$B$300,$A430)+COUNTIF('Thaís'!$B$6:$B$300,$A430)+COUNTIF('Daniel'!$B$6:$B$300,$A430)+COUNTIF('Fernando'!$B$6:$B$300,$A430)+COUNTIF('Stephanie'!$B$6:$B$300,$A430)+COUNTIF('Fox'!$B$6:$B$300,$A430)+COUNTIF('Bruna'!$B$6:$B$300,$A430)+COUNTIF('Stella'!$B$6:$B$300,$A430)+COUNTIF('Igor'!$B$6:$B$300,$A430)))</f>
        <v/>
      </c>
      <c r="P430" s="25">
        <f>IF($A430="","",IF(M430&lt;&gt;"",M430,IF(K430&lt;&gt;"",K430,"")))</f>
        <v/>
      </c>
      <c r="Q430" s="25">
        <f>IF($A430="","",IF(N430&lt;&gt;"",N430,IF(L430&lt;&gt;"",L430,"")))</f>
        <v/>
      </c>
      <c r="S430" s="23">
        <f t="array" ref="S430">IF($A430="","",_xlfn.TEXTJOIN(CHAR(10),TRUE,IF('Clarice'!$B$6:$B$300=$A430,"Clarice"&amp;IF('Clarice'!$E$6:$E$300="",""," : "&amp;'Clarice'!$E$6:$E$300)&amp;" ["&amp;'Clarice'!$F$6:$F$300&amp;"]",""),IF('Luisa'!$B$6:$B$300=$A430,"Luisa"&amp;IF('Luisa'!$E$6:$E$300="",""," : "&amp;'Luisa'!$E$6:$E$300)&amp;" ["&amp;'Luisa'!$F$6:$F$300&amp;"]",""),IF('Lui'!$B$6:$B$300=$A430,"Lui"&amp;IF('Lui'!$E$6:$E$300="",""," : "&amp;'Lui'!$E$6:$E$300)&amp;" ["&amp;'Lui'!$F$6:$F$300&amp;"]",""),IF('Thaís'!$B$6:$B$300=$A430,"Thaís"&amp;IF('Thaís'!$E$6:$E$300="",""," : "&amp;'Thaís'!$E$6:$E$300)&amp;" ["&amp;'Thaís'!$F$6:$F$300&amp;"]",""),IF('Daniel'!$B$6:$B$300=$A430,"Daniel"&amp;IF('Daniel'!$E$6:$E$300="",""," : "&amp;'Daniel'!$E$6:$E$300)&amp;" ["&amp;'Daniel'!$F$6:$F$300&amp;"]",""),IF('Fernando'!$B$6:$B$300=$A430,"Fernando"&amp;IF('Fernando'!$E$6:$E$300="",""," : "&amp;'Fernando'!$E$6:$E$300)&amp;" ["&amp;'Fernando'!$F$6:$F$300&amp;"]",""),IF('Stephanie'!$B$6:$B$300=$A430,"Stephanie"&amp;IF('Stephanie'!$E$6:$E$300="",""," : "&amp;'Stephanie'!$E$6:$E$300)&amp;" ["&amp;'Stephanie'!$F$6:$F$300&amp;"]",""),IF('Fox'!$B$6:$B$300=$A430,"Fox"&amp;IF('Fox'!$E$6:$E$300="",""," : "&amp;'Fox'!$E$6:$E$300)&amp;" ["&amp;'Fox'!$F$6:$F$300&amp;"]",""),IF('Bruna'!$B$6:$B$300=$A430,"Bruna"&amp;IF('Bruna'!$E$6:$E$300="",""," : "&amp;'Bruna'!$E$6:$E$300)&amp;" ["&amp;'Bruna'!$F$6:$F$300&amp;"]",""),IF('Stella'!$B$6:$B$300=$A430,"Stella"&amp;IF('Stella'!$E$6:$E$300="",""," : "&amp;'Stella'!$E$6:$E$300)&amp;" ["&amp;'Stella'!$F$6:$F$300&amp;"]",""),IF('Igor'!$B$6:$B$300=$A430,"Igor"&amp;IF('Igor'!$E$6:$E$300="",""," : "&amp;'Igor'!$E$6:$E$300)&amp;" ["&amp;'Igor'!$F$6:$F$300&amp;"]","")))</f>
        <v/>
      </c>
    </row>
    <row r="431">
      <c r="G431" s="23">
        <f>IF($A431="","",_xlfn.TEXTJOIN("; ",TRUE,IF(COUNTIF('Clarice'!$B$6:$B$300,$A431)&gt;0,"Clarice",""),IF(COUNTIF('Luisa'!$B$6:$B$300,$A431)&gt;0,"Luisa",""),IF(COUNTIF('Lui'!$B$6:$B$300,$A431)&gt;0,"Lui",""),IF(COUNTIF('Thaís'!$B$6:$B$300,$A431)&gt;0,"Thaís",""),IF(COUNTIF('Daniel'!$B$6:$B$300,$A431)&gt;0,"Daniel",""),IF(COUNTIF('Fernando'!$B$6:$B$300,$A431)&gt;0,"Fernando",""),IF(COUNTIF('Stephanie'!$B$6:$B$300,$A431)&gt;0,"Stephanie",""),IF(COUNTIF('Fox'!$B$6:$B$300,$A431)&gt;0,"Fox",""),IF(COUNTIF('Bruna'!$B$6:$B$300,$A431)&gt;0,"Bruna",""),IF(COUNTIF('Stella'!$B$6:$B$300,$A431)&gt;0,"Stella",""),IF(COUNTIF('Igor'!$B$6:$B$300,$A431)&gt;0,"Igor","")))</f>
        <v/>
      </c>
      <c r="J431" s="24">
        <f>IF(OR($A431="",(COUNTIF('Clarice'!$B$6:$B$300,$A431)+COUNTIF('Luisa'!$B$6:$B$300,$A431)+COUNTIF('Lui'!$B$6:$B$300,$A431)+COUNTIF('Thaís'!$B$6:$B$300,$A431)+COUNTIF('Daniel'!$B$6:$B$300,$A431)+COUNTIF('Fernando'!$B$6:$B$300,$A431)+COUNTIF('Stephanie'!$B$6:$B$300,$A431)+COUNTIF('Fox'!$B$6:$B$300,$A431)+COUNTIF('Bruna'!$B$6:$B$300,$A431)+COUNTIF('Stella'!$B$6:$B$300,$A431)+COUNTIF('Igor'!$B$6:$B$300,$A431))=0),"",(COUNTIFS('Clarice'!$B$6:$B$300,$A431,'Clarice'!$F$6:$F$300,"Concluído")+COUNTIFS('Luisa'!$B$6:$B$300,$A431,'Luisa'!$F$6:$F$300,"Concluído")+COUNTIFS('Lui'!$B$6:$B$300,$A431,'Lui'!$F$6:$F$300,"Concluído")+COUNTIFS('Thaís'!$B$6:$B$300,$A431,'Thaís'!$F$6:$F$300,"Concluído")+COUNTIFS('Daniel'!$B$6:$B$300,$A431,'Daniel'!$F$6:$F$300,"Concluído")+COUNTIFS('Fernando'!$B$6:$B$300,$A431,'Fernando'!$F$6:$F$300,"Concluído")+COUNTIFS('Stephanie'!$B$6:$B$300,$A431,'Stephanie'!$F$6:$F$300,"Concluído")+COUNTIFS('Fox'!$B$6:$B$300,$A431,'Fox'!$F$6:$F$300,"Concluído")+COUNTIFS('Bruna'!$B$6:$B$300,$A431,'Bruna'!$F$6:$F$300,"Concluído")+COUNTIFS('Stella'!$B$6:$B$300,$A431,'Stella'!$F$6:$F$300,"Concluído")+COUNTIFS('Igor'!$B$6:$B$300,$A431,'Igor'!$F$6:$F$300,"Concluído"))&amp;" / "&amp;(COUNTIF('Clarice'!$B$6:$B$300,$A431)+COUNTIF('Luisa'!$B$6:$B$300,$A431)+COUNTIF('Lui'!$B$6:$B$300,$A431)+COUNTIF('Thaís'!$B$6:$B$300,$A431)+COUNTIF('Daniel'!$B$6:$B$300,$A431)+COUNTIF('Fernando'!$B$6:$B$300,$A431)+COUNTIF('Stephanie'!$B$6:$B$300,$A431)+COUNTIF('Fox'!$B$6:$B$300,$A431)+COUNTIF('Bruna'!$B$6:$B$300,$A431)+COUNTIF('Stella'!$B$6:$B$300,$A431)+COUNTIF('Igor'!$B$6:$B$300,$A431)))</f>
        <v/>
      </c>
      <c r="P431" s="25">
        <f>IF($A431="","",IF(M431&lt;&gt;"",M431,IF(K431&lt;&gt;"",K431,"")))</f>
        <v/>
      </c>
      <c r="Q431" s="25">
        <f>IF($A431="","",IF(N431&lt;&gt;"",N431,IF(L431&lt;&gt;"",L431,"")))</f>
        <v/>
      </c>
      <c r="S431" s="23">
        <f t="array" ref="S431">IF($A431="","",_xlfn.TEXTJOIN(CHAR(10),TRUE,IF('Clarice'!$B$6:$B$300=$A431,"Clarice"&amp;IF('Clarice'!$E$6:$E$300="",""," : "&amp;'Clarice'!$E$6:$E$300)&amp;" ["&amp;'Clarice'!$F$6:$F$300&amp;"]",""),IF('Luisa'!$B$6:$B$300=$A431,"Luisa"&amp;IF('Luisa'!$E$6:$E$300="",""," : "&amp;'Luisa'!$E$6:$E$300)&amp;" ["&amp;'Luisa'!$F$6:$F$300&amp;"]",""),IF('Lui'!$B$6:$B$300=$A431,"Lui"&amp;IF('Lui'!$E$6:$E$300="",""," : "&amp;'Lui'!$E$6:$E$300)&amp;" ["&amp;'Lui'!$F$6:$F$300&amp;"]",""),IF('Thaís'!$B$6:$B$300=$A431,"Thaís"&amp;IF('Thaís'!$E$6:$E$300="",""," : "&amp;'Thaís'!$E$6:$E$300)&amp;" ["&amp;'Thaís'!$F$6:$F$300&amp;"]",""),IF('Daniel'!$B$6:$B$300=$A431,"Daniel"&amp;IF('Daniel'!$E$6:$E$300="",""," : "&amp;'Daniel'!$E$6:$E$300)&amp;" ["&amp;'Daniel'!$F$6:$F$300&amp;"]",""),IF('Fernando'!$B$6:$B$300=$A431,"Fernando"&amp;IF('Fernando'!$E$6:$E$300="",""," : "&amp;'Fernando'!$E$6:$E$300)&amp;" ["&amp;'Fernando'!$F$6:$F$300&amp;"]",""),IF('Stephanie'!$B$6:$B$300=$A431,"Stephanie"&amp;IF('Stephanie'!$E$6:$E$300="",""," : "&amp;'Stephanie'!$E$6:$E$300)&amp;" ["&amp;'Stephanie'!$F$6:$F$300&amp;"]",""),IF('Fox'!$B$6:$B$300=$A431,"Fox"&amp;IF('Fox'!$E$6:$E$300="",""," : "&amp;'Fox'!$E$6:$E$300)&amp;" ["&amp;'Fox'!$F$6:$F$300&amp;"]",""),IF('Bruna'!$B$6:$B$300=$A431,"Bruna"&amp;IF('Bruna'!$E$6:$E$300="",""," : "&amp;'Bruna'!$E$6:$E$300)&amp;" ["&amp;'Bruna'!$F$6:$F$300&amp;"]",""),IF('Stella'!$B$6:$B$300=$A431,"Stella"&amp;IF('Stella'!$E$6:$E$300="",""," : "&amp;'Stella'!$E$6:$E$300)&amp;" ["&amp;'Stella'!$F$6:$F$300&amp;"]",""),IF('Igor'!$B$6:$B$300=$A431,"Igor"&amp;IF('Igor'!$E$6:$E$300="",""," : "&amp;'Igor'!$E$6:$E$300)&amp;" ["&amp;'Igor'!$F$6:$F$300&amp;"]","")))</f>
        <v/>
      </c>
    </row>
    <row r="432">
      <c r="G432" s="23">
        <f>IF($A432="","",_xlfn.TEXTJOIN("; ",TRUE,IF(COUNTIF('Clarice'!$B$6:$B$300,$A432)&gt;0,"Clarice",""),IF(COUNTIF('Luisa'!$B$6:$B$300,$A432)&gt;0,"Luisa",""),IF(COUNTIF('Lui'!$B$6:$B$300,$A432)&gt;0,"Lui",""),IF(COUNTIF('Thaís'!$B$6:$B$300,$A432)&gt;0,"Thaís",""),IF(COUNTIF('Daniel'!$B$6:$B$300,$A432)&gt;0,"Daniel",""),IF(COUNTIF('Fernando'!$B$6:$B$300,$A432)&gt;0,"Fernando",""),IF(COUNTIF('Stephanie'!$B$6:$B$300,$A432)&gt;0,"Stephanie",""),IF(COUNTIF('Fox'!$B$6:$B$300,$A432)&gt;0,"Fox",""),IF(COUNTIF('Bruna'!$B$6:$B$300,$A432)&gt;0,"Bruna",""),IF(COUNTIF('Stella'!$B$6:$B$300,$A432)&gt;0,"Stella",""),IF(COUNTIF('Igor'!$B$6:$B$300,$A432)&gt;0,"Igor","")))</f>
        <v/>
      </c>
      <c r="J432" s="24">
        <f>IF(OR($A432="",(COUNTIF('Clarice'!$B$6:$B$300,$A432)+COUNTIF('Luisa'!$B$6:$B$300,$A432)+COUNTIF('Lui'!$B$6:$B$300,$A432)+COUNTIF('Thaís'!$B$6:$B$300,$A432)+COUNTIF('Daniel'!$B$6:$B$300,$A432)+COUNTIF('Fernando'!$B$6:$B$300,$A432)+COUNTIF('Stephanie'!$B$6:$B$300,$A432)+COUNTIF('Fox'!$B$6:$B$300,$A432)+COUNTIF('Bruna'!$B$6:$B$300,$A432)+COUNTIF('Stella'!$B$6:$B$300,$A432)+COUNTIF('Igor'!$B$6:$B$300,$A432))=0),"",(COUNTIFS('Clarice'!$B$6:$B$300,$A432,'Clarice'!$F$6:$F$300,"Concluído")+COUNTIFS('Luisa'!$B$6:$B$300,$A432,'Luisa'!$F$6:$F$300,"Concluído")+COUNTIFS('Lui'!$B$6:$B$300,$A432,'Lui'!$F$6:$F$300,"Concluído")+COUNTIFS('Thaís'!$B$6:$B$300,$A432,'Thaís'!$F$6:$F$300,"Concluído")+COUNTIFS('Daniel'!$B$6:$B$300,$A432,'Daniel'!$F$6:$F$300,"Concluído")+COUNTIFS('Fernando'!$B$6:$B$300,$A432,'Fernando'!$F$6:$F$300,"Concluído")+COUNTIFS('Stephanie'!$B$6:$B$300,$A432,'Stephanie'!$F$6:$F$300,"Concluído")+COUNTIFS('Fox'!$B$6:$B$300,$A432,'Fox'!$F$6:$F$300,"Concluído")+COUNTIFS('Bruna'!$B$6:$B$300,$A432,'Bruna'!$F$6:$F$300,"Concluído")+COUNTIFS('Stella'!$B$6:$B$300,$A432,'Stella'!$F$6:$F$300,"Concluído")+COUNTIFS('Igor'!$B$6:$B$300,$A432,'Igor'!$F$6:$F$300,"Concluído"))&amp;" / "&amp;(COUNTIF('Clarice'!$B$6:$B$300,$A432)+COUNTIF('Luisa'!$B$6:$B$300,$A432)+COUNTIF('Lui'!$B$6:$B$300,$A432)+COUNTIF('Thaís'!$B$6:$B$300,$A432)+COUNTIF('Daniel'!$B$6:$B$300,$A432)+COUNTIF('Fernando'!$B$6:$B$300,$A432)+COUNTIF('Stephanie'!$B$6:$B$300,$A432)+COUNTIF('Fox'!$B$6:$B$300,$A432)+COUNTIF('Bruna'!$B$6:$B$300,$A432)+COUNTIF('Stella'!$B$6:$B$300,$A432)+COUNTIF('Igor'!$B$6:$B$300,$A432)))</f>
        <v/>
      </c>
      <c r="P432" s="25">
        <f>IF($A432="","",IF(M432&lt;&gt;"",M432,IF(K432&lt;&gt;"",K432,"")))</f>
        <v/>
      </c>
      <c r="Q432" s="25">
        <f>IF($A432="","",IF(N432&lt;&gt;"",N432,IF(L432&lt;&gt;"",L432,"")))</f>
        <v/>
      </c>
      <c r="S432" s="23">
        <f t="array" ref="S432">IF($A432="","",_xlfn.TEXTJOIN(CHAR(10),TRUE,IF('Clarice'!$B$6:$B$300=$A432,"Clarice"&amp;IF('Clarice'!$E$6:$E$300="",""," : "&amp;'Clarice'!$E$6:$E$300)&amp;" ["&amp;'Clarice'!$F$6:$F$300&amp;"]",""),IF('Luisa'!$B$6:$B$300=$A432,"Luisa"&amp;IF('Luisa'!$E$6:$E$300="",""," : "&amp;'Luisa'!$E$6:$E$300)&amp;" ["&amp;'Luisa'!$F$6:$F$300&amp;"]",""),IF('Lui'!$B$6:$B$300=$A432,"Lui"&amp;IF('Lui'!$E$6:$E$300="",""," : "&amp;'Lui'!$E$6:$E$300)&amp;" ["&amp;'Lui'!$F$6:$F$300&amp;"]",""),IF('Thaís'!$B$6:$B$300=$A432,"Thaís"&amp;IF('Thaís'!$E$6:$E$300="",""," : "&amp;'Thaís'!$E$6:$E$300)&amp;" ["&amp;'Thaís'!$F$6:$F$300&amp;"]",""),IF('Daniel'!$B$6:$B$300=$A432,"Daniel"&amp;IF('Daniel'!$E$6:$E$300="",""," : "&amp;'Daniel'!$E$6:$E$300)&amp;" ["&amp;'Daniel'!$F$6:$F$300&amp;"]",""),IF('Fernando'!$B$6:$B$300=$A432,"Fernando"&amp;IF('Fernando'!$E$6:$E$300="",""," : "&amp;'Fernando'!$E$6:$E$300)&amp;" ["&amp;'Fernando'!$F$6:$F$300&amp;"]",""),IF('Stephanie'!$B$6:$B$300=$A432,"Stephanie"&amp;IF('Stephanie'!$E$6:$E$300="",""," : "&amp;'Stephanie'!$E$6:$E$300)&amp;" ["&amp;'Stephanie'!$F$6:$F$300&amp;"]",""),IF('Fox'!$B$6:$B$300=$A432,"Fox"&amp;IF('Fox'!$E$6:$E$300="",""," : "&amp;'Fox'!$E$6:$E$300)&amp;" ["&amp;'Fox'!$F$6:$F$300&amp;"]",""),IF('Bruna'!$B$6:$B$300=$A432,"Bruna"&amp;IF('Bruna'!$E$6:$E$300="",""," : "&amp;'Bruna'!$E$6:$E$300)&amp;" ["&amp;'Bruna'!$F$6:$F$300&amp;"]",""),IF('Stella'!$B$6:$B$300=$A432,"Stella"&amp;IF('Stella'!$E$6:$E$300="",""," : "&amp;'Stella'!$E$6:$E$300)&amp;" ["&amp;'Stella'!$F$6:$F$300&amp;"]",""),IF('Igor'!$B$6:$B$300=$A432,"Igor"&amp;IF('Igor'!$E$6:$E$300="",""," : "&amp;'Igor'!$E$6:$E$300)&amp;" ["&amp;'Igor'!$F$6:$F$300&amp;"]","")))</f>
        <v/>
      </c>
    </row>
    <row r="433">
      <c r="G433" s="23">
        <f>IF($A433="","",_xlfn.TEXTJOIN("; ",TRUE,IF(COUNTIF('Clarice'!$B$6:$B$300,$A433)&gt;0,"Clarice",""),IF(COUNTIF('Luisa'!$B$6:$B$300,$A433)&gt;0,"Luisa",""),IF(COUNTIF('Lui'!$B$6:$B$300,$A433)&gt;0,"Lui",""),IF(COUNTIF('Thaís'!$B$6:$B$300,$A433)&gt;0,"Thaís",""),IF(COUNTIF('Daniel'!$B$6:$B$300,$A433)&gt;0,"Daniel",""),IF(COUNTIF('Fernando'!$B$6:$B$300,$A433)&gt;0,"Fernando",""),IF(COUNTIF('Stephanie'!$B$6:$B$300,$A433)&gt;0,"Stephanie",""),IF(COUNTIF('Fox'!$B$6:$B$300,$A433)&gt;0,"Fox",""),IF(COUNTIF('Bruna'!$B$6:$B$300,$A433)&gt;0,"Bruna",""),IF(COUNTIF('Stella'!$B$6:$B$300,$A433)&gt;0,"Stella",""),IF(COUNTIF('Igor'!$B$6:$B$300,$A433)&gt;0,"Igor","")))</f>
        <v/>
      </c>
      <c r="J433" s="24">
        <f>IF(OR($A433="",(COUNTIF('Clarice'!$B$6:$B$300,$A433)+COUNTIF('Luisa'!$B$6:$B$300,$A433)+COUNTIF('Lui'!$B$6:$B$300,$A433)+COUNTIF('Thaís'!$B$6:$B$300,$A433)+COUNTIF('Daniel'!$B$6:$B$300,$A433)+COUNTIF('Fernando'!$B$6:$B$300,$A433)+COUNTIF('Stephanie'!$B$6:$B$300,$A433)+COUNTIF('Fox'!$B$6:$B$300,$A433)+COUNTIF('Bruna'!$B$6:$B$300,$A433)+COUNTIF('Stella'!$B$6:$B$300,$A433)+COUNTIF('Igor'!$B$6:$B$300,$A433))=0),"",(COUNTIFS('Clarice'!$B$6:$B$300,$A433,'Clarice'!$F$6:$F$300,"Concluído")+COUNTIFS('Luisa'!$B$6:$B$300,$A433,'Luisa'!$F$6:$F$300,"Concluído")+COUNTIFS('Lui'!$B$6:$B$300,$A433,'Lui'!$F$6:$F$300,"Concluído")+COUNTIFS('Thaís'!$B$6:$B$300,$A433,'Thaís'!$F$6:$F$300,"Concluído")+COUNTIFS('Daniel'!$B$6:$B$300,$A433,'Daniel'!$F$6:$F$300,"Concluído")+COUNTIFS('Fernando'!$B$6:$B$300,$A433,'Fernando'!$F$6:$F$300,"Concluído")+COUNTIFS('Stephanie'!$B$6:$B$300,$A433,'Stephanie'!$F$6:$F$300,"Concluído")+COUNTIFS('Fox'!$B$6:$B$300,$A433,'Fox'!$F$6:$F$300,"Concluído")+COUNTIFS('Bruna'!$B$6:$B$300,$A433,'Bruna'!$F$6:$F$300,"Concluído")+COUNTIFS('Stella'!$B$6:$B$300,$A433,'Stella'!$F$6:$F$300,"Concluído")+COUNTIFS('Igor'!$B$6:$B$300,$A433,'Igor'!$F$6:$F$300,"Concluído"))&amp;" / "&amp;(COUNTIF('Clarice'!$B$6:$B$300,$A433)+COUNTIF('Luisa'!$B$6:$B$300,$A433)+COUNTIF('Lui'!$B$6:$B$300,$A433)+COUNTIF('Thaís'!$B$6:$B$300,$A433)+COUNTIF('Daniel'!$B$6:$B$300,$A433)+COUNTIF('Fernando'!$B$6:$B$300,$A433)+COUNTIF('Stephanie'!$B$6:$B$300,$A433)+COUNTIF('Fox'!$B$6:$B$300,$A433)+COUNTIF('Bruna'!$B$6:$B$300,$A433)+COUNTIF('Stella'!$B$6:$B$300,$A433)+COUNTIF('Igor'!$B$6:$B$300,$A433)))</f>
        <v/>
      </c>
      <c r="P433" s="25">
        <f>IF($A433="","",IF(M433&lt;&gt;"",M433,IF(K433&lt;&gt;"",K433,"")))</f>
        <v/>
      </c>
      <c r="Q433" s="25">
        <f>IF($A433="","",IF(N433&lt;&gt;"",N433,IF(L433&lt;&gt;"",L433,"")))</f>
        <v/>
      </c>
      <c r="S433" s="23">
        <f t="array" ref="S433">IF($A433="","",_xlfn.TEXTJOIN(CHAR(10),TRUE,IF('Clarice'!$B$6:$B$300=$A433,"Clarice"&amp;IF('Clarice'!$E$6:$E$300="",""," : "&amp;'Clarice'!$E$6:$E$300)&amp;" ["&amp;'Clarice'!$F$6:$F$300&amp;"]",""),IF('Luisa'!$B$6:$B$300=$A433,"Luisa"&amp;IF('Luisa'!$E$6:$E$300="",""," : "&amp;'Luisa'!$E$6:$E$300)&amp;" ["&amp;'Luisa'!$F$6:$F$300&amp;"]",""),IF('Lui'!$B$6:$B$300=$A433,"Lui"&amp;IF('Lui'!$E$6:$E$300="",""," : "&amp;'Lui'!$E$6:$E$300)&amp;" ["&amp;'Lui'!$F$6:$F$300&amp;"]",""),IF('Thaís'!$B$6:$B$300=$A433,"Thaís"&amp;IF('Thaís'!$E$6:$E$300="",""," : "&amp;'Thaís'!$E$6:$E$300)&amp;" ["&amp;'Thaís'!$F$6:$F$300&amp;"]",""),IF('Daniel'!$B$6:$B$300=$A433,"Daniel"&amp;IF('Daniel'!$E$6:$E$300="",""," : "&amp;'Daniel'!$E$6:$E$300)&amp;" ["&amp;'Daniel'!$F$6:$F$300&amp;"]",""),IF('Fernando'!$B$6:$B$300=$A433,"Fernando"&amp;IF('Fernando'!$E$6:$E$300="",""," : "&amp;'Fernando'!$E$6:$E$300)&amp;" ["&amp;'Fernando'!$F$6:$F$300&amp;"]",""),IF('Stephanie'!$B$6:$B$300=$A433,"Stephanie"&amp;IF('Stephanie'!$E$6:$E$300="",""," : "&amp;'Stephanie'!$E$6:$E$300)&amp;" ["&amp;'Stephanie'!$F$6:$F$300&amp;"]",""),IF('Fox'!$B$6:$B$300=$A433,"Fox"&amp;IF('Fox'!$E$6:$E$300="",""," : "&amp;'Fox'!$E$6:$E$300)&amp;" ["&amp;'Fox'!$F$6:$F$300&amp;"]",""),IF('Bruna'!$B$6:$B$300=$A433,"Bruna"&amp;IF('Bruna'!$E$6:$E$300="",""," : "&amp;'Bruna'!$E$6:$E$300)&amp;" ["&amp;'Bruna'!$F$6:$F$300&amp;"]",""),IF('Stella'!$B$6:$B$300=$A433,"Stella"&amp;IF('Stella'!$E$6:$E$300="",""," : "&amp;'Stella'!$E$6:$E$300)&amp;" ["&amp;'Stella'!$F$6:$F$300&amp;"]",""),IF('Igor'!$B$6:$B$300=$A433,"Igor"&amp;IF('Igor'!$E$6:$E$300="",""," : "&amp;'Igor'!$E$6:$E$300)&amp;" ["&amp;'Igor'!$F$6:$F$300&amp;"]","")))</f>
        <v/>
      </c>
    </row>
    <row r="434">
      <c r="G434" s="23">
        <f>IF($A434="","",_xlfn.TEXTJOIN("; ",TRUE,IF(COUNTIF('Clarice'!$B$6:$B$300,$A434)&gt;0,"Clarice",""),IF(COUNTIF('Luisa'!$B$6:$B$300,$A434)&gt;0,"Luisa",""),IF(COUNTIF('Lui'!$B$6:$B$300,$A434)&gt;0,"Lui",""),IF(COUNTIF('Thaís'!$B$6:$B$300,$A434)&gt;0,"Thaís",""),IF(COUNTIF('Daniel'!$B$6:$B$300,$A434)&gt;0,"Daniel",""),IF(COUNTIF('Fernando'!$B$6:$B$300,$A434)&gt;0,"Fernando",""),IF(COUNTIF('Stephanie'!$B$6:$B$300,$A434)&gt;0,"Stephanie",""),IF(COUNTIF('Fox'!$B$6:$B$300,$A434)&gt;0,"Fox",""),IF(COUNTIF('Bruna'!$B$6:$B$300,$A434)&gt;0,"Bruna",""),IF(COUNTIF('Stella'!$B$6:$B$300,$A434)&gt;0,"Stella",""),IF(COUNTIF('Igor'!$B$6:$B$300,$A434)&gt;0,"Igor","")))</f>
        <v/>
      </c>
      <c r="J434" s="24">
        <f>IF(OR($A434="",(COUNTIF('Clarice'!$B$6:$B$300,$A434)+COUNTIF('Luisa'!$B$6:$B$300,$A434)+COUNTIF('Lui'!$B$6:$B$300,$A434)+COUNTIF('Thaís'!$B$6:$B$300,$A434)+COUNTIF('Daniel'!$B$6:$B$300,$A434)+COUNTIF('Fernando'!$B$6:$B$300,$A434)+COUNTIF('Stephanie'!$B$6:$B$300,$A434)+COUNTIF('Fox'!$B$6:$B$300,$A434)+COUNTIF('Bruna'!$B$6:$B$300,$A434)+COUNTIF('Stella'!$B$6:$B$300,$A434)+COUNTIF('Igor'!$B$6:$B$300,$A434))=0),"",(COUNTIFS('Clarice'!$B$6:$B$300,$A434,'Clarice'!$F$6:$F$300,"Concluído")+COUNTIFS('Luisa'!$B$6:$B$300,$A434,'Luisa'!$F$6:$F$300,"Concluído")+COUNTIFS('Lui'!$B$6:$B$300,$A434,'Lui'!$F$6:$F$300,"Concluído")+COUNTIFS('Thaís'!$B$6:$B$300,$A434,'Thaís'!$F$6:$F$300,"Concluído")+COUNTIFS('Daniel'!$B$6:$B$300,$A434,'Daniel'!$F$6:$F$300,"Concluído")+COUNTIFS('Fernando'!$B$6:$B$300,$A434,'Fernando'!$F$6:$F$300,"Concluído")+COUNTIFS('Stephanie'!$B$6:$B$300,$A434,'Stephanie'!$F$6:$F$300,"Concluído")+COUNTIFS('Fox'!$B$6:$B$300,$A434,'Fox'!$F$6:$F$300,"Concluído")+COUNTIFS('Bruna'!$B$6:$B$300,$A434,'Bruna'!$F$6:$F$300,"Concluído")+COUNTIFS('Stella'!$B$6:$B$300,$A434,'Stella'!$F$6:$F$300,"Concluído")+COUNTIFS('Igor'!$B$6:$B$300,$A434,'Igor'!$F$6:$F$300,"Concluído"))&amp;" / "&amp;(COUNTIF('Clarice'!$B$6:$B$300,$A434)+COUNTIF('Luisa'!$B$6:$B$300,$A434)+COUNTIF('Lui'!$B$6:$B$300,$A434)+COUNTIF('Thaís'!$B$6:$B$300,$A434)+COUNTIF('Daniel'!$B$6:$B$300,$A434)+COUNTIF('Fernando'!$B$6:$B$300,$A434)+COUNTIF('Stephanie'!$B$6:$B$300,$A434)+COUNTIF('Fox'!$B$6:$B$300,$A434)+COUNTIF('Bruna'!$B$6:$B$300,$A434)+COUNTIF('Stella'!$B$6:$B$300,$A434)+COUNTIF('Igor'!$B$6:$B$300,$A434)))</f>
        <v/>
      </c>
      <c r="P434" s="25">
        <f>IF($A434="","",IF(M434&lt;&gt;"",M434,IF(K434&lt;&gt;"",K434,"")))</f>
        <v/>
      </c>
      <c r="Q434" s="25">
        <f>IF($A434="","",IF(N434&lt;&gt;"",N434,IF(L434&lt;&gt;"",L434,"")))</f>
        <v/>
      </c>
      <c r="S434" s="23">
        <f t="array" ref="S434">IF($A434="","",_xlfn.TEXTJOIN(CHAR(10),TRUE,IF('Clarice'!$B$6:$B$300=$A434,"Clarice"&amp;IF('Clarice'!$E$6:$E$300="",""," : "&amp;'Clarice'!$E$6:$E$300)&amp;" ["&amp;'Clarice'!$F$6:$F$300&amp;"]",""),IF('Luisa'!$B$6:$B$300=$A434,"Luisa"&amp;IF('Luisa'!$E$6:$E$300="",""," : "&amp;'Luisa'!$E$6:$E$300)&amp;" ["&amp;'Luisa'!$F$6:$F$300&amp;"]",""),IF('Lui'!$B$6:$B$300=$A434,"Lui"&amp;IF('Lui'!$E$6:$E$300="",""," : "&amp;'Lui'!$E$6:$E$300)&amp;" ["&amp;'Lui'!$F$6:$F$300&amp;"]",""),IF('Thaís'!$B$6:$B$300=$A434,"Thaís"&amp;IF('Thaís'!$E$6:$E$300="",""," : "&amp;'Thaís'!$E$6:$E$300)&amp;" ["&amp;'Thaís'!$F$6:$F$300&amp;"]",""),IF('Daniel'!$B$6:$B$300=$A434,"Daniel"&amp;IF('Daniel'!$E$6:$E$300="",""," : "&amp;'Daniel'!$E$6:$E$300)&amp;" ["&amp;'Daniel'!$F$6:$F$300&amp;"]",""),IF('Fernando'!$B$6:$B$300=$A434,"Fernando"&amp;IF('Fernando'!$E$6:$E$300="",""," : "&amp;'Fernando'!$E$6:$E$300)&amp;" ["&amp;'Fernando'!$F$6:$F$300&amp;"]",""),IF('Stephanie'!$B$6:$B$300=$A434,"Stephanie"&amp;IF('Stephanie'!$E$6:$E$300="",""," : "&amp;'Stephanie'!$E$6:$E$300)&amp;" ["&amp;'Stephanie'!$F$6:$F$300&amp;"]",""),IF('Fox'!$B$6:$B$300=$A434,"Fox"&amp;IF('Fox'!$E$6:$E$300="",""," : "&amp;'Fox'!$E$6:$E$300)&amp;" ["&amp;'Fox'!$F$6:$F$300&amp;"]",""),IF('Bruna'!$B$6:$B$300=$A434,"Bruna"&amp;IF('Bruna'!$E$6:$E$300="",""," : "&amp;'Bruna'!$E$6:$E$300)&amp;" ["&amp;'Bruna'!$F$6:$F$300&amp;"]",""),IF('Stella'!$B$6:$B$300=$A434,"Stella"&amp;IF('Stella'!$E$6:$E$300="",""," : "&amp;'Stella'!$E$6:$E$300)&amp;" ["&amp;'Stella'!$F$6:$F$300&amp;"]",""),IF('Igor'!$B$6:$B$300=$A434,"Igor"&amp;IF('Igor'!$E$6:$E$300="",""," : "&amp;'Igor'!$E$6:$E$300)&amp;" ["&amp;'Igor'!$F$6:$F$300&amp;"]","")))</f>
        <v/>
      </c>
    </row>
    <row r="435">
      <c r="G435" s="23">
        <f>IF($A435="","",_xlfn.TEXTJOIN("; ",TRUE,IF(COUNTIF('Clarice'!$B$6:$B$300,$A435)&gt;0,"Clarice",""),IF(COUNTIF('Luisa'!$B$6:$B$300,$A435)&gt;0,"Luisa",""),IF(COUNTIF('Lui'!$B$6:$B$300,$A435)&gt;0,"Lui",""),IF(COUNTIF('Thaís'!$B$6:$B$300,$A435)&gt;0,"Thaís",""),IF(COUNTIF('Daniel'!$B$6:$B$300,$A435)&gt;0,"Daniel",""),IF(COUNTIF('Fernando'!$B$6:$B$300,$A435)&gt;0,"Fernando",""),IF(COUNTIF('Stephanie'!$B$6:$B$300,$A435)&gt;0,"Stephanie",""),IF(COUNTIF('Fox'!$B$6:$B$300,$A435)&gt;0,"Fox",""),IF(COUNTIF('Bruna'!$B$6:$B$300,$A435)&gt;0,"Bruna",""),IF(COUNTIF('Stella'!$B$6:$B$300,$A435)&gt;0,"Stella",""),IF(COUNTIF('Igor'!$B$6:$B$300,$A435)&gt;0,"Igor","")))</f>
        <v/>
      </c>
      <c r="J435" s="24">
        <f>IF(OR($A435="",(COUNTIF('Clarice'!$B$6:$B$300,$A435)+COUNTIF('Luisa'!$B$6:$B$300,$A435)+COUNTIF('Lui'!$B$6:$B$300,$A435)+COUNTIF('Thaís'!$B$6:$B$300,$A435)+COUNTIF('Daniel'!$B$6:$B$300,$A435)+COUNTIF('Fernando'!$B$6:$B$300,$A435)+COUNTIF('Stephanie'!$B$6:$B$300,$A435)+COUNTIF('Fox'!$B$6:$B$300,$A435)+COUNTIF('Bruna'!$B$6:$B$300,$A435)+COUNTIF('Stella'!$B$6:$B$300,$A435)+COUNTIF('Igor'!$B$6:$B$300,$A435))=0),"",(COUNTIFS('Clarice'!$B$6:$B$300,$A435,'Clarice'!$F$6:$F$300,"Concluído")+COUNTIFS('Luisa'!$B$6:$B$300,$A435,'Luisa'!$F$6:$F$300,"Concluído")+COUNTIFS('Lui'!$B$6:$B$300,$A435,'Lui'!$F$6:$F$300,"Concluído")+COUNTIFS('Thaís'!$B$6:$B$300,$A435,'Thaís'!$F$6:$F$300,"Concluído")+COUNTIFS('Daniel'!$B$6:$B$300,$A435,'Daniel'!$F$6:$F$300,"Concluído")+COUNTIFS('Fernando'!$B$6:$B$300,$A435,'Fernando'!$F$6:$F$300,"Concluído")+COUNTIFS('Stephanie'!$B$6:$B$300,$A435,'Stephanie'!$F$6:$F$300,"Concluído")+COUNTIFS('Fox'!$B$6:$B$300,$A435,'Fox'!$F$6:$F$300,"Concluído")+COUNTIFS('Bruna'!$B$6:$B$300,$A435,'Bruna'!$F$6:$F$300,"Concluído")+COUNTIFS('Stella'!$B$6:$B$300,$A435,'Stella'!$F$6:$F$300,"Concluído")+COUNTIFS('Igor'!$B$6:$B$300,$A435,'Igor'!$F$6:$F$300,"Concluído"))&amp;" / "&amp;(COUNTIF('Clarice'!$B$6:$B$300,$A435)+COUNTIF('Luisa'!$B$6:$B$300,$A435)+COUNTIF('Lui'!$B$6:$B$300,$A435)+COUNTIF('Thaís'!$B$6:$B$300,$A435)+COUNTIF('Daniel'!$B$6:$B$300,$A435)+COUNTIF('Fernando'!$B$6:$B$300,$A435)+COUNTIF('Stephanie'!$B$6:$B$300,$A435)+COUNTIF('Fox'!$B$6:$B$300,$A435)+COUNTIF('Bruna'!$B$6:$B$300,$A435)+COUNTIF('Stella'!$B$6:$B$300,$A435)+COUNTIF('Igor'!$B$6:$B$300,$A435)))</f>
        <v/>
      </c>
      <c r="P435" s="25">
        <f>IF($A435="","",IF(M435&lt;&gt;"",M435,IF(K435&lt;&gt;"",K435,"")))</f>
        <v/>
      </c>
      <c r="Q435" s="25">
        <f>IF($A435="","",IF(N435&lt;&gt;"",N435,IF(L435&lt;&gt;"",L435,"")))</f>
        <v/>
      </c>
      <c r="S435" s="23">
        <f t="array" ref="S435">IF($A435="","",_xlfn.TEXTJOIN(CHAR(10),TRUE,IF('Clarice'!$B$6:$B$300=$A435,"Clarice"&amp;IF('Clarice'!$E$6:$E$300="",""," : "&amp;'Clarice'!$E$6:$E$300)&amp;" ["&amp;'Clarice'!$F$6:$F$300&amp;"]",""),IF('Luisa'!$B$6:$B$300=$A435,"Luisa"&amp;IF('Luisa'!$E$6:$E$300="",""," : "&amp;'Luisa'!$E$6:$E$300)&amp;" ["&amp;'Luisa'!$F$6:$F$300&amp;"]",""),IF('Lui'!$B$6:$B$300=$A435,"Lui"&amp;IF('Lui'!$E$6:$E$300="",""," : "&amp;'Lui'!$E$6:$E$300)&amp;" ["&amp;'Lui'!$F$6:$F$300&amp;"]",""),IF('Thaís'!$B$6:$B$300=$A435,"Thaís"&amp;IF('Thaís'!$E$6:$E$300="",""," : "&amp;'Thaís'!$E$6:$E$300)&amp;" ["&amp;'Thaís'!$F$6:$F$300&amp;"]",""),IF('Daniel'!$B$6:$B$300=$A435,"Daniel"&amp;IF('Daniel'!$E$6:$E$300="",""," : "&amp;'Daniel'!$E$6:$E$300)&amp;" ["&amp;'Daniel'!$F$6:$F$300&amp;"]",""),IF('Fernando'!$B$6:$B$300=$A435,"Fernando"&amp;IF('Fernando'!$E$6:$E$300="",""," : "&amp;'Fernando'!$E$6:$E$300)&amp;" ["&amp;'Fernando'!$F$6:$F$300&amp;"]",""),IF('Stephanie'!$B$6:$B$300=$A435,"Stephanie"&amp;IF('Stephanie'!$E$6:$E$300="",""," : "&amp;'Stephanie'!$E$6:$E$300)&amp;" ["&amp;'Stephanie'!$F$6:$F$300&amp;"]",""),IF('Fox'!$B$6:$B$300=$A435,"Fox"&amp;IF('Fox'!$E$6:$E$300="",""," : "&amp;'Fox'!$E$6:$E$300)&amp;" ["&amp;'Fox'!$F$6:$F$300&amp;"]",""),IF('Bruna'!$B$6:$B$300=$A435,"Bruna"&amp;IF('Bruna'!$E$6:$E$300="",""," : "&amp;'Bruna'!$E$6:$E$300)&amp;" ["&amp;'Bruna'!$F$6:$F$300&amp;"]",""),IF('Stella'!$B$6:$B$300=$A435,"Stella"&amp;IF('Stella'!$E$6:$E$300="",""," : "&amp;'Stella'!$E$6:$E$300)&amp;" ["&amp;'Stella'!$F$6:$F$300&amp;"]",""),IF('Igor'!$B$6:$B$300=$A435,"Igor"&amp;IF('Igor'!$E$6:$E$300="",""," : "&amp;'Igor'!$E$6:$E$300)&amp;" ["&amp;'Igor'!$F$6:$F$300&amp;"]","")))</f>
        <v/>
      </c>
    </row>
    <row r="436">
      <c r="G436" s="23">
        <f>IF($A436="","",_xlfn.TEXTJOIN("; ",TRUE,IF(COUNTIF('Clarice'!$B$6:$B$300,$A436)&gt;0,"Clarice",""),IF(COUNTIF('Luisa'!$B$6:$B$300,$A436)&gt;0,"Luisa",""),IF(COUNTIF('Lui'!$B$6:$B$300,$A436)&gt;0,"Lui",""),IF(COUNTIF('Thaís'!$B$6:$B$300,$A436)&gt;0,"Thaís",""),IF(COUNTIF('Daniel'!$B$6:$B$300,$A436)&gt;0,"Daniel",""),IF(COUNTIF('Fernando'!$B$6:$B$300,$A436)&gt;0,"Fernando",""),IF(COUNTIF('Stephanie'!$B$6:$B$300,$A436)&gt;0,"Stephanie",""),IF(COUNTIF('Fox'!$B$6:$B$300,$A436)&gt;0,"Fox",""),IF(COUNTIF('Bruna'!$B$6:$B$300,$A436)&gt;0,"Bruna",""),IF(COUNTIF('Stella'!$B$6:$B$300,$A436)&gt;0,"Stella",""),IF(COUNTIF('Igor'!$B$6:$B$300,$A436)&gt;0,"Igor","")))</f>
        <v/>
      </c>
      <c r="J436" s="24">
        <f>IF(OR($A436="",(COUNTIF('Clarice'!$B$6:$B$300,$A436)+COUNTIF('Luisa'!$B$6:$B$300,$A436)+COUNTIF('Lui'!$B$6:$B$300,$A436)+COUNTIF('Thaís'!$B$6:$B$300,$A436)+COUNTIF('Daniel'!$B$6:$B$300,$A436)+COUNTIF('Fernando'!$B$6:$B$300,$A436)+COUNTIF('Stephanie'!$B$6:$B$300,$A436)+COUNTIF('Fox'!$B$6:$B$300,$A436)+COUNTIF('Bruna'!$B$6:$B$300,$A436)+COUNTIF('Stella'!$B$6:$B$300,$A436)+COUNTIF('Igor'!$B$6:$B$300,$A436))=0),"",(COUNTIFS('Clarice'!$B$6:$B$300,$A436,'Clarice'!$F$6:$F$300,"Concluído")+COUNTIFS('Luisa'!$B$6:$B$300,$A436,'Luisa'!$F$6:$F$300,"Concluído")+COUNTIFS('Lui'!$B$6:$B$300,$A436,'Lui'!$F$6:$F$300,"Concluído")+COUNTIFS('Thaís'!$B$6:$B$300,$A436,'Thaís'!$F$6:$F$300,"Concluído")+COUNTIFS('Daniel'!$B$6:$B$300,$A436,'Daniel'!$F$6:$F$300,"Concluído")+COUNTIFS('Fernando'!$B$6:$B$300,$A436,'Fernando'!$F$6:$F$300,"Concluído")+COUNTIFS('Stephanie'!$B$6:$B$300,$A436,'Stephanie'!$F$6:$F$300,"Concluído")+COUNTIFS('Fox'!$B$6:$B$300,$A436,'Fox'!$F$6:$F$300,"Concluído")+COUNTIFS('Bruna'!$B$6:$B$300,$A436,'Bruna'!$F$6:$F$300,"Concluído")+COUNTIFS('Stella'!$B$6:$B$300,$A436,'Stella'!$F$6:$F$300,"Concluído")+COUNTIFS('Igor'!$B$6:$B$300,$A436,'Igor'!$F$6:$F$300,"Concluído"))&amp;" / "&amp;(COUNTIF('Clarice'!$B$6:$B$300,$A436)+COUNTIF('Luisa'!$B$6:$B$300,$A436)+COUNTIF('Lui'!$B$6:$B$300,$A436)+COUNTIF('Thaís'!$B$6:$B$300,$A436)+COUNTIF('Daniel'!$B$6:$B$300,$A436)+COUNTIF('Fernando'!$B$6:$B$300,$A436)+COUNTIF('Stephanie'!$B$6:$B$300,$A436)+COUNTIF('Fox'!$B$6:$B$300,$A436)+COUNTIF('Bruna'!$B$6:$B$300,$A436)+COUNTIF('Stella'!$B$6:$B$300,$A436)+COUNTIF('Igor'!$B$6:$B$300,$A436)))</f>
        <v/>
      </c>
      <c r="P436" s="25">
        <f>IF($A436="","",IF(M436&lt;&gt;"",M436,IF(K436&lt;&gt;"",K436,"")))</f>
        <v/>
      </c>
      <c r="Q436" s="25">
        <f>IF($A436="","",IF(N436&lt;&gt;"",N436,IF(L436&lt;&gt;"",L436,"")))</f>
        <v/>
      </c>
      <c r="S436" s="23">
        <f t="array" ref="S436">IF($A436="","",_xlfn.TEXTJOIN(CHAR(10),TRUE,IF('Clarice'!$B$6:$B$300=$A436,"Clarice"&amp;IF('Clarice'!$E$6:$E$300="",""," : "&amp;'Clarice'!$E$6:$E$300)&amp;" ["&amp;'Clarice'!$F$6:$F$300&amp;"]",""),IF('Luisa'!$B$6:$B$300=$A436,"Luisa"&amp;IF('Luisa'!$E$6:$E$300="",""," : "&amp;'Luisa'!$E$6:$E$300)&amp;" ["&amp;'Luisa'!$F$6:$F$300&amp;"]",""),IF('Lui'!$B$6:$B$300=$A436,"Lui"&amp;IF('Lui'!$E$6:$E$300="",""," : "&amp;'Lui'!$E$6:$E$300)&amp;" ["&amp;'Lui'!$F$6:$F$300&amp;"]",""),IF('Thaís'!$B$6:$B$300=$A436,"Thaís"&amp;IF('Thaís'!$E$6:$E$300="",""," : "&amp;'Thaís'!$E$6:$E$300)&amp;" ["&amp;'Thaís'!$F$6:$F$300&amp;"]",""),IF('Daniel'!$B$6:$B$300=$A436,"Daniel"&amp;IF('Daniel'!$E$6:$E$300="",""," : "&amp;'Daniel'!$E$6:$E$300)&amp;" ["&amp;'Daniel'!$F$6:$F$300&amp;"]",""),IF('Fernando'!$B$6:$B$300=$A436,"Fernando"&amp;IF('Fernando'!$E$6:$E$300="",""," : "&amp;'Fernando'!$E$6:$E$300)&amp;" ["&amp;'Fernando'!$F$6:$F$300&amp;"]",""),IF('Stephanie'!$B$6:$B$300=$A436,"Stephanie"&amp;IF('Stephanie'!$E$6:$E$300="",""," : "&amp;'Stephanie'!$E$6:$E$300)&amp;" ["&amp;'Stephanie'!$F$6:$F$300&amp;"]",""),IF('Fox'!$B$6:$B$300=$A436,"Fox"&amp;IF('Fox'!$E$6:$E$300="",""," : "&amp;'Fox'!$E$6:$E$300)&amp;" ["&amp;'Fox'!$F$6:$F$300&amp;"]",""),IF('Bruna'!$B$6:$B$300=$A436,"Bruna"&amp;IF('Bruna'!$E$6:$E$300="",""," : "&amp;'Bruna'!$E$6:$E$300)&amp;" ["&amp;'Bruna'!$F$6:$F$300&amp;"]",""),IF('Stella'!$B$6:$B$300=$A436,"Stella"&amp;IF('Stella'!$E$6:$E$300="",""," : "&amp;'Stella'!$E$6:$E$300)&amp;" ["&amp;'Stella'!$F$6:$F$300&amp;"]",""),IF('Igor'!$B$6:$B$300=$A436,"Igor"&amp;IF('Igor'!$E$6:$E$300="",""," : "&amp;'Igor'!$E$6:$E$300)&amp;" ["&amp;'Igor'!$F$6:$F$300&amp;"]","")))</f>
        <v/>
      </c>
    </row>
    <row r="437">
      <c r="G437" s="23">
        <f>IF($A437="","",_xlfn.TEXTJOIN("; ",TRUE,IF(COUNTIF('Clarice'!$B$6:$B$300,$A437)&gt;0,"Clarice",""),IF(COUNTIF('Luisa'!$B$6:$B$300,$A437)&gt;0,"Luisa",""),IF(COUNTIF('Lui'!$B$6:$B$300,$A437)&gt;0,"Lui",""),IF(COUNTIF('Thaís'!$B$6:$B$300,$A437)&gt;0,"Thaís",""),IF(COUNTIF('Daniel'!$B$6:$B$300,$A437)&gt;0,"Daniel",""),IF(COUNTIF('Fernando'!$B$6:$B$300,$A437)&gt;0,"Fernando",""),IF(COUNTIF('Stephanie'!$B$6:$B$300,$A437)&gt;0,"Stephanie",""),IF(COUNTIF('Fox'!$B$6:$B$300,$A437)&gt;0,"Fox",""),IF(COUNTIF('Bruna'!$B$6:$B$300,$A437)&gt;0,"Bruna",""),IF(COUNTIF('Stella'!$B$6:$B$300,$A437)&gt;0,"Stella",""),IF(COUNTIF('Igor'!$B$6:$B$300,$A437)&gt;0,"Igor","")))</f>
        <v/>
      </c>
      <c r="J437" s="24">
        <f>IF(OR($A437="",(COUNTIF('Clarice'!$B$6:$B$300,$A437)+COUNTIF('Luisa'!$B$6:$B$300,$A437)+COUNTIF('Lui'!$B$6:$B$300,$A437)+COUNTIF('Thaís'!$B$6:$B$300,$A437)+COUNTIF('Daniel'!$B$6:$B$300,$A437)+COUNTIF('Fernando'!$B$6:$B$300,$A437)+COUNTIF('Stephanie'!$B$6:$B$300,$A437)+COUNTIF('Fox'!$B$6:$B$300,$A437)+COUNTIF('Bruna'!$B$6:$B$300,$A437)+COUNTIF('Stella'!$B$6:$B$300,$A437)+COUNTIF('Igor'!$B$6:$B$300,$A437))=0),"",(COUNTIFS('Clarice'!$B$6:$B$300,$A437,'Clarice'!$F$6:$F$300,"Concluído")+COUNTIFS('Luisa'!$B$6:$B$300,$A437,'Luisa'!$F$6:$F$300,"Concluído")+COUNTIFS('Lui'!$B$6:$B$300,$A437,'Lui'!$F$6:$F$300,"Concluído")+COUNTIFS('Thaís'!$B$6:$B$300,$A437,'Thaís'!$F$6:$F$300,"Concluído")+COUNTIFS('Daniel'!$B$6:$B$300,$A437,'Daniel'!$F$6:$F$300,"Concluído")+COUNTIFS('Fernando'!$B$6:$B$300,$A437,'Fernando'!$F$6:$F$300,"Concluído")+COUNTIFS('Stephanie'!$B$6:$B$300,$A437,'Stephanie'!$F$6:$F$300,"Concluído")+COUNTIFS('Fox'!$B$6:$B$300,$A437,'Fox'!$F$6:$F$300,"Concluído")+COUNTIFS('Bruna'!$B$6:$B$300,$A437,'Bruna'!$F$6:$F$300,"Concluído")+COUNTIFS('Stella'!$B$6:$B$300,$A437,'Stella'!$F$6:$F$300,"Concluído")+COUNTIFS('Igor'!$B$6:$B$300,$A437,'Igor'!$F$6:$F$300,"Concluído"))&amp;" / "&amp;(COUNTIF('Clarice'!$B$6:$B$300,$A437)+COUNTIF('Luisa'!$B$6:$B$300,$A437)+COUNTIF('Lui'!$B$6:$B$300,$A437)+COUNTIF('Thaís'!$B$6:$B$300,$A437)+COUNTIF('Daniel'!$B$6:$B$300,$A437)+COUNTIF('Fernando'!$B$6:$B$300,$A437)+COUNTIF('Stephanie'!$B$6:$B$300,$A437)+COUNTIF('Fox'!$B$6:$B$300,$A437)+COUNTIF('Bruna'!$B$6:$B$300,$A437)+COUNTIF('Stella'!$B$6:$B$300,$A437)+COUNTIF('Igor'!$B$6:$B$300,$A437)))</f>
        <v/>
      </c>
      <c r="P437" s="25">
        <f>IF($A437="","",IF(M437&lt;&gt;"",M437,IF(K437&lt;&gt;"",K437,"")))</f>
        <v/>
      </c>
      <c r="Q437" s="25">
        <f>IF($A437="","",IF(N437&lt;&gt;"",N437,IF(L437&lt;&gt;"",L437,"")))</f>
        <v/>
      </c>
      <c r="S437" s="23">
        <f t="array" ref="S437">IF($A437="","",_xlfn.TEXTJOIN(CHAR(10),TRUE,IF('Clarice'!$B$6:$B$300=$A437,"Clarice"&amp;IF('Clarice'!$E$6:$E$300="",""," : "&amp;'Clarice'!$E$6:$E$300)&amp;" ["&amp;'Clarice'!$F$6:$F$300&amp;"]",""),IF('Luisa'!$B$6:$B$300=$A437,"Luisa"&amp;IF('Luisa'!$E$6:$E$300="",""," : "&amp;'Luisa'!$E$6:$E$300)&amp;" ["&amp;'Luisa'!$F$6:$F$300&amp;"]",""),IF('Lui'!$B$6:$B$300=$A437,"Lui"&amp;IF('Lui'!$E$6:$E$300="",""," : "&amp;'Lui'!$E$6:$E$300)&amp;" ["&amp;'Lui'!$F$6:$F$300&amp;"]",""),IF('Thaís'!$B$6:$B$300=$A437,"Thaís"&amp;IF('Thaís'!$E$6:$E$300="",""," : "&amp;'Thaís'!$E$6:$E$300)&amp;" ["&amp;'Thaís'!$F$6:$F$300&amp;"]",""),IF('Daniel'!$B$6:$B$300=$A437,"Daniel"&amp;IF('Daniel'!$E$6:$E$300="",""," : "&amp;'Daniel'!$E$6:$E$300)&amp;" ["&amp;'Daniel'!$F$6:$F$300&amp;"]",""),IF('Fernando'!$B$6:$B$300=$A437,"Fernando"&amp;IF('Fernando'!$E$6:$E$300="",""," : "&amp;'Fernando'!$E$6:$E$300)&amp;" ["&amp;'Fernando'!$F$6:$F$300&amp;"]",""),IF('Stephanie'!$B$6:$B$300=$A437,"Stephanie"&amp;IF('Stephanie'!$E$6:$E$300="",""," : "&amp;'Stephanie'!$E$6:$E$300)&amp;" ["&amp;'Stephanie'!$F$6:$F$300&amp;"]",""),IF('Fox'!$B$6:$B$300=$A437,"Fox"&amp;IF('Fox'!$E$6:$E$300="",""," : "&amp;'Fox'!$E$6:$E$300)&amp;" ["&amp;'Fox'!$F$6:$F$300&amp;"]",""),IF('Bruna'!$B$6:$B$300=$A437,"Bruna"&amp;IF('Bruna'!$E$6:$E$300="",""," : "&amp;'Bruna'!$E$6:$E$300)&amp;" ["&amp;'Bruna'!$F$6:$F$300&amp;"]",""),IF('Stella'!$B$6:$B$300=$A437,"Stella"&amp;IF('Stella'!$E$6:$E$300="",""," : "&amp;'Stella'!$E$6:$E$300)&amp;" ["&amp;'Stella'!$F$6:$F$300&amp;"]",""),IF('Igor'!$B$6:$B$300=$A437,"Igor"&amp;IF('Igor'!$E$6:$E$300="",""," : "&amp;'Igor'!$E$6:$E$300)&amp;" ["&amp;'Igor'!$F$6:$F$300&amp;"]","")))</f>
        <v/>
      </c>
    </row>
    <row r="438">
      <c r="G438" s="23">
        <f>IF($A438="","",_xlfn.TEXTJOIN("; ",TRUE,IF(COUNTIF('Clarice'!$B$6:$B$300,$A438)&gt;0,"Clarice",""),IF(COUNTIF('Luisa'!$B$6:$B$300,$A438)&gt;0,"Luisa",""),IF(COUNTIF('Lui'!$B$6:$B$300,$A438)&gt;0,"Lui",""),IF(COUNTIF('Thaís'!$B$6:$B$300,$A438)&gt;0,"Thaís",""),IF(COUNTIF('Daniel'!$B$6:$B$300,$A438)&gt;0,"Daniel",""),IF(COUNTIF('Fernando'!$B$6:$B$300,$A438)&gt;0,"Fernando",""),IF(COUNTIF('Stephanie'!$B$6:$B$300,$A438)&gt;0,"Stephanie",""),IF(COUNTIF('Fox'!$B$6:$B$300,$A438)&gt;0,"Fox",""),IF(COUNTIF('Bruna'!$B$6:$B$300,$A438)&gt;0,"Bruna",""),IF(COUNTIF('Stella'!$B$6:$B$300,$A438)&gt;0,"Stella",""),IF(COUNTIF('Igor'!$B$6:$B$300,$A438)&gt;0,"Igor","")))</f>
        <v/>
      </c>
      <c r="J438" s="24">
        <f>IF(OR($A438="",(COUNTIF('Clarice'!$B$6:$B$300,$A438)+COUNTIF('Luisa'!$B$6:$B$300,$A438)+COUNTIF('Lui'!$B$6:$B$300,$A438)+COUNTIF('Thaís'!$B$6:$B$300,$A438)+COUNTIF('Daniel'!$B$6:$B$300,$A438)+COUNTIF('Fernando'!$B$6:$B$300,$A438)+COUNTIF('Stephanie'!$B$6:$B$300,$A438)+COUNTIF('Fox'!$B$6:$B$300,$A438)+COUNTIF('Bruna'!$B$6:$B$300,$A438)+COUNTIF('Stella'!$B$6:$B$300,$A438)+COUNTIF('Igor'!$B$6:$B$300,$A438))=0),"",(COUNTIFS('Clarice'!$B$6:$B$300,$A438,'Clarice'!$F$6:$F$300,"Concluído")+COUNTIFS('Luisa'!$B$6:$B$300,$A438,'Luisa'!$F$6:$F$300,"Concluído")+COUNTIFS('Lui'!$B$6:$B$300,$A438,'Lui'!$F$6:$F$300,"Concluído")+COUNTIFS('Thaís'!$B$6:$B$300,$A438,'Thaís'!$F$6:$F$300,"Concluído")+COUNTIFS('Daniel'!$B$6:$B$300,$A438,'Daniel'!$F$6:$F$300,"Concluído")+COUNTIFS('Fernando'!$B$6:$B$300,$A438,'Fernando'!$F$6:$F$300,"Concluído")+COUNTIFS('Stephanie'!$B$6:$B$300,$A438,'Stephanie'!$F$6:$F$300,"Concluído")+COUNTIFS('Fox'!$B$6:$B$300,$A438,'Fox'!$F$6:$F$300,"Concluído")+COUNTIFS('Bruna'!$B$6:$B$300,$A438,'Bruna'!$F$6:$F$300,"Concluído")+COUNTIFS('Stella'!$B$6:$B$300,$A438,'Stella'!$F$6:$F$300,"Concluído")+COUNTIFS('Igor'!$B$6:$B$300,$A438,'Igor'!$F$6:$F$300,"Concluído"))&amp;" / "&amp;(COUNTIF('Clarice'!$B$6:$B$300,$A438)+COUNTIF('Luisa'!$B$6:$B$300,$A438)+COUNTIF('Lui'!$B$6:$B$300,$A438)+COUNTIF('Thaís'!$B$6:$B$300,$A438)+COUNTIF('Daniel'!$B$6:$B$300,$A438)+COUNTIF('Fernando'!$B$6:$B$300,$A438)+COUNTIF('Stephanie'!$B$6:$B$300,$A438)+COUNTIF('Fox'!$B$6:$B$300,$A438)+COUNTIF('Bruna'!$B$6:$B$300,$A438)+COUNTIF('Stella'!$B$6:$B$300,$A438)+COUNTIF('Igor'!$B$6:$B$300,$A438)))</f>
        <v/>
      </c>
      <c r="P438" s="25">
        <f>IF($A438="","",IF(M438&lt;&gt;"",M438,IF(K438&lt;&gt;"",K438,"")))</f>
        <v/>
      </c>
      <c r="Q438" s="25">
        <f>IF($A438="","",IF(N438&lt;&gt;"",N438,IF(L438&lt;&gt;"",L438,"")))</f>
        <v/>
      </c>
      <c r="S438" s="23">
        <f t="array" ref="S438">IF($A438="","",_xlfn.TEXTJOIN(CHAR(10),TRUE,IF('Clarice'!$B$6:$B$300=$A438,"Clarice"&amp;IF('Clarice'!$E$6:$E$300="",""," : "&amp;'Clarice'!$E$6:$E$300)&amp;" ["&amp;'Clarice'!$F$6:$F$300&amp;"]",""),IF('Luisa'!$B$6:$B$300=$A438,"Luisa"&amp;IF('Luisa'!$E$6:$E$300="",""," : "&amp;'Luisa'!$E$6:$E$300)&amp;" ["&amp;'Luisa'!$F$6:$F$300&amp;"]",""),IF('Lui'!$B$6:$B$300=$A438,"Lui"&amp;IF('Lui'!$E$6:$E$300="",""," : "&amp;'Lui'!$E$6:$E$300)&amp;" ["&amp;'Lui'!$F$6:$F$300&amp;"]",""),IF('Thaís'!$B$6:$B$300=$A438,"Thaís"&amp;IF('Thaís'!$E$6:$E$300="",""," : "&amp;'Thaís'!$E$6:$E$300)&amp;" ["&amp;'Thaís'!$F$6:$F$300&amp;"]",""),IF('Daniel'!$B$6:$B$300=$A438,"Daniel"&amp;IF('Daniel'!$E$6:$E$300="",""," : "&amp;'Daniel'!$E$6:$E$300)&amp;" ["&amp;'Daniel'!$F$6:$F$300&amp;"]",""),IF('Fernando'!$B$6:$B$300=$A438,"Fernando"&amp;IF('Fernando'!$E$6:$E$300="",""," : "&amp;'Fernando'!$E$6:$E$300)&amp;" ["&amp;'Fernando'!$F$6:$F$300&amp;"]",""),IF('Stephanie'!$B$6:$B$300=$A438,"Stephanie"&amp;IF('Stephanie'!$E$6:$E$300="",""," : "&amp;'Stephanie'!$E$6:$E$300)&amp;" ["&amp;'Stephanie'!$F$6:$F$300&amp;"]",""),IF('Fox'!$B$6:$B$300=$A438,"Fox"&amp;IF('Fox'!$E$6:$E$300="",""," : "&amp;'Fox'!$E$6:$E$300)&amp;" ["&amp;'Fox'!$F$6:$F$300&amp;"]",""),IF('Bruna'!$B$6:$B$300=$A438,"Bruna"&amp;IF('Bruna'!$E$6:$E$300="",""," : "&amp;'Bruna'!$E$6:$E$300)&amp;" ["&amp;'Bruna'!$F$6:$F$300&amp;"]",""),IF('Stella'!$B$6:$B$300=$A438,"Stella"&amp;IF('Stella'!$E$6:$E$300="",""," : "&amp;'Stella'!$E$6:$E$300)&amp;" ["&amp;'Stella'!$F$6:$F$300&amp;"]",""),IF('Igor'!$B$6:$B$300=$A438,"Igor"&amp;IF('Igor'!$E$6:$E$300="",""," : "&amp;'Igor'!$E$6:$E$300)&amp;" ["&amp;'Igor'!$F$6:$F$300&amp;"]","")))</f>
        <v/>
      </c>
    </row>
    <row r="439">
      <c r="G439" s="23">
        <f>IF($A439="","",_xlfn.TEXTJOIN("; ",TRUE,IF(COUNTIF('Clarice'!$B$6:$B$300,$A439)&gt;0,"Clarice",""),IF(COUNTIF('Luisa'!$B$6:$B$300,$A439)&gt;0,"Luisa",""),IF(COUNTIF('Lui'!$B$6:$B$300,$A439)&gt;0,"Lui",""),IF(COUNTIF('Thaís'!$B$6:$B$300,$A439)&gt;0,"Thaís",""),IF(COUNTIF('Daniel'!$B$6:$B$300,$A439)&gt;0,"Daniel",""),IF(COUNTIF('Fernando'!$B$6:$B$300,$A439)&gt;0,"Fernando",""),IF(COUNTIF('Stephanie'!$B$6:$B$300,$A439)&gt;0,"Stephanie",""),IF(COUNTIF('Fox'!$B$6:$B$300,$A439)&gt;0,"Fox",""),IF(COUNTIF('Bruna'!$B$6:$B$300,$A439)&gt;0,"Bruna",""),IF(COUNTIF('Stella'!$B$6:$B$300,$A439)&gt;0,"Stella",""),IF(COUNTIF('Igor'!$B$6:$B$300,$A439)&gt;0,"Igor","")))</f>
        <v/>
      </c>
      <c r="J439" s="24">
        <f>IF(OR($A439="",(COUNTIF('Clarice'!$B$6:$B$300,$A439)+COUNTIF('Luisa'!$B$6:$B$300,$A439)+COUNTIF('Lui'!$B$6:$B$300,$A439)+COUNTIF('Thaís'!$B$6:$B$300,$A439)+COUNTIF('Daniel'!$B$6:$B$300,$A439)+COUNTIF('Fernando'!$B$6:$B$300,$A439)+COUNTIF('Stephanie'!$B$6:$B$300,$A439)+COUNTIF('Fox'!$B$6:$B$300,$A439)+COUNTIF('Bruna'!$B$6:$B$300,$A439)+COUNTIF('Stella'!$B$6:$B$300,$A439)+COUNTIF('Igor'!$B$6:$B$300,$A439))=0),"",(COUNTIFS('Clarice'!$B$6:$B$300,$A439,'Clarice'!$F$6:$F$300,"Concluído")+COUNTIFS('Luisa'!$B$6:$B$300,$A439,'Luisa'!$F$6:$F$300,"Concluído")+COUNTIFS('Lui'!$B$6:$B$300,$A439,'Lui'!$F$6:$F$300,"Concluído")+COUNTIFS('Thaís'!$B$6:$B$300,$A439,'Thaís'!$F$6:$F$300,"Concluído")+COUNTIFS('Daniel'!$B$6:$B$300,$A439,'Daniel'!$F$6:$F$300,"Concluído")+COUNTIFS('Fernando'!$B$6:$B$300,$A439,'Fernando'!$F$6:$F$300,"Concluído")+COUNTIFS('Stephanie'!$B$6:$B$300,$A439,'Stephanie'!$F$6:$F$300,"Concluído")+COUNTIFS('Fox'!$B$6:$B$300,$A439,'Fox'!$F$6:$F$300,"Concluído")+COUNTIFS('Bruna'!$B$6:$B$300,$A439,'Bruna'!$F$6:$F$300,"Concluído")+COUNTIFS('Stella'!$B$6:$B$300,$A439,'Stella'!$F$6:$F$300,"Concluído")+COUNTIFS('Igor'!$B$6:$B$300,$A439,'Igor'!$F$6:$F$300,"Concluído"))&amp;" / "&amp;(COUNTIF('Clarice'!$B$6:$B$300,$A439)+COUNTIF('Luisa'!$B$6:$B$300,$A439)+COUNTIF('Lui'!$B$6:$B$300,$A439)+COUNTIF('Thaís'!$B$6:$B$300,$A439)+COUNTIF('Daniel'!$B$6:$B$300,$A439)+COUNTIF('Fernando'!$B$6:$B$300,$A439)+COUNTIF('Stephanie'!$B$6:$B$300,$A439)+COUNTIF('Fox'!$B$6:$B$300,$A439)+COUNTIF('Bruna'!$B$6:$B$300,$A439)+COUNTIF('Stella'!$B$6:$B$300,$A439)+COUNTIF('Igor'!$B$6:$B$300,$A439)))</f>
        <v/>
      </c>
      <c r="P439" s="25">
        <f>IF($A439="","",IF(M439&lt;&gt;"",M439,IF(K439&lt;&gt;"",K439,"")))</f>
        <v/>
      </c>
      <c r="Q439" s="25">
        <f>IF($A439="","",IF(N439&lt;&gt;"",N439,IF(L439&lt;&gt;"",L439,"")))</f>
        <v/>
      </c>
      <c r="S439" s="23">
        <f t="array" ref="S439">IF($A439="","",_xlfn.TEXTJOIN(CHAR(10),TRUE,IF('Clarice'!$B$6:$B$300=$A439,"Clarice"&amp;IF('Clarice'!$E$6:$E$300="",""," : "&amp;'Clarice'!$E$6:$E$300)&amp;" ["&amp;'Clarice'!$F$6:$F$300&amp;"]",""),IF('Luisa'!$B$6:$B$300=$A439,"Luisa"&amp;IF('Luisa'!$E$6:$E$300="",""," : "&amp;'Luisa'!$E$6:$E$300)&amp;" ["&amp;'Luisa'!$F$6:$F$300&amp;"]",""),IF('Lui'!$B$6:$B$300=$A439,"Lui"&amp;IF('Lui'!$E$6:$E$300="",""," : "&amp;'Lui'!$E$6:$E$300)&amp;" ["&amp;'Lui'!$F$6:$F$300&amp;"]",""),IF('Thaís'!$B$6:$B$300=$A439,"Thaís"&amp;IF('Thaís'!$E$6:$E$300="",""," : "&amp;'Thaís'!$E$6:$E$300)&amp;" ["&amp;'Thaís'!$F$6:$F$300&amp;"]",""),IF('Daniel'!$B$6:$B$300=$A439,"Daniel"&amp;IF('Daniel'!$E$6:$E$300="",""," : "&amp;'Daniel'!$E$6:$E$300)&amp;" ["&amp;'Daniel'!$F$6:$F$300&amp;"]",""),IF('Fernando'!$B$6:$B$300=$A439,"Fernando"&amp;IF('Fernando'!$E$6:$E$300="",""," : "&amp;'Fernando'!$E$6:$E$300)&amp;" ["&amp;'Fernando'!$F$6:$F$300&amp;"]",""),IF('Stephanie'!$B$6:$B$300=$A439,"Stephanie"&amp;IF('Stephanie'!$E$6:$E$300="",""," : "&amp;'Stephanie'!$E$6:$E$300)&amp;" ["&amp;'Stephanie'!$F$6:$F$300&amp;"]",""),IF('Fox'!$B$6:$B$300=$A439,"Fox"&amp;IF('Fox'!$E$6:$E$300="",""," : "&amp;'Fox'!$E$6:$E$300)&amp;" ["&amp;'Fox'!$F$6:$F$300&amp;"]",""),IF('Bruna'!$B$6:$B$300=$A439,"Bruna"&amp;IF('Bruna'!$E$6:$E$300="",""," : "&amp;'Bruna'!$E$6:$E$300)&amp;" ["&amp;'Bruna'!$F$6:$F$300&amp;"]",""),IF('Stella'!$B$6:$B$300=$A439,"Stella"&amp;IF('Stella'!$E$6:$E$300="",""," : "&amp;'Stella'!$E$6:$E$300)&amp;" ["&amp;'Stella'!$F$6:$F$300&amp;"]",""),IF('Igor'!$B$6:$B$300=$A439,"Igor"&amp;IF('Igor'!$E$6:$E$300="",""," : "&amp;'Igor'!$E$6:$E$300)&amp;" ["&amp;'Igor'!$F$6:$F$300&amp;"]","")))</f>
        <v/>
      </c>
    </row>
    <row r="440">
      <c r="G440" s="23">
        <f>IF($A440="","",_xlfn.TEXTJOIN("; ",TRUE,IF(COUNTIF('Clarice'!$B$6:$B$300,$A440)&gt;0,"Clarice",""),IF(COUNTIF('Luisa'!$B$6:$B$300,$A440)&gt;0,"Luisa",""),IF(COUNTIF('Lui'!$B$6:$B$300,$A440)&gt;0,"Lui",""),IF(COUNTIF('Thaís'!$B$6:$B$300,$A440)&gt;0,"Thaís",""),IF(COUNTIF('Daniel'!$B$6:$B$300,$A440)&gt;0,"Daniel",""),IF(COUNTIF('Fernando'!$B$6:$B$300,$A440)&gt;0,"Fernando",""),IF(COUNTIF('Stephanie'!$B$6:$B$300,$A440)&gt;0,"Stephanie",""),IF(COUNTIF('Fox'!$B$6:$B$300,$A440)&gt;0,"Fox",""),IF(COUNTIF('Bruna'!$B$6:$B$300,$A440)&gt;0,"Bruna",""),IF(COUNTIF('Stella'!$B$6:$B$300,$A440)&gt;0,"Stella",""),IF(COUNTIF('Igor'!$B$6:$B$300,$A440)&gt;0,"Igor","")))</f>
        <v/>
      </c>
      <c r="J440" s="24">
        <f>IF(OR($A440="",(COUNTIF('Clarice'!$B$6:$B$300,$A440)+COUNTIF('Luisa'!$B$6:$B$300,$A440)+COUNTIF('Lui'!$B$6:$B$300,$A440)+COUNTIF('Thaís'!$B$6:$B$300,$A440)+COUNTIF('Daniel'!$B$6:$B$300,$A440)+COUNTIF('Fernando'!$B$6:$B$300,$A440)+COUNTIF('Stephanie'!$B$6:$B$300,$A440)+COUNTIF('Fox'!$B$6:$B$300,$A440)+COUNTIF('Bruna'!$B$6:$B$300,$A440)+COUNTIF('Stella'!$B$6:$B$300,$A440)+COUNTIF('Igor'!$B$6:$B$300,$A440))=0),"",(COUNTIFS('Clarice'!$B$6:$B$300,$A440,'Clarice'!$F$6:$F$300,"Concluído")+COUNTIFS('Luisa'!$B$6:$B$300,$A440,'Luisa'!$F$6:$F$300,"Concluído")+COUNTIFS('Lui'!$B$6:$B$300,$A440,'Lui'!$F$6:$F$300,"Concluído")+COUNTIFS('Thaís'!$B$6:$B$300,$A440,'Thaís'!$F$6:$F$300,"Concluído")+COUNTIFS('Daniel'!$B$6:$B$300,$A440,'Daniel'!$F$6:$F$300,"Concluído")+COUNTIFS('Fernando'!$B$6:$B$300,$A440,'Fernando'!$F$6:$F$300,"Concluído")+COUNTIFS('Stephanie'!$B$6:$B$300,$A440,'Stephanie'!$F$6:$F$300,"Concluído")+COUNTIFS('Fox'!$B$6:$B$300,$A440,'Fox'!$F$6:$F$300,"Concluído")+COUNTIFS('Bruna'!$B$6:$B$300,$A440,'Bruna'!$F$6:$F$300,"Concluído")+COUNTIFS('Stella'!$B$6:$B$300,$A440,'Stella'!$F$6:$F$300,"Concluído")+COUNTIFS('Igor'!$B$6:$B$300,$A440,'Igor'!$F$6:$F$300,"Concluído"))&amp;" / "&amp;(COUNTIF('Clarice'!$B$6:$B$300,$A440)+COUNTIF('Luisa'!$B$6:$B$300,$A440)+COUNTIF('Lui'!$B$6:$B$300,$A440)+COUNTIF('Thaís'!$B$6:$B$300,$A440)+COUNTIF('Daniel'!$B$6:$B$300,$A440)+COUNTIF('Fernando'!$B$6:$B$300,$A440)+COUNTIF('Stephanie'!$B$6:$B$300,$A440)+COUNTIF('Fox'!$B$6:$B$300,$A440)+COUNTIF('Bruna'!$B$6:$B$300,$A440)+COUNTIF('Stella'!$B$6:$B$300,$A440)+COUNTIF('Igor'!$B$6:$B$300,$A440)))</f>
        <v/>
      </c>
      <c r="P440" s="25">
        <f>IF($A440="","",IF(M440&lt;&gt;"",M440,IF(K440&lt;&gt;"",K440,"")))</f>
        <v/>
      </c>
      <c r="Q440" s="25">
        <f>IF($A440="","",IF(N440&lt;&gt;"",N440,IF(L440&lt;&gt;"",L440,"")))</f>
        <v/>
      </c>
      <c r="S440" s="23">
        <f t="array" ref="S440">IF($A440="","",_xlfn.TEXTJOIN(CHAR(10),TRUE,IF('Clarice'!$B$6:$B$300=$A440,"Clarice"&amp;IF('Clarice'!$E$6:$E$300="",""," : "&amp;'Clarice'!$E$6:$E$300)&amp;" ["&amp;'Clarice'!$F$6:$F$300&amp;"]",""),IF('Luisa'!$B$6:$B$300=$A440,"Luisa"&amp;IF('Luisa'!$E$6:$E$300="",""," : "&amp;'Luisa'!$E$6:$E$300)&amp;" ["&amp;'Luisa'!$F$6:$F$300&amp;"]",""),IF('Lui'!$B$6:$B$300=$A440,"Lui"&amp;IF('Lui'!$E$6:$E$300="",""," : "&amp;'Lui'!$E$6:$E$300)&amp;" ["&amp;'Lui'!$F$6:$F$300&amp;"]",""),IF('Thaís'!$B$6:$B$300=$A440,"Thaís"&amp;IF('Thaís'!$E$6:$E$300="",""," : "&amp;'Thaís'!$E$6:$E$300)&amp;" ["&amp;'Thaís'!$F$6:$F$300&amp;"]",""),IF('Daniel'!$B$6:$B$300=$A440,"Daniel"&amp;IF('Daniel'!$E$6:$E$300="",""," : "&amp;'Daniel'!$E$6:$E$300)&amp;" ["&amp;'Daniel'!$F$6:$F$300&amp;"]",""),IF('Fernando'!$B$6:$B$300=$A440,"Fernando"&amp;IF('Fernando'!$E$6:$E$300="",""," : "&amp;'Fernando'!$E$6:$E$300)&amp;" ["&amp;'Fernando'!$F$6:$F$300&amp;"]",""),IF('Stephanie'!$B$6:$B$300=$A440,"Stephanie"&amp;IF('Stephanie'!$E$6:$E$300="",""," : "&amp;'Stephanie'!$E$6:$E$300)&amp;" ["&amp;'Stephanie'!$F$6:$F$300&amp;"]",""),IF('Fox'!$B$6:$B$300=$A440,"Fox"&amp;IF('Fox'!$E$6:$E$300="",""," : "&amp;'Fox'!$E$6:$E$300)&amp;" ["&amp;'Fox'!$F$6:$F$300&amp;"]",""),IF('Bruna'!$B$6:$B$300=$A440,"Bruna"&amp;IF('Bruna'!$E$6:$E$300="",""," : "&amp;'Bruna'!$E$6:$E$300)&amp;" ["&amp;'Bruna'!$F$6:$F$300&amp;"]",""),IF('Stella'!$B$6:$B$300=$A440,"Stella"&amp;IF('Stella'!$E$6:$E$300="",""," : "&amp;'Stella'!$E$6:$E$300)&amp;" ["&amp;'Stella'!$F$6:$F$300&amp;"]",""),IF('Igor'!$B$6:$B$300=$A440,"Igor"&amp;IF('Igor'!$E$6:$E$300="",""," : "&amp;'Igor'!$E$6:$E$300)&amp;" ["&amp;'Igor'!$F$6:$F$300&amp;"]","")))</f>
        <v/>
      </c>
    </row>
    <row r="441">
      <c r="G441" s="23">
        <f>IF($A441="","",_xlfn.TEXTJOIN("; ",TRUE,IF(COUNTIF('Clarice'!$B$6:$B$300,$A441)&gt;0,"Clarice",""),IF(COUNTIF('Luisa'!$B$6:$B$300,$A441)&gt;0,"Luisa",""),IF(COUNTIF('Lui'!$B$6:$B$300,$A441)&gt;0,"Lui",""),IF(COUNTIF('Thaís'!$B$6:$B$300,$A441)&gt;0,"Thaís",""),IF(COUNTIF('Daniel'!$B$6:$B$300,$A441)&gt;0,"Daniel",""),IF(COUNTIF('Fernando'!$B$6:$B$300,$A441)&gt;0,"Fernando",""),IF(COUNTIF('Stephanie'!$B$6:$B$300,$A441)&gt;0,"Stephanie",""),IF(COUNTIF('Fox'!$B$6:$B$300,$A441)&gt;0,"Fox",""),IF(COUNTIF('Bruna'!$B$6:$B$300,$A441)&gt;0,"Bruna",""),IF(COUNTIF('Stella'!$B$6:$B$300,$A441)&gt;0,"Stella",""),IF(COUNTIF('Igor'!$B$6:$B$300,$A441)&gt;0,"Igor","")))</f>
        <v/>
      </c>
      <c r="J441" s="24">
        <f>IF(OR($A441="",(COUNTIF('Clarice'!$B$6:$B$300,$A441)+COUNTIF('Luisa'!$B$6:$B$300,$A441)+COUNTIF('Lui'!$B$6:$B$300,$A441)+COUNTIF('Thaís'!$B$6:$B$300,$A441)+COUNTIF('Daniel'!$B$6:$B$300,$A441)+COUNTIF('Fernando'!$B$6:$B$300,$A441)+COUNTIF('Stephanie'!$B$6:$B$300,$A441)+COUNTIF('Fox'!$B$6:$B$300,$A441)+COUNTIF('Bruna'!$B$6:$B$300,$A441)+COUNTIF('Stella'!$B$6:$B$300,$A441)+COUNTIF('Igor'!$B$6:$B$300,$A441))=0),"",(COUNTIFS('Clarice'!$B$6:$B$300,$A441,'Clarice'!$F$6:$F$300,"Concluído")+COUNTIFS('Luisa'!$B$6:$B$300,$A441,'Luisa'!$F$6:$F$300,"Concluído")+COUNTIFS('Lui'!$B$6:$B$300,$A441,'Lui'!$F$6:$F$300,"Concluído")+COUNTIFS('Thaís'!$B$6:$B$300,$A441,'Thaís'!$F$6:$F$300,"Concluído")+COUNTIFS('Daniel'!$B$6:$B$300,$A441,'Daniel'!$F$6:$F$300,"Concluído")+COUNTIFS('Fernando'!$B$6:$B$300,$A441,'Fernando'!$F$6:$F$300,"Concluído")+COUNTIFS('Stephanie'!$B$6:$B$300,$A441,'Stephanie'!$F$6:$F$300,"Concluído")+COUNTIFS('Fox'!$B$6:$B$300,$A441,'Fox'!$F$6:$F$300,"Concluído")+COUNTIFS('Bruna'!$B$6:$B$300,$A441,'Bruna'!$F$6:$F$300,"Concluído")+COUNTIFS('Stella'!$B$6:$B$300,$A441,'Stella'!$F$6:$F$300,"Concluído")+COUNTIFS('Igor'!$B$6:$B$300,$A441,'Igor'!$F$6:$F$300,"Concluído"))&amp;" / "&amp;(COUNTIF('Clarice'!$B$6:$B$300,$A441)+COUNTIF('Luisa'!$B$6:$B$300,$A441)+COUNTIF('Lui'!$B$6:$B$300,$A441)+COUNTIF('Thaís'!$B$6:$B$300,$A441)+COUNTIF('Daniel'!$B$6:$B$300,$A441)+COUNTIF('Fernando'!$B$6:$B$300,$A441)+COUNTIF('Stephanie'!$B$6:$B$300,$A441)+COUNTIF('Fox'!$B$6:$B$300,$A441)+COUNTIF('Bruna'!$B$6:$B$300,$A441)+COUNTIF('Stella'!$B$6:$B$300,$A441)+COUNTIF('Igor'!$B$6:$B$300,$A441)))</f>
        <v/>
      </c>
      <c r="P441" s="25">
        <f>IF($A441="","",IF(M441&lt;&gt;"",M441,IF(K441&lt;&gt;"",K441,"")))</f>
        <v/>
      </c>
      <c r="Q441" s="25">
        <f>IF($A441="","",IF(N441&lt;&gt;"",N441,IF(L441&lt;&gt;"",L441,"")))</f>
        <v/>
      </c>
      <c r="S441" s="23">
        <f t="array" ref="S441">IF($A441="","",_xlfn.TEXTJOIN(CHAR(10),TRUE,IF('Clarice'!$B$6:$B$300=$A441,"Clarice"&amp;IF('Clarice'!$E$6:$E$300="",""," : "&amp;'Clarice'!$E$6:$E$300)&amp;" ["&amp;'Clarice'!$F$6:$F$300&amp;"]",""),IF('Luisa'!$B$6:$B$300=$A441,"Luisa"&amp;IF('Luisa'!$E$6:$E$300="",""," : "&amp;'Luisa'!$E$6:$E$300)&amp;" ["&amp;'Luisa'!$F$6:$F$300&amp;"]",""),IF('Lui'!$B$6:$B$300=$A441,"Lui"&amp;IF('Lui'!$E$6:$E$300="",""," : "&amp;'Lui'!$E$6:$E$300)&amp;" ["&amp;'Lui'!$F$6:$F$300&amp;"]",""),IF('Thaís'!$B$6:$B$300=$A441,"Thaís"&amp;IF('Thaís'!$E$6:$E$300="",""," : "&amp;'Thaís'!$E$6:$E$300)&amp;" ["&amp;'Thaís'!$F$6:$F$300&amp;"]",""),IF('Daniel'!$B$6:$B$300=$A441,"Daniel"&amp;IF('Daniel'!$E$6:$E$300="",""," : "&amp;'Daniel'!$E$6:$E$300)&amp;" ["&amp;'Daniel'!$F$6:$F$300&amp;"]",""),IF('Fernando'!$B$6:$B$300=$A441,"Fernando"&amp;IF('Fernando'!$E$6:$E$300="",""," : "&amp;'Fernando'!$E$6:$E$300)&amp;" ["&amp;'Fernando'!$F$6:$F$300&amp;"]",""),IF('Stephanie'!$B$6:$B$300=$A441,"Stephanie"&amp;IF('Stephanie'!$E$6:$E$300="",""," : "&amp;'Stephanie'!$E$6:$E$300)&amp;" ["&amp;'Stephanie'!$F$6:$F$300&amp;"]",""),IF('Fox'!$B$6:$B$300=$A441,"Fox"&amp;IF('Fox'!$E$6:$E$300="",""," : "&amp;'Fox'!$E$6:$E$300)&amp;" ["&amp;'Fox'!$F$6:$F$300&amp;"]",""),IF('Bruna'!$B$6:$B$300=$A441,"Bruna"&amp;IF('Bruna'!$E$6:$E$300="",""," : "&amp;'Bruna'!$E$6:$E$300)&amp;" ["&amp;'Bruna'!$F$6:$F$300&amp;"]",""),IF('Stella'!$B$6:$B$300=$A441,"Stella"&amp;IF('Stella'!$E$6:$E$300="",""," : "&amp;'Stella'!$E$6:$E$300)&amp;" ["&amp;'Stella'!$F$6:$F$300&amp;"]",""),IF('Igor'!$B$6:$B$300=$A441,"Igor"&amp;IF('Igor'!$E$6:$E$300="",""," : "&amp;'Igor'!$E$6:$E$300)&amp;" ["&amp;'Igor'!$F$6:$F$300&amp;"]","")))</f>
        <v/>
      </c>
    </row>
    <row r="442">
      <c r="G442" s="23">
        <f>IF($A442="","",_xlfn.TEXTJOIN("; ",TRUE,IF(COUNTIF('Clarice'!$B$6:$B$300,$A442)&gt;0,"Clarice",""),IF(COUNTIF('Luisa'!$B$6:$B$300,$A442)&gt;0,"Luisa",""),IF(COUNTIF('Lui'!$B$6:$B$300,$A442)&gt;0,"Lui",""),IF(COUNTIF('Thaís'!$B$6:$B$300,$A442)&gt;0,"Thaís",""),IF(COUNTIF('Daniel'!$B$6:$B$300,$A442)&gt;0,"Daniel",""),IF(COUNTIF('Fernando'!$B$6:$B$300,$A442)&gt;0,"Fernando",""),IF(COUNTIF('Stephanie'!$B$6:$B$300,$A442)&gt;0,"Stephanie",""),IF(COUNTIF('Fox'!$B$6:$B$300,$A442)&gt;0,"Fox",""),IF(COUNTIF('Bruna'!$B$6:$B$300,$A442)&gt;0,"Bruna",""),IF(COUNTIF('Stella'!$B$6:$B$300,$A442)&gt;0,"Stella",""),IF(COUNTIF('Igor'!$B$6:$B$300,$A442)&gt;0,"Igor","")))</f>
        <v/>
      </c>
      <c r="J442" s="24">
        <f>IF(OR($A442="",(COUNTIF('Clarice'!$B$6:$B$300,$A442)+COUNTIF('Luisa'!$B$6:$B$300,$A442)+COUNTIF('Lui'!$B$6:$B$300,$A442)+COUNTIF('Thaís'!$B$6:$B$300,$A442)+COUNTIF('Daniel'!$B$6:$B$300,$A442)+COUNTIF('Fernando'!$B$6:$B$300,$A442)+COUNTIF('Stephanie'!$B$6:$B$300,$A442)+COUNTIF('Fox'!$B$6:$B$300,$A442)+COUNTIF('Bruna'!$B$6:$B$300,$A442)+COUNTIF('Stella'!$B$6:$B$300,$A442)+COUNTIF('Igor'!$B$6:$B$300,$A442))=0),"",(COUNTIFS('Clarice'!$B$6:$B$300,$A442,'Clarice'!$F$6:$F$300,"Concluído")+COUNTIFS('Luisa'!$B$6:$B$300,$A442,'Luisa'!$F$6:$F$300,"Concluído")+COUNTIFS('Lui'!$B$6:$B$300,$A442,'Lui'!$F$6:$F$300,"Concluído")+COUNTIFS('Thaís'!$B$6:$B$300,$A442,'Thaís'!$F$6:$F$300,"Concluído")+COUNTIFS('Daniel'!$B$6:$B$300,$A442,'Daniel'!$F$6:$F$300,"Concluído")+COUNTIFS('Fernando'!$B$6:$B$300,$A442,'Fernando'!$F$6:$F$300,"Concluído")+COUNTIFS('Stephanie'!$B$6:$B$300,$A442,'Stephanie'!$F$6:$F$300,"Concluído")+COUNTIFS('Fox'!$B$6:$B$300,$A442,'Fox'!$F$6:$F$300,"Concluído")+COUNTIFS('Bruna'!$B$6:$B$300,$A442,'Bruna'!$F$6:$F$300,"Concluído")+COUNTIFS('Stella'!$B$6:$B$300,$A442,'Stella'!$F$6:$F$300,"Concluído")+COUNTIFS('Igor'!$B$6:$B$300,$A442,'Igor'!$F$6:$F$300,"Concluído"))&amp;" / "&amp;(COUNTIF('Clarice'!$B$6:$B$300,$A442)+COUNTIF('Luisa'!$B$6:$B$300,$A442)+COUNTIF('Lui'!$B$6:$B$300,$A442)+COUNTIF('Thaís'!$B$6:$B$300,$A442)+COUNTIF('Daniel'!$B$6:$B$300,$A442)+COUNTIF('Fernando'!$B$6:$B$300,$A442)+COUNTIF('Stephanie'!$B$6:$B$300,$A442)+COUNTIF('Fox'!$B$6:$B$300,$A442)+COUNTIF('Bruna'!$B$6:$B$300,$A442)+COUNTIF('Stella'!$B$6:$B$300,$A442)+COUNTIF('Igor'!$B$6:$B$300,$A442)))</f>
        <v/>
      </c>
      <c r="P442" s="25">
        <f>IF($A442="","",IF(M442&lt;&gt;"",M442,IF(K442&lt;&gt;"",K442,"")))</f>
        <v/>
      </c>
      <c r="Q442" s="25">
        <f>IF($A442="","",IF(N442&lt;&gt;"",N442,IF(L442&lt;&gt;"",L442,"")))</f>
        <v/>
      </c>
      <c r="S442" s="23">
        <f t="array" ref="S442">IF($A442="","",_xlfn.TEXTJOIN(CHAR(10),TRUE,IF('Clarice'!$B$6:$B$300=$A442,"Clarice"&amp;IF('Clarice'!$E$6:$E$300="",""," : "&amp;'Clarice'!$E$6:$E$300)&amp;" ["&amp;'Clarice'!$F$6:$F$300&amp;"]",""),IF('Luisa'!$B$6:$B$300=$A442,"Luisa"&amp;IF('Luisa'!$E$6:$E$300="",""," : "&amp;'Luisa'!$E$6:$E$300)&amp;" ["&amp;'Luisa'!$F$6:$F$300&amp;"]",""),IF('Lui'!$B$6:$B$300=$A442,"Lui"&amp;IF('Lui'!$E$6:$E$300="",""," : "&amp;'Lui'!$E$6:$E$300)&amp;" ["&amp;'Lui'!$F$6:$F$300&amp;"]",""),IF('Thaís'!$B$6:$B$300=$A442,"Thaís"&amp;IF('Thaís'!$E$6:$E$300="",""," : "&amp;'Thaís'!$E$6:$E$300)&amp;" ["&amp;'Thaís'!$F$6:$F$300&amp;"]",""),IF('Daniel'!$B$6:$B$300=$A442,"Daniel"&amp;IF('Daniel'!$E$6:$E$300="",""," : "&amp;'Daniel'!$E$6:$E$300)&amp;" ["&amp;'Daniel'!$F$6:$F$300&amp;"]",""),IF('Fernando'!$B$6:$B$300=$A442,"Fernando"&amp;IF('Fernando'!$E$6:$E$300="",""," : "&amp;'Fernando'!$E$6:$E$300)&amp;" ["&amp;'Fernando'!$F$6:$F$300&amp;"]",""),IF('Stephanie'!$B$6:$B$300=$A442,"Stephanie"&amp;IF('Stephanie'!$E$6:$E$300="",""," : "&amp;'Stephanie'!$E$6:$E$300)&amp;" ["&amp;'Stephanie'!$F$6:$F$300&amp;"]",""),IF('Fox'!$B$6:$B$300=$A442,"Fox"&amp;IF('Fox'!$E$6:$E$300="",""," : "&amp;'Fox'!$E$6:$E$300)&amp;" ["&amp;'Fox'!$F$6:$F$300&amp;"]",""),IF('Bruna'!$B$6:$B$300=$A442,"Bruna"&amp;IF('Bruna'!$E$6:$E$300="",""," : "&amp;'Bruna'!$E$6:$E$300)&amp;" ["&amp;'Bruna'!$F$6:$F$300&amp;"]",""),IF('Stella'!$B$6:$B$300=$A442,"Stella"&amp;IF('Stella'!$E$6:$E$300="",""," : "&amp;'Stella'!$E$6:$E$300)&amp;" ["&amp;'Stella'!$F$6:$F$300&amp;"]",""),IF('Igor'!$B$6:$B$300=$A442,"Igor"&amp;IF('Igor'!$E$6:$E$300="",""," : "&amp;'Igor'!$E$6:$E$300)&amp;" ["&amp;'Igor'!$F$6:$F$300&amp;"]","")))</f>
        <v/>
      </c>
    </row>
    <row r="443">
      <c r="G443" s="23">
        <f>IF($A443="","",_xlfn.TEXTJOIN("; ",TRUE,IF(COUNTIF('Clarice'!$B$6:$B$300,$A443)&gt;0,"Clarice",""),IF(COUNTIF('Luisa'!$B$6:$B$300,$A443)&gt;0,"Luisa",""),IF(COUNTIF('Lui'!$B$6:$B$300,$A443)&gt;0,"Lui",""),IF(COUNTIF('Thaís'!$B$6:$B$300,$A443)&gt;0,"Thaís",""),IF(COUNTIF('Daniel'!$B$6:$B$300,$A443)&gt;0,"Daniel",""),IF(COUNTIF('Fernando'!$B$6:$B$300,$A443)&gt;0,"Fernando",""),IF(COUNTIF('Stephanie'!$B$6:$B$300,$A443)&gt;0,"Stephanie",""),IF(COUNTIF('Fox'!$B$6:$B$300,$A443)&gt;0,"Fox",""),IF(COUNTIF('Bruna'!$B$6:$B$300,$A443)&gt;0,"Bruna",""),IF(COUNTIF('Stella'!$B$6:$B$300,$A443)&gt;0,"Stella",""),IF(COUNTIF('Igor'!$B$6:$B$300,$A443)&gt;0,"Igor","")))</f>
        <v/>
      </c>
      <c r="J443" s="24">
        <f>IF(OR($A443="",(COUNTIF('Clarice'!$B$6:$B$300,$A443)+COUNTIF('Luisa'!$B$6:$B$300,$A443)+COUNTIF('Lui'!$B$6:$B$300,$A443)+COUNTIF('Thaís'!$B$6:$B$300,$A443)+COUNTIF('Daniel'!$B$6:$B$300,$A443)+COUNTIF('Fernando'!$B$6:$B$300,$A443)+COUNTIF('Stephanie'!$B$6:$B$300,$A443)+COUNTIF('Fox'!$B$6:$B$300,$A443)+COUNTIF('Bruna'!$B$6:$B$300,$A443)+COUNTIF('Stella'!$B$6:$B$300,$A443)+COUNTIF('Igor'!$B$6:$B$300,$A443))=0),"",(COUNTIFS('Clarice'!$B$6:$B$300,$A443,'Clarice'!$F$6:$F$300,"Concluído")+COUNTIFS('Luisa'!$B$6:$B$300,$A443,'Luisa'!$F$6:$F$300,"Concluído")+COUNTIFS('Lui'!$B$6:$B$300,$A443,'Lui'!$F$6:$F$300,"Concluído")+COUNTIFS('Thaís'!$B$6:$B$300,$A443,'Thaís'!$F$6:$F$300,"Concluído")+COUNTIFS('Daniel'!$B$6:$B$300,$A443,'Daniel'!$F$6:$F$300,"Concluído")+COUNTIFS('Fernando'!$B$6:$B$300,$A443,'Fernando'!$F$6:$F$300,"Concluído")+COUNTIFS('Stephanie'!$B$6:$B$300,$A443,'Stephanie'!$F$6:$F$300,"Concluído")+COUNTIFS('Fox'!$B$6:$B$300,$A443,'Fox'!$F$6:$F$300,"Concluído")+COUNTIFS('Bruna'!$B$6:$B$300,$A443,'Bruna'!$F$6:$F$300,"Concluído")+COUNTIFS('Stella'!$B$6:$B$300,$A443,'Stella'!$F$6:$F$300,"Concluído")+COUNTIFS('Igor'!$B$6:$B$300,$A443,'Igor'!$F$6:$F$300,"Concluído"))&amp;" / "&amp;(COUNTIF('Clarice'!$B$6:$B$300,$A443)+COUNTIF('Luisa'!$B$6:$B$300,$A443)+COUNTIF('Lui'!$B$6:$B$300,$A443)+COUNTIF('Thaís'!$B$6:$B$300,$A443)+COUNTIF('Daniel'!$B$6:$B$300,$A443)+COUNTIF('Fernando'!$B$6:$B$300,$A443)+COUNTIF('Stephanie'!$B$6:$B$300,$A443)+COUNTIF('Fox'!$B$6:$B$300,$A443)+COUNTIF('Bruna'!$B$6:$B$300,$A443)+COUNTIF('Stella'!$B$6:$B$300,$A443)+COUNTIF('Igor'!$B$6:$B$300,$A443)))</f>
        <v/>
      </c>
      <c r="P443" s="25">
        <f>IF($A443="","",IF(M443&lt;&gt;"",M443,IF(K443&lt;&gt;"",K443,"")))</f>
        <v/>
      </c>
      <c r="Q443" s="25">
        <f>IF($A443="","",IF(N443&lt;&gt;"",N443,IF(L443&lt;&gt;"",L443,"")))</f>
        <v/>
      </c>
      <c r="S443" s="23">
        <f t="array" ref="S443">IF($A443="","",_xlfn.TEXTJOIN(CHAR(10),TRUE,IF('Clarice'!$B$6:$B$300=$A443,"Clarice"&amp;IF('Clarice'!$E$6:$E$300="",""," : "&amp;'Clarice'!$E$6:$E$300)&amp;" ["&amp;'Clarice'!$F$6:$F$300&amp;"]",""),IF('Luisa'!$B$6:$B$300=$A443,"Luisa"&amp;IF('Luisa'!$E$6:$E$300="",""," : "&amp;'Luisa'!$E$6:$E$300)&amp;" ["&amp;'Luisa'!$F$6:$F$300&amp;"]",""),IF('Lui'!$B$6:$B$300=$A443,"Lui"&amp;IF('Lui'!$E$6:$E$300="",""," : "&amp;'Lui'!$E$6:$E$300)&amp;" ["&amp;'Lui'!$F$6:$F$300&amp;"]",""),IF('Thaís'!$B$6:$B$300=$A443,"Thaís"&amp;IF('Thaís'!$E$6:$E$300="",""," : "&amp;'Thaís'!$E$6:$E$300)&amp;" ["&amp;'Thaís'!$F$6:$F$300&amp;"]",""),IF('Daniel'!$B$6:$B$300=$A443,"Daniel"&amp;IF('Daniel'!$E$6:$E$300="",""," : "&amp;'Daniel'!$E$6:$E$300)&amp;" ["&amp;'Daniel'!$F$6:$F$300&amp;"]",""),IF('Fernando'!$B$6:$B$300=$A443,"Fernando"&amp;IF('Fernando'!$E$6:$E$300="",""," : "&amp;'Fernando'!$E$6:$E$300)&amp;" ["&amp;'Fernando'!$F$6:$F$300&amp;"]",""),IF('Stephanie'!$B$6:$B$300=$A443,"Stephanie"&amp;IF('Stephanie'!$E$6:$E$300="",""," : "&amp;'Stephanie'!$E$6:$E$300)&amp;" ["&amp;'Stephanie'!$F$6:$F$300&amp;"]",""),IF('Fox'!$B$6:$B$300=$A443,"Fox"&amp;IF('Fox'!$E$6:$E$300="",""," : "&amp;'Fox'!$E$6:$E$300)&amp;" ["&amp;'Fox'!$F$6:$F$300&amp;"]",""),IF('Bruna'!$B$6:$B$300=$A443,"Bruna"&amp;IF('Bruna'!$E$6:$E$300="",""," : "&amp;'Bruna'!$E$6:$E$300)&amp;" ["&amp;'Bruna'!$F$6:$F$300&amp;"]",""),IF('Stella'!$B$6:$B$300=$A443,"Stella"&amp;IF('Stella'!$E$6:$E$300="",""," : "&amp;'Stella'!$E$6:$E$300)&amp;" ["&amp;'Stella'!$F$6:$F$300&amp;"]",""),IF('Igor'!$B$6:$B$300=$A443,"Igor"&amp;IF('Igor'!$E$6:$E$300="",""," : "&amp;'Igor'!$E$6:$E$300)&amp;" ["&amp;'Igor'!$F$6:$F$300&amp;"]","")))</f>
        <v/>
      </c>
    </row>
    <row r="444">
      <c r="G444" s="23">
        <f>IF($A444="","",_xlfn.TEXTJOIN("; ",TRUE,IF(COUNTIF('Clarice'!$B$6:$B$300,$A444)&gt;0,"Clarice",""),IF(COUNTIF('Luisa'!$B$6:$B$300,$A444)&gt;0,"Luisa",""),IF(COUNTIF('Lui'!$B$6:$B$300,$A444)&gt;0,"Lui",""),IF(COUNTIF('Thaís'!$B$6:$B$300,$A444)&gt;0,"Thaís",""),IF(COUNTIF('Daniel'!$B$6:$B$300,$A444)&gt;0,"Daniel",""),IF(COUNTIF('Fernando'!$B$6:$B$300,$A444)&gt;0,"Fernando",""),IF(COUNTIF('Stephanie'!$B$6:$B$300,$A444)&gt;0,"Stephanie",""),IF(COUNTIF('Fox'!$B$6:$B$300,$A444)&gt;0,"Fox",""),IF(COUNTIF('Bruna'!$B$6:$B$300,$A444)&gt;0,"Bruna",""),IF(COUNTIF('Stella'!$B$6:$B$300,$A444)&gt;0,"Stella",""),IF(COUNTIF('Igor'!$B$6:$B$300,$A444)&gt;0,"Igor","")))</f>
        <v/>
      </c>
      <c r="J444" s="24">
        <f>IF(OR($A444="",(COUNTIF('Clarice'!$B$6:$B$300,$A444)+COUNTIF('Luisa'!$B$6:$B$300,$A444)+COUNTIF('Lui'!$B$6:$B$300,$A444)+COUNTIF('Thaís'!$B$6:$B$300,$A444)+COUNTIF('Daniel'!$B$6:$B$300,$A444)+COUNTIF('Fernando'!$B$6:$B$300,$A444)+COUNTIF('Stephanie'!$B$6:$B$300,$A444)+COUNTIF('Fox'!$B$6:$B$300,$A444)+COUNTIF('Bruna'!$B$6:$B$300,$A444)+COUNTIF('Stella'!$B$6:$B$300,$A444)+COUNTIF('Igor'!$B$6:$B$300,$A444))=0),"",(COUNTIFS('Clarice'!$B$6:$B$300,$A444,'Clarice'!$F$6:$F$300,"Concluído")+COUNTIFS('Luisa'!$B$6:$B$300,$A444,'Luisa'!$F$6:$F$300,"Concluído")+COUNTIFS('Lui'!$B$6:$B$300,$A444,'Lui'!$F$6:$F$300,"Concluído")+COUNTIFS('Thaís'!$B$6:$B$300,$A444,'Thaís'!$F$6:$F$300,"Concluído")+COUNTIFS('Daniel'!$B$6:$B$300,$A444,'Daniel'!$F$6:$F$300,"Concluído")+COUNTIFS('Fernando'!$B$6:$B$300,$A444,'Fernando'!$F$6:$F$300,"Concluído")+COUNTIFS('Stephanie'!$B$6:$B$300,$A444,'Stephanie'!$F$6:$F$300,"Concluído")+COUNTIFS('Fox'!$B$6:$B$300,$A444,'Fox'!$F$6:$F$300,"Concluído")+COUNTIFS('Bruna'!$B$6:$B$300,$A444,'Bruna'!$F$6:$F$300,"Concluído")+COUNTIFS('Stella'!$B$6:$B$300,$A444,'Stella'!$F$6:$F$300,"Concluído")+COUNTIFS('Igor'!$B$6:$B$300,$A444,'Igor'!$F$6:$F$300,"Concluído"))&amp;" / "&amp;(COUNTIF('Clarice'!$B$6:$B$300,$A444)+COUNTIF('Luisa'!$B$6:$B$300,$A444)+COUNTIF('Lui'!$B$6:$B$300,$A444)+COUNTIF('Thaís'!$B$6:$B$300,$A444)+COUNTIF('Daniel'!$B$6:$B$300,$A444)+COUNTIF('Fernando'!$B$6:$B$300,$A444)+COUNTIF('Stephanie'!$B$6:$B$300,$A444)+COUNTIF('Fox'!$B$6:$B$300,$A444)+COUNTIF('Bruna'!$B$6:$B$300,$A444)+COUNTIF('Stella'!$B$6:$B$300,$A444)+COUNTIF('Igor'!$B$6:$B$300,$A444)))</f>
        <v/>
      </c>
      <c r="P444" s="25">
        <f>IF($A444="","",IF(M444&lt;&gt;"",M444,IF(K444&lt;&gt;"",K444,"")))</f>
        <v/>
      </c>
      <c r="Q444" s="25">
        <f>IF($A444="","",IF(N444&lt;&gt;"",N444,IF(L444&lt;&gt;"",L444,"")))</f>
        <v/>
      </c>
      <c r="S444" s="23">
        <f t="array" ref="S444">IF($A444="","",_xlfn.TEXTJOIN(CHAR(10),TRUE,IF('Clarice'!$B$6:$B$300=$A444,"Clarice"&amp;IF('Clarice'!$E$6:$E$300="",""," : "&amp;'Clarice'!$E$6:$E$300)&amp;" ["&amp;'Clarice'!$F$6:$F$300&amp;"]",""),IF('Luisa'!$B$6:$B$300=$A444,"Luisa"&amp;IF('Luisa'!$E$6:$E$300="",""," : "&amp;'Luisa'!$E$6:$E$300)&amp;" ["&amp;'Luisa'!$F$6:$F$300&amp;"]",""),IF('Lui'!$B$6:$B$300=$A444,"Lui"&amp;IF('Lui'!$E$6:$E$300="",""," : "&amp;'Lui'!$E$6:$E$300)&amp;" ["&amp;'Lui'!$F$6:$F$300&amp;"]",""),IF('Thaís'!$B$6:$B$300=$A444,"Thaís"&amp;IF('Thaís'!$E$6:$E$300="",""," : "&amp;'Thaís'!$E$6:$E$300)&amp;" ["&amp;'Thaís'!$F$6:$F$300&amp;"]",""),IF('Daniel'!$B$6:$B$300=$A444,"Daniel"&amp;IF('Daniel'!$E$6:$E$300="",""," : "&amp;'Daniel'!$E$6:$E$300)&amp;" ["&amp;'Daniel'!$F$6:$F$300&amp;"]",""),IF('Fernando'!$B$6:$B$300=$A444,"Fernando"&amp;IF('Fernando'!$E$6:$E$300="",""," : "&amp;'Fernando'!$E$6:$E$300)&amp;" ["&amp;'Fernando'!$F$6:$F$300&amp;"]",""),IF('Stephanie'!$B$6:$B$300=$A444,"Stephanie"&amp;IF('Stephanie'!$E$6:$E$300="",""," : "&amp;'Stephanie'!$E$6:$E$300)&amp;" ["&amp;'Stephanie'!$F$6:$F$300&amp;"]",""),IF('Fox'!$B$6:$B$300=$A444,"Fox"&amp;IF('Fox'!$E$6:$E$300="",""," : "&amp;'Fox'!$E$6:$E$300)&amp;" ["&amp;'Fox'!$F$6:$F$300&amp;"]",""),IF('Bruna'!$B$6:$B$300=$A444,"Bruna"&amp;IF('Bruna'!$E$6:$E$300="",""," : "&amp;'Bruna'!$E$6:$E$300)&amp;" ["&amp;'Bruna'!$F$6:$F$300&amp;"]",""),IF('Stella'!$B$6:$B$300=$A444,"Stella"&amp;IF('Stella'!$E$6:$E$300="",""," : "&amp;'Stella'!$E$6:$E$300)&amp;" ["&amp;'Stella'!$F$6:$F$300&amp;"]",""),IF('Igor'!$B$6:$B$300=$A444,"Igor"&amp;IF('Igor'!$E$6:$E$300="",""," : "&amp;'Igor'!$E$6:$E$300)&amp;" ["&amp;'Igor'!$F$6:$F$300&amp;"]","")))</f>
        <v/>
      </c>
    </row>
    <row r="445">
      <c r="G445" s="23">
        <f>IF($A445="","",_xlfn.TEXTJOIN("; ",TRUE,IF(COUNTIF('Clarice'!$B$6:$B$300,$A445)&gt;0,"Clarice",""),IF(COUNTIF('Luisa'!$B$6:$B$300,$A445)&gt;0,"Luisa",""),IF(COUNTIF('Lui'!$B$6:$B$300,$A445)&gt;0,"Lui",""),IF(COUNTIF('Thaís'!$B$6:$B$300,$A445)&gt;0,"Thaís",""),IF(COUNTIF('Daniel'!$B$6:$B$300,$A445)&gt;0,"Daniel",""),IF(COUNTIF('Fernando'!$B$6:$B$300,$A445)&gt;0,"Fernando",""),IF(COUNTIF('Stephanie'!$B$6:$B$300,$A445)&gt;0,"Stephanie",""),IF(COUNTIF('Fox'!$B$6:$B$300,$A445)&gt;0,"Fox",""),IF(COUNTIF('Bruna'!$B$6:$B$300,$A445)&gt;0,"Bruna",""),IF(COUNTIF('Stella'!$B$6:$B$300,$A445)&gt;0,"Stella",""),IF(COUNTIF('Igor'!$B$6:$B$300,$A445)&gt;0,"Igor","")))</f>
        <v/>
      </c>
      <c r="J445" s="24">
        <f>IF(OR($A445="",(COUNTIF('Clarice'!$B$6:$B$300,$A445)+COUNTIF('Luisa'!$B$6:$B$300,$A445)+COUNTIF('Lui'!$B$6:$B$300,$A445)+COUNTIF('Thaís'!$B$6:$B$300,$A445)+COUNTIF('Daniel'!$B$6:$B$300,$A445)+COUNTIF('Fernando'!$B$6:$B$300,$A445)+COUNTIF('Stephanie'!$B$6:$B$300,$A445)+COUNTIF('Fox'!$B$6:$B$300,$A445)+COUNTIF('Bruna'!$B$6:$B$300,$A445)+COUNTIF('Stella'!$B$6:$B$300,$A445)+COUNTIF('Igor'!$B$6:$B$300,$A445))=0),"",(COUNTIFS('Clarice'!$B$6:$B$300,$A445,'Clarice'!$F$6:$F$300,"Concluído")+COUNTIFS('Luisa'!$B$6:$B$300,$A445,'Luisa'!$F$6:$F$300,"Concluído")+COUNTIFS('Lui'!$B$6:$B$300,$A445,'Lui'!$F$6:$F$300,"Concluído")+COUNTIFS('Thaís'!$B$6:$B$300,$A445,'Thaís'!$F$6:$F$300,"Concluído")+COUNTIFS('Daniel'!$B$6:$B$300,$A445,'Daniel'!$F$6:$F$300,"Concluído")+COUNTIFS('Fernando'!$B$6:$B$300,$A445,'Fernando'!$F$6:$F$300,"Concluído")+COUNTIFS('Stephanie'!$B$6:$B$300,$A445,'Stephanie'!$F$6:$F$300,"Concluído")+COUNTIFS('Fox'!$B$6:$B$300,$A445,'Fox'!$F$6:$F$300,"Concluído")+COUNTIFS('Bruna'!$B$6:$B$300,$A445,'Bruna'!$F$6:$F$300,"Concluído")+COUNTIFS('Stella'!$B$6:$B$300,$A445,'Stella'!$F$6:$F$300,"Concluído")+COUNTIFS('Igor'!$B$6:$B$300,$A445,'Igor'!$F$6:$F$300,"Concluído"))&amp;" / "&amp;(COUNTIF('Clarice'!$B$6:$B$300,$A445)+COUNTIF('Luisa'!$B$6:$B$300,$A445)+COUNTIF('Lui'!$B$6:$B$300,$A445)+COUNTIF('Thaís'!$B$6:$B$300,$A445)+COUNTIF('Daniel'!$B$6:$B$300,$A445)+COUNTIF('Fernando'!$B$6:$B$300,$A445)+COUNTIF('Stephanie'!$B$6:$B$300,$A445)+COUNTIF('Fox'!$B$6:$B$300,$A445)+COUNTIF('Bruna'!$B$6:$B$300,$A445)+COUNTIF('Stella'!$B$6:$B$300,$A445)+COUNTIF('Igor'!$B$6:$B$300,$A445)))</f>
        <v/>
      </c>
      <c r="P445" s="25">
        <f>IF($A445="","",IF(M445&lt;&gt;"",M445,IF(K445&lt;&gt;"",K445,"")))</f>
        <v/>
      </c>
      <c r="Q445" s="25">
        <f>IF($A445="","",IF(N445&lt;&gt;"",N445,IF(L445&lt;&gt;"",L445,"")))</f>
        <v/>
      </c>
      <c r="S445" s="23">
        <f t="array" ref="S445">IF($A445="","",_xlfn.TEXTJOIN(CHAR(10),TRUE,IF('Clarice'!$B$6:$B$300=$A445,"Clarice"&amp;IF('Clarice'!$E$6:$E$300="",""," : "&amp;'Clarice'!$E$6:$E$300)&amp;" ["&amp;'Clarice'!$F$6:$F$300&amp;"]",""),IF('Luisa'!$B$6:$B$300=$A445,"Luisa"&amp;IF('Luisa'!$E$6:$E$300="",""," : "&amp;'Luisa'!$E$6:$E$300)&amp;" ["&amp;'Luisa'!$F$6:$F$300&amp;"]",""),IF('Lui'!$B$6:$B$300=$A445,"Lui"&amp;IF('Lui'!$E$6:$E$300="",""," : "&amp;'Lui'!$E$6:$E$300)&amp;" ["&amp;'Lui'!$F$6:$F$300&amp;"]",""),IF('Thaís'!$B$6:$B$300=$A445,"Thaís"&amp;IF('Thaís'!$E$6:$E$300="",""," : "&amp;'Thaís'!$E$6:$E$300)&amp;" ["&amp;'Thaís'!$F$6:$F$300&amp;"]",""),IF('Daniel'!$B$6:$B$300=$A445,"Daniel"&amp;IF('Daniel'!$E$6:$E$300="",""," : "&amp;'Daniel'!$E$6:$E$300)&amp;" ["&amp;'Daniel'!$F$6:$F$300&amp;"]",""),IF('Fernando'!$B$6:$B$300=$A445,"Fernando"&amp;IF('Fernando'!$E$6:$E$300="",""," : "&amp;'Fernando'!$E$6:$E$300)&amp;" ["&amp;'Fernando'!$F$6:$F$300&amp;"]",""),IF('Stephanie'!$B$6:$B$300=$A445,"Stephanie"&amp;IF('Stephanie'!$E$6:$E$300="",""," : "&amp;'Stephanie'!$E$6:$E$300)&amp;" ["&amp;'Stephanie'!$F$6:$F$300&amp;"]",""),IF('Fox'!$B$6:$B$300=$A445,"Fox"&amp;IF('Fox'!$E$6:$E$300="",""," : "&amp;'Fox'!$E$6:$E$300)&amp;" ["&amp;'Fox'!$F$6:$F$300&amp;"]",""),IF('Bruna'!$B$6:$B$300=$A445,"Bruna"&amp;IF('Bruna'!$E$6:$E$300="",""," : "&amp;'Bruna'!$E$6:$E$300)&amp;" ["&amp;'Bruna'!$F$6:$F$300&amp;"]",""),IF('Stella'!$B$6:$B$300=$A445,"Stella"&amp;IF('Stella'!$E$6:$E$300="",""," : "&amp;'Stella'!$E$6:$E$300)&amp;" ["&amp;'Stella'!$F$6:$F$300&amp;"]",""),IF('Igor'!$B$6:$B$300=$A445,"Igor"&amp;IF('Igor'!$E$6:$E$300="",""," : "&amp;'Igor'!$E$6:$E$300)&amp;" ["&amp;'Igor'!$F$6:$F$300&amp;"]","")))</f>
        <v/>
      </c>
    </row>
    <row r="446">
      <c r="G446" s="23">
        <f>IF($A446="","",_xlfn.TEXTJOIN("; ",TRUE,IF(COUNTIF('Clarice'!$B$6:$B$300,$A446)&gt;0,"Clarice",""),IF(COUNTIF('Luisa'!$B$6:$B$300,$A446)&gt;0,"Luisa",""),IF(COUNTIF('Lui'!$B$6:$B$300,$A446)&gt;0,"Lui",""),IF(COUNTIF('Thaís'!$B$6:$B$300,$A446)&gt;0,"Thaís",""),IF(COUNTIF('Daniel'!$B$6:$B$300,$A446)&gt;0,"Daniel",""),IF(COUNTIF('Fernando'!$B$6:$B$300,$A446)&gt;0,"Fernando",""),IF(COUNTIF('Stephanie'!$B$6:$B$300,$A446)&gt;0,"Stephanie",""),IF(COUNTIF('Fox'!$B$6:$B$300,$A446)&gt;0,"Fox",""),IF(COUNTIF('Bruna'!$B$6:$B$300,$A446)&gt;0,"Bruna",""),IF(COUNTIF('Stella'!$B$6:$B$300,$A446)&gt;0,"Stella",""),IF(COUNTIF('Igor'!$B$6:$B$300,$A446)&gt;0,"Igor","")))</f>
        <v/>
      </c>
      <c r="J446" s="24">
        <f>IF(OR($A446="",(COUNTIF('Clarice'!$B$6:$B$300,$A446)+COUNTIF('Luisa'!$B$6:$B$300,$A446)+COUNTIF('Lui'!$B$6:$B$300,$A446)+COUNTIF('Thaís'!$B$6:$B$300,$A446)+COUNTIF('Daniel'!$B$6:$B$300,$A446)+COUNTIF('Fernando'!$B$6:$B$300,$A446)+COUNTIF('Stephanie'!$B$6:$B$300,$A446)+COUNTIF('Fox'!$B$6:$B$300,$A446)+COUNTIF('Bruna'!$B$6:$B$300,$A446)+COUNTIF('Stella'!$B$6:$B$300,$A446)+COUNTIF('Igor'!$B$6:$B$300,$A446))=0),"",(COUNTIFS('Clarice'!$B$6:$B$300,$A446,'Clarice'!$F$6:$F$300,"Concluído")+COUNTIFS('Luisa'!$B$6:$B$300,$A446,'Luisa'!$F$6:$F$300,"Concluído")+COUNTIFS('Lui'!$B$6:$B$300,$A446,'Lui'!$F$6:$F$300,"Concluído")+COUNTIFS('Thaís'!$B$6:$B$300,$A446,'Thaís'!$F$6:$F$300,"Concluído")+COUNTIFS('Daniel'!$B$6:$B$300,$A446,'Daniel'!$F$6:$F$300,"Concluído")+COUNTIFS('Fernando'!$B$6:$B$300,$A446,'Fernando'!$F$6:$F$300,"Concluído")+COUNTIFS('Stephanie'!$B$6:$B$300,$A446,'Stephanie'!$F$6:$F$300,"Concluído")+COUNTIFS('Fox'!$B$6:$B$300,$A446,'Fox'!$F$6:$F$300,"Concluído")+COUNTIFS('Bruna'!$B$6:$B$300,$A446,'Bruna'!$F$6:$F$300,"Concluído")+COUNTIFS('Stella'!$B$6:$B$300,$A446,'Stella'!$F$6:$F$300,"Concluído")+COUNTIFS('Igor'!$B$6:$B$300,$A446,'Igor'!$F$6:$F$300,"Concluído"))&amp;" / "&amp;(COUNTIF('Clarice'!$B$6:$B$300,$A446)+COUNTIF('Luisa'!$B$6:$B$300,$A446)+COUNTIF('Lui'!$B$6:$B$300,$A446)+COUNTIF('Thaís'!$B$6:$B$300,$A446)+COUNTIF('Daniel'!$B$6:$B$300,$A446)+COUNTIF('Fernando'!$B$6:$B$300,$A446)+COUNTIF('Stephanie'!$B$6:$B$300,$A446)+COUNTIF('Fox'!$B$6:$B$300,$A446)+COUNTIF('Bruna'!$B$6:$B$300,$A446)+COUNTIF('Stella'!$B$6:$B$300,$A446)+COUNTIF('Igor'!$B$6:$B$300,$A446)))</f>
        <v/>
      </c>
      <c r="P446" s="25">
        <f>IF($A446="","",IF(M446&lt;&gt;"",M446,IF(K446&lt;&gt;"",K446,"")))</f>
        <v/>
      </c>
      <c r="Q446" s="25">
        <f>IF($A446="","",IF(N446&lt;&gt;"",N446,IF(L446&lt;&gt;"",L446,"")))</f>
        <v/>
      </c>
      <c r="S446" s="23">
        <f t="array" ref="S446">IF($A446="","",_xlfn.TEXTJOIN(CHAR(10),TRUE,IF('Clarice'!$B$6:$B$300=$A446,"Clarice"&amp;IF('Clarice'!$E$6:$E$300="",""," : "&amp;'Clarice'!$E$6:$E$300)&amp;" ["&amp;'Clarice'!$F$6:$F$300&amp;"]",""),IF('Luisa'!$B$6:$B$300=$A446,"Luisa"&amp;IF('Luisa'!$E$6:$E$300="",""," : "&amp;'Luisa'!$E$6:$E$300)&amp;" ["&amp;'Luisa'!$F$6:$F$300&amp;"]",""),IF('Lui'!$B$6:$B$300=$A446,"Lui"&amp;IF('Lui'!$E$6:$E$300="",""," : "&amp;'Lui'!$E$6:$E$300)&amp;" ["&amp;'Lui'!$F$6:$F$300&amp;"]",""),IF('Thaís'!$B$6:$B$300=$A446,"Thaís"&amp;IF('Thaís'!$E$6:$E$300="",""," : "&amp;'Thaís'!$E$6:$E$300)&amp;" ["&amp;'Thaís'!$F$6:$F$300&amp;"]",""),IF('Daniel'!$B$6:$B$300=$A446,"Daniel"&amp;IF('Daniel'!$E$6:$E$300="",""," : "&amp;'Daniel'!$E$6:$E$300)&amp;" ["&amp;'Daniel'!$F$6:$F$300&amp;"]",""),IF('Fernando'!$B$6:$B$300=$A446,"Fernando"&amp;IF('Fernando'!$E$6:$E$300="",""," : "&amp;'Fernando'!$E$6:$E$300)&amp;" ["&amp;'Fernando'!$F$6:$F$300&amp;"]",""),IF('Stephanie'!$B$6:$B$300=$A446,"Stephanie"&amp;IF('Stephanie'!$E$6:$E$300="",""," : "&amp;'Stephanie'!$E$6:$E$300)&amp;" ["&amp;'Stephanie'!$F$6:$F$300&amp;"]",""),IF('Fox'!$B$6:$B$300=$A446,"Fox"&amp;IF('Fox'!$E$6:$E$300="",""," : "&amp;'Fox'!$E$6:$E$300)&amp;" ["&amp;'Fox'!$F$6:$F$300&amp;"]",""),IF('Bruna'!$B$6:$B$300=$A446,"Bruna"&amp;IF('Bruna'!$E$6:$E$300="",""," : "&amp;'Bruna'!$E$6:$E$300)&amp;" ["&amp;'Bruna'!$F$6:$F$300&amp;"]",""),IF('Stella'!$B$6:$B$300=$A446,"Stella"&amp;IF('Stella'!$E$6:$E$300="",""," : "&amp;'Stella'!$E$6:$E$300)&amp;" ["&amp;'Stella'!$F$6:$F$300&amp;"]",""),IF('Igor'!$B$6:$B$300=$A446,"Igor"&amp;IF('Igor'!$E$6:$E$300="",""," : "&amp;'Igor'!$E$6:$E$300)&amp;" ["&amp;'Igor'!$F$6:$F$300&amp;"]","")))</f>
        <v/>
      </c>
    </row>
    <row r="447">
      <c r="G447" s="23">
        <f>IF($A447="","",_xlfn.TEXTJOIN("; ",TRUE,IF(COUNTIF('Clarice'!$B$6:$B$300,$A447)&gt;0,"Clarice",""),IF(COUNTIF('Luisa'!$B$6:$B$300,$A447)&gt;0,"Luisa",""),IF(COUNTIF('Lui'!$B$6:$B$300,$A447)&gt;0,"Lui",""),IF(COUNTIF('Thaís'!$B$6:$B$300,$A447)&gt;0,"Thaís",""),IF(COUNTIF('Daniel'!$B$6:$B$300,$A447)&gt;0,"Daniel",""),IF(COUNTIF('Fernando'!$B$6:$B$300,$A447)&gt;0,"Fernando",""),IF(COUNTIF('Stephanie'!$B$6:$B$300,$A447)&gt;0,"Stephanie",""),IF(COUNTIF('Fox'!$B$6:$B$300,$A447)&gt;0,"Fox",""),IF(COUNTIF('Bruna'!$B$6:$B$300,$A447)&gt;0,"Bruna",""),IF(COUNTIF('Stella'!$B$6:$B$300,$A447)&gt;0,"Stella",""),IF(COUNTIF('Igor'!$B$6:$B$300,$A447)&gt;0,"Igor","")))</f>
        <v/>
      </c>
      <c r="J447" s="24">
        <f>IF(OR($A447="",(COUNTIF('Clarice'!$B$6:$B$300,$A447)+COUNTIF('Luisa'!$B$6:$B$300,$A447)+COUNTIF('Lui'!$B$6:$B$300,$A447)+COUNTIF('Thaís'!$B$6:$B$300,$A447)+COUNTIF('Daniel'!$B$6:$B$300,$A447)+COUNTIF('Fernando'!$B$6:$B$300,$A447)+COUNTIF('Stephanie'!$B$6:$B$300,$A447)+COUNTIF('Fox'!$B$6:$B$300,$A447)+COUNTIF('Bruna'!$B$6:$B$300,$A447)+COUNTIF('Stella'!$B$6:$B$300,$A447)+COUNTIF('Igor'!$B$6:$B$300,$A447))=0),"",(COUNTIFS('Clarice'!$B$6:$B$300,$A447,'Clarice'!$F$6:$F$300,"Concluído")+COUNTIFS('Luisa'!$B$6:$B$300,$A447,'Luisa'!$F$6:$F$300,"Concluído")+COUNTIFS('Lui'!$B$6:$B$300,$A447,'Lui'!$F$6:$F$300,"Concluído")+COUNTIFS('Thaís'!$B$6:$B$300,$A447,'Thaís'!$F$6:$F$300,"Concluído")+COUNTIFS('Daniel'!$B$6:$B$300,$A447,'Daniel'!$F$6:$F$300,"Concluído")+COUNTIFS('Fernando'!$B$6:$B$300,$A447,'Fernando'!$F$6:$F$300,"Concluído")+COUNTIFS('Stephanie'!$B$6:$B$300,$A447,'Stephanie'!$F$6:$F$300,"Concluído")+COUNTIFS('Fox'!$B$6:$B$300,$A447,'Fox'!$F$6:$F$300,"Concluído")+COUNTIFS('Bruna'!$B$6:$B$300,$A447,'Bruna'!$F$6:$F$300,"Concluído")+COUNTIFS('Stella'!$B$6:$B$300,$A447,'Stella'!$F$6:$F$300,"Concluído")+COUNTIFS('Igor'!$B$6:$B$300,$A447,'Igor'!$F$6:$F$300,"Concluído"))&amp;" / "&amp;(COUNTIF('Clarice'!$B$6:$B$300,$A447)+COUNTIF('Luisa'!$B$6:$B$300,$A447)+COUNTIF('Lui'!$B$6:$B$300,$A447)+COUNTIF('Thaís'!$B$6:$B$300,$A447)+COUNTIF('Daniel'!$B$6:$B$300,$A447)+COUNTIF('Fernando'!$B$6:$B$300,$A447)+COUNTIF('Stephanie'!$B$6:$B$300,$A447)+COUNTIF('Fox'!$B$6:$B$300,$A447)+COUNTIF('Bruna'!$B$6:$B$300,$A447)+COUNTIF('Stella'!$B$6:$B$300,$A447)+COUNTIF('Igor'!$B$6:$B$300,$A447)))</f>
        <v/>
      </c>
      <c r="P447" s="25">
        <f>IF($A447="","",IF(M447&lt;&gt;"",M447,IF(K447&lt;&gt;"",K447,"")))</f>
        <v/>
      </c>
      <c r="Q447" s="25">
        <f>IF($A447="","",IF(N447&lt;&gt;"",N447,IF(L447&lt;&gt;"",L447,"")))</f>
        <v/>
      </c>
      <c r="S447" s="23">
        <f t="array" ref="S447">IF($A447="","",_xlfn.TEXTJOIN(CHAR(10),TRUE,IF('Clarice'!$B$6:$B$300=$A447,"Clarice"&amp;IF('Clarice'!$E$6:$E$300="",""," : "&amp;'Clarice'!$E$6:$E$300)&amp;" ["&amp;'Clarice'!$F$6:$F$300&amp;"]",""),IF('Luisa'!$B$6:$B$300=$A447,"Luisa"&amp;IF('Luisa'!$E$6:$E$300="",""," : "&amp;'Luisa'!$E$6:$E$300)&amp;" ["&amp;'Luisa'!$F$6:$F$300&amp;"]",""),IF('Lui'!$B$6:$B$300=$A447,"Lui"&amp;IF('Lui'!$E$6:$E$300="",""," : "&amp;'Lui'!$E$6:$E$300)&amp;" ["&amp;'Lui'!$F$6:$F$300&amp;"]",""),IF('Thaís'!$B$6:$B$300=$A447,"Thaís"&amp;IF('Thaís'!$E$6:$E$300="",""," : "&amp;'Thaís'!$E$6:$E$300)&amp;" ["&amp;'Thaís'!$F$6:$F$300&amp;"]",""),IF('Daniel'!$B$6:$B$300=$A447,"Daniel"&amp;IF('Daniel'!$E$6:$E$300="",""," : "&amp;'Daniel'!$E$6:$E$300)&amp;" ["&amp;'Daniel'!$F$6:$F$300&amp;"]",""),IF('Fernando'!$B$6:$B$300=$A447,"Fernando"&amp;IF('Fernando'!$E$6:$E$300="",""," : "&amp;'Fernando'!$E$6:$E$300)&amp;" ["&amp;'Fernando'!$F$6:$F$300&amp;"]",""),IF('Stephanie'!$B$6:$B$300=$A447,"Stephanie"&amp;IF('Stephanie'!$E$6:$E$300="",""," : "&amp;'Stephanie'!$E$6:$E$300)&amp;" ["&amp;'Stephanie'!$F$6:$F$300&amp;"]",""),IF('Fox'!$B$6:$B$300=$A447,"Fox"&amp;IF('Fox'!$E$6:$E$300="",""," : "&amp;'Fox'!$E$6:$E$300)&amp;" ["&amp;'Fox'!$F$6:$F$300&amp;"]",""),IF('Bruna'!$B$6:$B$300=$A447,"Bruna"&amp;IF('Bruna'!$E$6:$E$300="",""," : "&amp;'Bruna'!$E$6:$E$300)&amp;" ["&amp;'Bruna'!$F$6:$F$300&amp;"]",""),IF('Stella'!$B$6:$B$300=$A447,"Stella"&amp;IF('Stella'!$E$6:$E$300="",""," : "&amp;'Stella'!$E$6:$E$300)&amp;" ["&amp;'Stella'!$F$6:$F$300&amp;"]",""),IF('Igor'!$B$6:$B$300=$A447,"Igor"&amp;IF('Igor'!$E$6:$E$300="",""," : "&amp;'Igor'!$E$6:$E$300)&amp;" ["&amp;'Igor'!$F$6:$F$300&amp;"]","")))</f>
        <v/>
      </c>
    </row>
    <row r="448">
      <c r="G448" s="23">
        <f>IF($A448="","",_xlfn.TEXTJOIN("; ",TRUE,IF(COUNTIF('Clarice'!$B$6:$B$300,$A448)&gt;0,"Clarice",""),IF(COUNTIF('Luisa'!$B$6:$B$300,$A448)&gt;0,"Luisa",""),IF(COUNTIF('Lui'!$B$6:$B$300,$A448)&gt;0,"Lui",""),IF(COUNTIF('Thaís'!$B$6:$B$300,$A448)&gt;0,"Thaís",""),IF(COUNTIF('Daniel'!$B$6:$B$300,$A448)&gt;0,"Daniel",""),IF(COUNTIF('Fernando'!$B$6:$B$300,$A448)&gt;0,"Fernando",""),IF(COUNTIF('Stephanie'!$B$6:$B$300,$A448)&gt;0,"Stephanie",""),IF(COUNTIF('Fox'!$B$6:$B$300,$A448)&gt;0,"Fox",""),IF(COUNTIF('Bruna'!$B$6:$B$300,$A448)&gt;0,"Bruna",""),IF(COUNTIF('Stella'!$B$6:$B$300,$A448)&gt;0,"Stella",""),IF(COUNTIF('Igor'!$B$6:$B$300,$A448)&gt;0,"Igor","")))</f>
        <v/>
      </c>
      <c r="J448" s="24">
        <f>IF(OR($A448="",(COUNTIF('Clarice'!$B$6:$B$300,$A448)+COUNTIF('Luisa'!$B$6:$B$300,$A448)+COUNTIF('Lui'!$B$6:$B$300,$A448)+COUNTIF('Thaís'!$B$6:$B$300,$A448)+COUNTIF('Daniel'!$B$6:$B$300,$A448)+COUNTIF('Fernando'!$B$6:$B$300,$A448)+COUNTIF('Stephanie'!$B$6:$B$300,$A448)+COUNTIF('Fox'!$B$6:$B$300,$A448)+COUNTIF('Bruna'!$B$6:$B$300,$A448)+COUNTIF('Stella'!$B$6:$B$300,$A448)+COUNTIF('Igor'!$B$6:$B$300,$A448))=0),"",(COUNTIFS('Clarice'!$B$6:$B$300,$A448,'Clarice'!$F$6:$F$300,"Concluído")+COUNTIFS('Luisa'!$B$6:$B$300,$A448,'Luisa'!$F$6:$F$300,"Concluído")+COUNTIFS('Lui'!$B$6:$B$300,$A448,'Lui'!$F$6:$F$300,"Concluído")+COUNTIFS('Thaís'!$B$6:$B$300,$A448,'Thaís'!$F$6:$F$300,"Concluído")+COUNTIFS('Daniel'!$B$6:$B$300,$A448,'Daniel'!$F$6:$F$300,"Concluído")+COUNTIFS('Fernando'!$B$6:$B$300,$A448,'Fernando'!$F$6:$F$300,"Concluído")+COUNTIFS('Stephanie'!$B$6:$B$300,$A448,'Stephanie'!$F$6:$F$300,"Concluído")+COUNTIFS('Fox'!$B$6:$B$300,$A448,'Fox'!$F$6:$F$300,"Concluído")+COUNTIFS('Bruna'!$B$6:$B$300,$A448,'Bruna'!$F$6:$F$300,"Concluído")+COUNTIFS('Stella'!$B$6:$B$300,$A448,'Stella'!$F$6:$F$300,"Concluído")+COUNTIFS('Igor'!$B$6:$B$300,$A448,'Igor'!$F$6:$F$300,"Concluído"))&amp;" / "&amp;(COUNTIF('Clarice'!$B$6:$B$300,$A448)+COUNTIF('Luisa'!$B$6:$B$300,$A448)+COUNTIF('Lui'!$B$6:$B$300,$A448)+COUNTIF('Thaís'!$B$6:$B$300,$A448)+COUNTIF('Daniel'!$B$6:$B$300,$A448)+COUNTIF('Fernando'!$B$6:$B$300,$A448)+COUNTIF('Stephanie'!$B$6:$B$300,$A448)+COUNTIF('Fox'!$B$6:$B$300,$A448)+COUNTIF('Bruna'!$B$6:$B$300,$A448)+COUNTIF('Stella'!$B$6:$B$300,$A448)+COUNTIF('Igor'!$B$6:$B$300,$A448)))</f>
        <v/>
      </c>
      <c r="P448" s="25">
        <f>IF($A448="","",IF(M448&lt;&gt;"",M448,IF(K448&lt;&gt;"",K448,"")))</f>
        <v/>
      </c>
      <c r="Q448" s="25">
        <f>IF($A448="","",IF(N448&lt;&gt;"",N448,IF(L448&lt;&gt;"",L448,"")))</f>
        <v/>
      </c>
      <c r="S448" s="23">
        <f t="array" ref="S448">IF($A448="","",_xlfn.TEXTJOIN(CHAR(10),TRUE,IF('Clarice'!$B$6:$B$300=$A448,"Clarice"&amp;IF('Clarice'!$E$6:$E$300="",""," : "&amp;'Clarice'!$E$6:$E$300)&amp;" ["&amp;'Clarice'!$F$6:$F$300&amp;"]",""),IF('Luisa'!$B$6:$B$300=$A448,"Luisa"&amp;IF('Luisa'!$E$6:$E$300="",""," : "&amp;'Luisa'!$E$6:$E$300)&amp;" ["&amp;'Luisa'!$F$6:$F$300&amp;"]",""),IF('Lui'!$B$6:$B$300=$A448,"Lui"&amp;IF('Lui'!$E$6:$E$300="",""," : "&amp;'Lui'!$E$6:$E$300)&amp;" ["&amp;'Lui'!$F$6:$F$300&amp;"]",""),IF('Thaís'!$B$6:$B$300=$A448,"Thaís"&amp;IF('Thaís'!$E$6:$E$300="",""," : "&amp;'Thaís'!$E$6:$E$300)&amp;" ["&amp;'Thaís'!$F$6:$F$300&amp;"]",""),IF('Daniel'!$B$6:$B$300=$A448,"Daniel"&amp;IF('Daniel'!$E$6:$E$300="",""," : "&amp;'Daniel'!$E$6:$E$300)&amp;" ["&amp;'Daniel'!$F$6:$F$300&amp;"]",""),IF('Fernando'!$B$6:$B$300=$A448,"Fernando"&amp;IF('Fernando'!$E$6:$E$300="",""," : "&amp;'Fernando'!$E$6:$E$300)&amp;" ["&amp;'Fernando'!$F$6:$F$300&amp;"]",""),IF('Stephanie'!$B$6:$B$300=$A448,"Stephanie"&amp;IF('Stephanie'!$E$6:$E$300="",""," : "&amp;'Stephanie'!$E$6:$E$300)&amp;" ["&amp;'Stephanie'!$F$6:$F$300&amp;"]",""),IF('Fox'!$B$6:$B$300=$A448,"Fox"&amp;IF('Fox'!$E$6:$E$300="",""," : "&amp;'Fox'!$E$6:$E$300)&amp;" ["&amp;'Fox'!$F$6:$F$300&amp;"]",""),IF('Bruna'!$B$6:$B$300=$A448,"Bruna"&amp;IF('Bruna'!$E$6:$E$300="",""," : "&amp;'Bruna'!$E$6:$E$300)&amp;" ["&amp;'Bruna'!$F$6:$F$300&amp;"]",""),IF('Stella'!$B$6:$B$300=$A448,"Stella"&amp;IF('Stella'!$E$6:$E$300="",""," : "&amp;'Stella'!$E$6:$E$300)&amp;" ["&amp;'Stella'!$F$6:$F$300&amp;"]",""),IF('Igor'!$B$6:$B$300=$A448,"Igor"&amp;IF('Igor'!$E$6:$E$300="",""," : "&amp;'Igor'!$E$6:$E$300)&amp;" ["&amp;'Igor'!$F$6:$F$300&amp;"]","")))</f>
        <v/>
      </c>
    </row>
    <row r="449">
      <c r="G449" s="23">
        <f>IF($A449="","",_xlfn.TEXTJOIN("; ",TRUE,IF(COUNTIF('Clarice'!$B$6:$B$300,$A449)&gt;0,"Clarice",""),IF(COUNTIF('Luisa'!$B$6:$B$300,$A449)&gt;0,"Luisa",""),IF(COUNTIF('Lui'!$B$6:$B$300,$A449)&gt;0,"Lui",""),IF(COUNTIF('Thaís'!$B$6:$B$300,$A449)&gt;0,"Thaís",""),IF(COUNTIF('Daniel'!$B$6:$B$300,$A449)&gt;0,"Daniel",""),IF(COUNTIF('Fernando'!$B$6:$B$300,$A449)&gt;0,"Fernando",""),IF(COUNTIF('Stephanie'!$B$6:$B$300,$A449)&gt;0,"Stephanie",""),IF(COUNTIF('Fox'!$B$6:$B$300,$A449)&gt;0,"Fox",""),IF(COUNTIF('Bruna'!$B$6:$B$300,$A449)&gt;0,"Bruna",""),IF(COUNTIF('Stella'!$B$6:$B$300,$A449)&gt;0,"Stella",""),IF(COUNTIF('Igor'!$B$6:$B$300,$A449)&gt;0,"Igor","")))</f>
        <v/>
      </c>
      <c r="J449" s="24">
        <f>IF(OR($A449="",(COUNTIF('Clarice'!$B$6:$B$300,$A449)+COUNTIF('Luisa'!$B$6:$B$300,$A449)+COUNTIF('Lui'!$B$6:$B$300,$A449)+COUNTIF('Thaís'!$B$6:$B$300,$A449)+COUNTIF('Daniel'!$B$6:$B$300,$A449)+COUNTIF('Fernando'!$B$6:$B$300,$A449)+COUNTIF('Stephanie'!$B$6:$B$300,$A449)+COUNTIF('Fox'!$B$6:$B$300,$A449)+COUNTIF('Bruna'!$B$6:$B$300,$A449)+COUNTIF('Stella'!$B$6:$B$300,$A449)+COUNTIF('Igor'!$B$6:$B$300,$A449))=0),"",(COUNTIFS('Clarice'!$B$6:$B$300,$A449,'Clarice'!$F$6:$F$300,"Concluído")+COUNTIFS('Luisa'!$B$6:$B$300,$A449,'Luisa'!$F$6:$F$300,"Concluído")+COUNTIFS('Lui'!$B$6:$B$300,$A449,'Lui'!$F$6:$F$300,"Concluído")+COUNTIFS('Thaís'!$B$6:$B$300,$A449,'Thaís'!$F$6:$F$300,"Concluído")+COUNTIFS('Daniel'!$B$6:$B$300,$A449,'Daniel'!$F$6:$F$300,"Concluído")+COUNTIFS('Fernando'!$B$6:$B$300,$A449,'Fernando'!$F$6:$F$300,"Concluído")+COUNTIFS('Stephanie'!$B$6:$B$300,$A449,'Stephanie'!$F$6:$F$300,"Concluído")+COUNTIFS('Fox'!$B$6:$B$300,$A449,'Fox'!$F$6:$F$300,"Concluído")+COUNTIFS('Bruna'!$B$6:$B$300,$A449,'Bruna'!$F$6:$F$300,"Concluído")+COUNTIFS('Stella'!$B$6:$B$300,$A449,'Stella'!$F$6:$F$300,"Concluído")+COUNTIFS('Igor'!$B$6:$B$300,$A449,'Igor'!$F$6:$F$300,"Concluído"))&amp;" / "&amp;(COUNTIF('Clarice'!$B$6:$B$300,$A449)+COUNTIF('Luisa'!$B$6:$B$300,$A449)+COUNTIF('Lui'!$B$6:$B$300,$A449)+COUNTIF('Thaís'!$B$6:$B$300,$A449)+COUNTIF('Daniel'!$B$6:$B$300,$A449)+COUNTIF('Fernando'!$B$6:$B$300,$A449)+COUNTIF('Stephanie'!$B$6:$B$300,$A449)+COUNTIF('Fox'!$B$6:$B$300,$A449)+COUNTIF('Bruna'!$B$6:$B$300,$A449)+COUNTIF('Stella'!$B$6:$B$300,$A449)+COUNTIF('Igor'!$B$6:$B$300,$A449)))</f>
        <v/>
      </c>
      <c r="P449" s="25">
        <f>IF($A449="","",IF(M449&lt;&gt;"",M449,IF(K449&lt;&gt;"",K449,"")))</f>
        <v/>
      </c>
      <c r="Q449" s="25">
        <f>IF($A449="","",IF(N449&lt;&gt;"",N449,IF(L449&lt;&gt;"",L449,"")))</f>
        <v/>
      </c>
      <c r="S449" s="23">
        <f t="array" ref="S449">IF($A449="","",_xlfn.TEXTJOIN(CHAR(10),TRUE,IF('Clarice'!$B$6:$B$300=$A449,"Clarice"&amp;IF('Clarice'!$E$6:$E$300="",""," : "&amp;'Clarice'!$E$6:$E$300)&amp;" ["&amp;'Clarice'!$F$6:$F$300&amp;"]",""),IF('Luisa'!$B$6:$B$300=$A449,"Luisa"&amp;IF('Luisa'!$E$6:$E$300="",""," : "&amp;'Luisa'!$E$6:$E$300)&amp;" ["&amp;'Luisa'!$F$6:$F$300&amp;"]",""),IF('Lui'!$B$6:$B$300=$A449,"Lui"&amp;IF('Lui'!$E$6:$E$300="",""," : "&amp;'Lui'!$E$6:$E$300)&amp;" ["&amp;'Lui'!$F$6:$F$300&amp;"]",""),IF('Thaís'!$B$6:$B$300=$A449,"Thaís"&amp;IF('Thaís'!$E$6:$E$300="",""," : "&amp;'Thaís'!$E$6:$E$300)&amp;" ["&amp;'Thaís'!$F$6:$F$300&amp;"]",""),IF('Daniel'!$B$6:$B$300=$A449,"Daniel"&amp;IF('Daniel'!$E$6:$E$300="",""," : "&amp;'Daniel'!$E$6:$E$300)&amp;" ["&amp;'Daniel'!$F$6:$F$300&amp;"]",""),IF('Fernando'!$B$6:$B$300=$A449,"Fernando"&amp;IF('Fernando'!$E$6:$E$300="",""," : "&amp;'Fernando'!$E$6:$E$300)&amp;" ["&amp;'Fernando'!$F$6:$F$300&amp;"]",""),IF('Stephanie'!$B$6:$B$300=$A449,"Stephanie"&amp;IF('Stephanie'!$E$6:$E$300="",""," : "&amp;'Stephanie'!$E$6:$E$300)&amp;" ["&amp;'Stephanie'!$F$6:$F$300&amp;"]",""),IF('Fox'!$B$6:$B$300=$A449,"Fox"&amp;IF('Fox'!$E$6:$E$300="",""," : "&amp;'Fox'!$E$6:$E$300)&amp;" ["&amp;'Fox'!$F$6:$F$300&amp;"]",""),IF('Bruna'!$B$6:$B$300=$A449,"Bruna"&amp;IF('Bruna'!$E$6:$E$300="",""," : "&amp;'Bruna'!$E$6:$E$300)&amp;" ["&amp;'Bruna'!$F$6:$F$300&amp;"]",""),IF('Stella'!$B$6:$B$300=$A449,"Stella"&amp;IF('Stella'!$E$6:$E$300="",""," : "&amp;'Stella'!$E$6:$E$300)&amp;" ["&amp;'Stella'!$F$6:$F$300&amp;"]",""),IF('Igor'!$B$6:$B$300=$A449,"Igor"&amp;IF('Igor'!$E$6:$E$300="",""," : "&amp;'Igor'!$E$6:$E$300)&amp;" ["&amp;'Igor'!$F$6:$F$300&amp;"]","")))</f>
        <v/>
      </c>
    </row>
    <row r="450">
      <c r="G450" s="23">
        <f>IF($A450="","",_xlfn.TEXTJOIN("; ",TRUE,IF(COUNTIF('Clarice'!$B$6:$B$300,$A450)&gt;0,"Clarice",""),IF(COUNTIF('Luisa'!$B$6:$B$300,$A450)&gt;0,"Luisa",""),IF(COUNTIF('Lui'!$B$6:$B$300,$A450)&gt;0,"Lui",""),IF(COUNTIF('Thaís'!$B$6:$B$300,$A450)&gt;0,"Thaís",""),IF(COUNTIF('Daniel'!$B$6:$B$300,$A450)&gt;0,"Daniel",""),IF(COUNTIF('Fernando'!$B$6:$B$300,$A450)&gt;0,"Fernando",""),IF(COUNTIF('Stephanie'!$B$6:$B$300,$A450)&gt;0,"Stephanie",""),IF(COUNTIF('Fox'!$B$6:$B$300,$A450)&gt;0,"Fox",""),IF(COUNTIF('Bruna'!$B$6:$B$300,$A450)&gt;0,"Bruna",""),IF(COUNTIF('Stella'!$B$6:$B$300,$A450)&gt;0,"Stella",""),IF(COUNTIF('Igor'!$B$6:$B$300,$A450)&gt;0,"Igor","")))</f>
        <v/>
      </c>
      <c r="J450" s="24">
        <f>IF(OR($A450="",(COUNTIF('Clarice'!$B$6:$B$300,$A450)+COUNTIF('Luisa'!$B$6:$B$300,$A450)+COUNTIF('Lui'!$B$6:$B$300,$A450)+COUNTIF('Thaís'!$B$6:$B$300,$A450)+COUNTIF('Daniel'!$B$6:$B$300,$A450)+COUNTIF('Fernando'!$B$6:$B$300,$A450)+COUNTIF('Stephanie'!$B$6:$B$300,$A450)+COUNTIF('Fox'!$B$6:$B$300,$A450)+COUNTIF('Bruna'!$B$6:$B$300,$A450)+COUNTIF('Stella'!$B$6:$B$300,$A450)+COUNTIF('Igor'!$B$6:$B$300,$A450))=0),"",(COUNTIFS('Clarice'!$B$6:$B$300,$A450,'Clarice'!$F$6:$F$300,"Concluído")+COUNTIFS('Luisa'!$B$6:$B$300,$A450,'Luisa'!$F$6:$F$300,"Concluído")+COUNTIFS('Lui'!$B$6:$B$300,$A450,'Lui'!$F$6:$F$300,"Concluído")+COUNTIFS('Thaís'!$B$6:$B$300,$A450,'Thaís'!$F$6:$F$300,"Concluído")+COUNTIFS('Daniel'!$B$6:$B$300,$A450,'Daniel'!$F$6:$F$300,"Concluído")+COUNTIFS('Fernando'!$B$6:$B$300,$A450,'Fernando'!$F$6:$F$300,"Concluído")+COUNTIFS('Stephanie'!$B$6:$B$300,$A450,'Stephanie'!$F$6:$F$300,"Concluído")+COUNTIFS('Fox'!$B$6:$B$300,$A450,'Fox'!$F$6:$F$300,"Concluído")+COUNTIFS('Bruna'!$B$6:$B$300,$A450,'Bruna'!$F$6:$F$300,"Concluído")+COUNTIFS('Stella'!$B$6:$B$300,$A450,'Stella'!$F$6:$F$300,"Concluído")+COUNTIFS('Igor'!$B$6:$B$300,$A450,'Igor'!$F$6:$F$300,"Concluído"))&amp;" / "&amp;(COUNTIF('Clarice'!$B$6:$B$300,$A450)+COUNTIF('Luisa'!$B$6:$B$300,$A450)+COUNTIF('Lui'!$B$6:$B$300,$A450)+COUNTIF('Thaís'!$B$6:$B$300,$A450)+COUNTIF('Daniel'!$B$6:$B$300,$A450)+COUNTIF('Fernando'!$B$6:$B$300,$A450)+COUNTIF('Stephanie'!$B$6:$B$300,$A450)+COUNTIF('Fox'!$B$6:$B$300,$A450)+COUNTIF('Bruna'!$B$6:$B$300,$A450)+COUNTIF('Stella'!$B$6:$B$300,$A450)+COUNTIF('Igor'!$B$6:$B$300,$A450)))</f>
        <v/>
      </c>
      <c r="P450" s="25">
        <f>IF($A450="","",IF(M450&lt;&gt;"",M450,IF(K450&lt;&gt;"",K450,"")))</f>
        <v/>
      </c>
      <c r="Q450" s="25">
        <f>IF($A450="","",IF(N450&lt;&gt;"",N450,IF(L450&lt;&gt;"",L450,"")))</f>
        <v/>
      </c>
      <c r="S450" s="23">
        <f t="array" ref="S450">IF($A450="","",_xlfn.TEXTJOIN(CHAR(10),TRUE,IF('Clarice'!$B$6:$B$300=$A450,"Clarice"&amp;IF('Clarice'!$E$6:$E$300="",""," : "&amp;'Clarice'!$E$6:$E$300)&amp;" ["&amp;'Clarice'!$F$6:$F$300&amp;"]",""),IF('Luisa'!$B$6:$B$300=$A450,"Luisa"&amp;IF('Luisa'!$E$6:$E$300="",""," : "&amp;'Luisa'!$E$6:$E$300)&amp;" ["&amp;'Luisa'!$F$6:$F$300&amp;"]",""),IF('Lui'!$B$6:$B$300=$A450,"Lui"&amp;IF('Lui'!$E$6:$E$300="",""," : "&amp;'Lui'!$E$6:$E$300)&amp;" ["&amp;'Lui'!$F$6:$F$300&amp;"]",""),IF('Thaís'!$B$6:$B$300=$A450,"Thaís"&amp;IF('Thaís'!$E$6:$E$300="",""," : "&amp;'Thaís'!$E$6:$E$300)&amp;" ["&amp;'Thaís'!$F$6:$F$300&amp;"]",""),IF('Daniel'!$B$6:$B$300=$A450,"Daniel"&amp;IF('Daniel'!$E$6:$E$300="",""," : "&amp;'Daniel'!$E$6:$E$300)&amp;" ["&amp;'Daniel'!$F$6:$F$300&amp;"]",""),IF('Fernando'!$B$6:$B$300=$A450,"Fernando"&amp;IF('Fernando'!$E$6:$E$300="",""," : "&amp;'Fernando'!$E$6:$E$300)&amp;" ["&amp;'Fernando'!$F$6:$F$300&amp;"]",""),IF('Stephanie'!$B$6:$B$300=$A450,"Stephanie"&amp;IF('Stephanie'!$E$6:$E$300="",""," : "&amp;'Stephanie'!$E$6:$E$300)&amp;" ["&amp;'Stephanie'!$F$6:$F$300&amp;"]",""),IF('Fox'!$B$6:$B$300=$A450,"Fox"&amp;IF('Fox'!$E$6:$E$300="",""," : "&amp;'Fox'!$E$6:$E$300)&amp;" ["&amp;'Fox'!$F$6:$F$300&amp;"]",""),IF('Bruna'!$B$6:$B$300=$A450,"Bruna"&amp;IF('Bruna'!$E$6:$E$300="",""," : "&amp;'Bruna'!$E$6:$E$300)&amp;" ["&amp;'Bruna'!$F$6:$F$300&amp;"]",""),IF('Stella'!$B$6:$B$300=$A450,"Stella"&amp;IF('Stella'!$E$6:$E$300="",""," : "&amp;'Stella'!$E$6:$E$300)&amp;" ["&amp;'Stella'!$F$6:$F$300&amp;"]",""),IF('Igor'!$B$6:$B$300=$A450,"Igor"&amp;IF('Igor'!$E$6:$E$300="",""," : "&amp;'Igor'!$E$6:$E$300)&amp;" ["&amp;'Igor'!$F$6:$F$300&amp;"]","")))</f>
        <v/>
      </c>
    </row>
    <row r="451">
      <c r="G451" s="23">
        <f>IF($A451="","",_xlfn.TEXTJOIN("; ",TRUE,IF(COUNTIF('Clarice'!$B$6:$B$300,$A451)&gt;0,"Clarice",""),IF(COUNTIF('Luisa'!$B$6:$B$300,$A451)&gt;0,"Luisa",""),IF(COUNTIF('Lui'!$B$6:$B$300,$A451)&gt;0,"Lui",""),IF(COUNTIF('Thaís'!$B$6:$B$300,$A451)&gt;0,"Thaís",""),IF(COUNTIF('Daniel'!$B$6:$B$300,$A451)&gt;0,"Daniel",""),IF(COUNTIF('Fernando'!$B$6:$B$300,$A451)&gt;0,"Fernando",""),IF(COUNTIF('Stephanie'!$B$6:$B$300,$A451)&gt;0,"Stephanie",""),IF(COUNTIF('Fox'!$B$6:$B$300,$A451)&gt;0,"Fox",""),IF(COUNTIF('Bruna'!$B$6:$B$300,$A451)&gt;0,"Bruna",""),IF(COUNTIF('Stella'!$B$6:$B$300,$A451)&gt;0,"Stella",""),IF(COUNTIF('Igor'!$B$6:$B$300,$A451)&gt;0,"Igor","")))</f>
        <v/>
      </c>
      <c r="J451" s="24">
        <f>IF(OR($A451="",(COUNTIF('Clarice'!$B$6:$B$300,$A451)+COUNTIF('Luisa'!$B$6:$B$300,$A451)+COUNTIF('Lui'!$B$6:$B$300,$A451)+COUNTIF('Thaís'!$B$6:$B$300,$A451)+COUNTIF('Daniel'!$B$6:$B$300,$A451)+COUNTIF('Fernando'!$B$6:$B$300,$A451)+COUNTIF('Stephanie'!$B$6:$B$300,$A451)+COUNTIF('Fox'!$B$6:$B$300,$A451)+COUNTIF('Bruna'!$B$6:$B$300,$A451)+COUNTIF('Stella'!$B$6:$B$300,$A451)+COUNTIF('Igor'!$B$6:$B$300,$A451))=0),"",(COUNTIFS('Clarice'!$B$6:$B$300,$A451,'Clarice'!$F$6:$F$300,"Concluído")+COUNTIFS('Luisa'!$B$6:$B$300,$A451,'Luisa'!$F$6:$F$300,"Concluído")+COUNTIFS('Lui'!$B$6:$B$300,$A451,'Lui'!$F$6:$F$300,"Concluído")+COUNTIFS('Thaís'!$B$6:$B$300,$A451,'Thaís'!$F$6:$F$300,"Concluído")+COUNTIFS('Daniel'!$B$6:$B$300,$A451,'Daniel'!$F$6:$F$300,"Concluído")+COUNTIFS('Fernando'!$B$6:$B$300,$A451,'Fernando'!$F$6:$F$300,"Concluído")+COUNTIFS('Stephanie'!$B$6:$B$300,$A451,'Stephanie'!$F$6:$F$300,"Concluído")+COUNTIFS('Fox'!$B$6:$B$300,$A451,'Fox'!$F$6:$F$300,"Concluído")+COUNTIFS('Bruna'!$B$6:$B$300,$A451,'Bruna'!$F$6:$F$300,"Concluído")+COUNTIFS('Stella'!$B$6:$B$300,$A451,'Stella'!$F$6:$F$300,"Concluído")+COUNTIFS('Igor'!$B$6:$B$300,$A451,'Igor'!$F$6:$F$300,"Concluído"))&amp;" / "&amp;(COUNTIF('Clarice'!$B$6:$B$300,$A451)+COUNTIF('Luisa'!$B$6:$B$300,$A451)+COUNTIF('Lui'!$B$6:$B$300,$A451)+COUNTIF('Thaís'!$B$6:$B$300,$A451)+COUNTIF('Daniel'!$B$6:$B$300,$A451)+COUNTIF('Fernando'!$B$6:$B$300,$A451)+COUNTIF('Stephanie'!$B$6:$B$300,$A451)+COUNTIF('Fox'!$B$6:$B$300,$A451)+COUNTIF('Bruna'!$B$6:$B$300,$A451)+COUNTIF('Stella'!$B$6:$B$300,$A451)+COUNTIF('Igor'!$B$6:$B$300,$A451)))</f>
        <v/>
      </c>
      <c r="P451" s="25">
        <f>IF($A451="","",IF(M451&lt;&gt;"",M451,IF(K451&lt;&gt;"",K451,"")))</f>
        <v/>
      </c>
      <c r="Q451" s="25">
        <f>IF($A451="","",IF(N451&lt;&gt;"",N451,IF(L451&lt;&gt;"",L451,"")))</f>
        <v/>
      </c>
      <c r="S451" s="23">
        <f t="array" ref="S451">IF($A451="","",_xlfn.TEXTJOIN(CHAR(10),TRUE,IF('Clarice'!$B$6:$B$300=$A451,"Clarice"&amp;IF('Clarice'!$E$6:$E$300="",""," : "&amp;'Clarice'!$E$6:$E$300)&amp;" ["&amp;'Clarice'!$F$6:$F$300&amp;"]",""),IF('Luisa'!$B$6:$B$300=$A451,"Luisa"&amp;IF('Luisa'!$E$6:$E$300="",""," : "&amp;'Luisa'!$E$6:$E$300)&amp;" ["&amp;'Luisa'!$F$6:$F$300&amp;"]",""),IF('Lui'!$B$6:$B$300=$A451,"Lui"&amp;IF('Lui'!$E$6:$E$300="",""," : "&amp;'Lui'!$E$6:$E$300)&amp;" ["&amp;'Lui'!$F$6:$F$300&amp;"]",""),IF('Thaís'!$B$6:$B$300=$A451,"Thaís"&amp;IF('Thaís'!$E$6:$E$300="",""," : "&amp;'Thaís'!$E$6:$E$300)&amp;" ["&amp;'Thaís'!$F$6:$F$300&amp;"]",""),IF('Daniel'!$B$6:$B$300=$A451,"Daniel"&amp;IF('Daniel'!$E$6:$E$300="",""," : "&amp;'Daniel'!$E$6:$E$300)&amp;" ["&amp;'Daniel'!$F$6:$F$300&amp;"]",""),IF('Fernando'!$B$6:$B$300=$A451,"Fernando"&amp;IF('Fernando'!$E$6:$E$300="",""," : "&amp;'Fernando'!$E$6:$E$300)&amp;" ["&amp;'Fernando'!$F$6:$F$300&amp;"]",""),IF('Stephanie'!$B$6:$B$300=$A451,"Stephanie"&amp;IF('Stephanie'!$E$6:$E$300="",""," : "&amp;'Stephanie'!$E$6:$E$300)&amp;" ["&amp;'Stephanie'!$F$6:$F$300&amp;"]",""),IF('Fox'!$B$6:$B$300=$A451,"Fox"&amp;IF('Fox'!$E$6:$E$300="",""," : "&amp;'Fox'!$E$6:$E$300)&amp;" ["&amp;'Fox'!$F$6:$F$300&amp;"]",""),IF('Bruna'!$B$6:$B$300=$A451,"Bruna"&amp;IF('Bruna'!$E$6:$E$300="",""," : "&amp;'Bruna'!$E$6:$E$300)&amp;" ["&amp;'Bruna'!$F$6:$F$300&amp;"]",""),IF('Stella'!$B$6:$B$300=$A451,"Stella"&amp;IF('Stella'!$E$6:$E$300="",""," : "&amp;'Stella'!$E$6:$E$300)&amp;" ["&amp;'Stella'!$F$6:$F$300&amp;"]",""),IF('Igor'!$B$6:$B$300=$A451,"Igor"&amp;IF('Igor'!$E$6:$E$300="",""," : "&amp;'Igor'!$E$6:$E$300)&amp;" ["&amp;'Igor'!$F$6:$F$300&amp;"]","")))</f>
        <v/>
      </c>
    </row>
    <row r="452">
      <c r="G452" s="23">
        <f>IF($A452="","",_xlfn.TEXTJOIN("; ",TRUE,IF(COUNTIF('Clarice'!$B$6:$B$300,$A452)&gt;0,"Clarice",""),IF(COUNTIF('Luisa'!$B$6:$B$300,$A452)&gt;0,"Luisa",""),IF(COUNTIF('Lui'!$B$6:$B$300,$A452)&gt;0,"Lui",""),IF(COUNTIF('Thaís'!$B$6:$B$300,$A452)&gt;0,"Thaís",""),IF(COUNTIF('Daniel'!$B$6:$B$300,$A452)&gt;0,"Daniel",""),IF(COUNTIF('Fernando'!$B$6:$B$300,$A452)&gt;0,"Fernando",""),IF(COUNTIF('Stephanie'!$B$6:$B$300,$A452)&gt;0,"Stephanie",""),IF(COUNTIF('Fox'!$B$6:$B$300,$A452)&gt;0,"Fox",""),IF(COUNTIF('Bruna'!$B$6:$B$300,$A452)&gt;0,"Bruna",""),IF(COUNTIF('Stella'!$B$6:$B$300,$A452)&gt;0,"Stella",""),IF(COUNTIF('Igor'!$B$6:$B$300,$A452)&gt;0,"Igor","")))</f>
        <v/>
      </c>
      <c r="J452" s="24">
        <f>IF(OR($A452="",(COUNTIF('Clarice'!$B$6:$B$300,$A452)+COUNTIF('Luisa'!$B$6:$B$300,$A452)+COUNTIF('Lui'!$B$6:$B$300,$A452)+COUNTIF('Thaís'!$B$6:$B$300,$A452)+COUNTIF('Daniel'!$B$6:$B$300,$A452)+COUNTIF('Fernando'!$B$6:$B$300,$A452)+COUNTIF('Stephanie'!$B$6:$B$300,$A452)+COUNTIF('Fox'!$B$6:$B$300,$A452)+COUNTIF('Bruna'!$B$6:$B$300,$A452)+COUNTIF('Stella'!$B$6:$B$300,$A452)+COUNTIF('Igor'!$B$6:$B$300,$A452))=0),"",(COUNTIFS('Clarice'!$B$6:$B$300,$A452,'Clarice'!$F$6:$F$300,"Concluído")+COUNTIFS('Luisa'!$B$6:$B$300,$A452,'Luisa'!$F$6:$F$300,"Concluído")+COUNTIFS('Lui'!$B$6:$B$300,$A452,'Lui'!$F$6:$F$300,"Concluído")+COUNTIFS('Thaís'!$B$6:$B$300,$A452,'Thaís'!$F$6:$F$300,"Concluído")+COUNTIFS('Daniel'!$B$6:$B$300,$A452,'Daniel'!$F$6:$F$300,"Concluído")+COUNTIFS('Fernando'!$B$6:$B$300,$A452,'Fernando'!$F$6:$F$300,"Concluído")+COUNTIFS('Stephanie'!$B$6:$B$300,$A452,'Stephanie'!$F$6:$F$300,"Concluído")+COUNTIFS('Fox'!$B$6:$B$300,$A452,'Fox'!$F$6:$F$300,"Concluído")+COUNTIFS('Bruna'!$B$6:$B$300,$A452,'Bruna'!$F$6:$F$300,"Concluído")+COUNTIFS('Stella'!$B$6:$B$300,$A452,'Stella'!$F$6:$F$300,"Concluído")+COUNTIFS('Igor'!$B$6:$B$300,$A452,'Igor'!$F$6:$F$300,"Concluído"))&amp;" / "&amp;(COUNTIF('Clarice'!$B$6:$B$300,$A452)+COUNTIF('Luisa'!$B$6:$B$300,$A452)+COUNTIF('Lui'!$B$6:$B$300,$A452)+COUNTIF('Thaís'!$B$6:$B$300,$A452)+COUNTIF('Daniel'!$B$6:$B$300,$A452)+COUNTIF('Fernando'!$B$6:$B$300,$A452)+COUNTIF('Stephanie'!$B$6:$B$300,$A452)+COUNTIF('Fox'!$B$6:$B$300,$A452)+COUNTIF('Bruna'!$B$6:$B$300,$A452)+COUNTIF('Stella'!$B$6:$B$300,$A452)+COUNTIF('Igor'!$B$6:$B$300,$A452)))</f>
        <v/>
      </c>
      <c r="P452" s="25">
        <f>IF($A452="","",IF(M452&lt;&gt;"",M452,IF(K452&lt;&gt;"",K452,"")))</f>
        <v/>
      </c>
      <c r="Q452" s="25">
        <f>IF($A452="","",IF(N452&lt;&gt;"",N452,IF(L452&lt;&gt;"",L452,"")))</f>
        <v/>
      </c>
      <c r="S452" s="23">
        <f t="array" ref="S452">IF($A452="","",_xlfn.TEXTJOIN(CHAR(10),TRUE,IF('Clarice'!$B$6:$B$300=$A452,"Clarice"&amp;IF('Clarice'!$E$6:$E$300="",""," : "&amp;'Clarice'!$E$6:$E$300)&amp;" ["&amp;'Clarice'!$F$6:$F$300&amp;"]",""),IF('Luisa'!$B$6:$B$300=$A452,"Luisa"&amp;IF('Luisa'!$E$6:$E$300="",""," : "&amp;'Luisa'!$E$6:$E$300)&amp;" ["&amp;'Luisa'!$F$6:$F$300&amp;"]",""),IF('Lui'!$B$6:$B$300=$A452,"Lui"&amp;IF('Lui'!$E$6:$E$300="",""," : "&amp;'Lui'!$E$6:$E$300)&amp;" ["&amp;'Lui'!$F$6:$F$300&amp;"]",""),IF('Thaís'!$B$6:$B$300=$A452,"Thaís"&amp;IF('Thaís'!$E$6:$E$300="",""," : "&amp;'Thaís'!$E$6:$E$300)&amp;" ["&amp;'Thaís'!$F$6:$F$300&amp;"]",""),IF('Daniel'!$B$6:$B$300=$A452,"Daniel"&amp;IF('Daniel'!$E$6:$E$300="",""," : "&amp;'Daniel'!$E$6:$E$300)&amp;" ["&amp;'Daniel'!$F$6:$F$300&amp;"]",""),IF('Fernando'!$B$6:$B$300=$A452,"Fernando"&amp;IF('Fernando'!$E$6:$E$300="",""," : "&amp;'Fernando'!$E$6:$E$300)&amp;" ["&amp;'Fernando'!$F$6:$F$300&amp;"]",""),IF('Stephanie'!$B$6:$B$300=$A452,"Stephanie"&amp;IF('Stephanie'!$E$6:$E$300="",""," : "&amp;'Stephanie'!$E$6:$E$300)&amp;" ["&amp;'Stephanie'!$F$6:$F$300&amp;"]",""),IF('Fox'!$B$6:$B$300=$A452,"Fox"&amp;IF('Fox'!$E$6:$E$300="",""," : "&amp;'Fox'!$E$6:$E$300)&amp;" ["&amp;'Fox'!$F$6:$F$300&amp;"]",""),IF('Bruna'!$B$6:$B$300=$A452,"Bruna"&amp;IF('Bruna'!$E$6:$E$300="",""," : "&amp;'Bruna'!$E$6:$E$300)&amp;" ["&amp;'Bruna'!$F$6:$F$300&amp;"]",""),IF('Stella'!$B$6:$B$300=$A452,"Stella"&amp;IF('Stella'!$E$6:$E$300="",""," : "&amp;'Stella'!$E$6:$E$300)&amp;" ["&amp;'Stella'!$F$6:$F$300&amp;"]",""),IF('Igor'!$B$6:$B$300=$A452,"Igor"&amp;IF('Igor'!$E$6:$E$300="",""," : "&amp;'Igor'!$E$6:$E$300)&amp;" ["&amp;'Igor'!$F$6:$F$300&amp;"]","")))</f>
        <v/>
      </c>
    </row>
    <row r="453">
      <c r="G453" s="23">
        <f>IF($A453="","",_xlfn.TEXTJOIN("; ",TRUE,IF(COUNTIF('Clarice'!$B$6:$B$300,$A453)&gt;0,"Clarice",""),IF(COUNTIF('Luisa'!$B$6:$B$300,$A453)&gt;0,"Luisa",""),IF(COUNTIF('Lui'!$B$6:$B$300,$A453)&gt;0,"Lui",""),IF(COUNTIF('Thaís'!$B$6:$B$300,$A453)&gt;0,"Thaís",""),IF(COUNTIF('Daniel'!$B$6:$B$300,$A453)&gt;0,"Daniel",""),IF(COUNTIF('Fernando'!$B$6:$B$300,$A453)&gt;0,"Fernando",""),IF(COUNTIF('Stephanie'!$B$6:$B$300,$A453)&gt;0,"Stephanie",""),IF(COUNTIF('Fox'!$B$6:$B$300,$A453)&gt;0,"Fox",""),IF(COUNTIF('Bruna'!$B$6:$B$300,$A453)&gt;0,"Bruna",""),IF(COUNTIF('Stella'!$B$6:$B$300,$A453)&gt;0,"Stella",""),IF(COUNTIF('Igor'!$B$6:$B$300,$A453)&gt;0,"Igor","")))</f>
        <v/>
      </c>
      <c r="J453" s="24">
        <f>IF(OR($A453="",(COUNTIF('Clarice'!$B$6:$B$300,$A453)+COUNTIF('Luisa'!$B$6:$B$300,$A453)+COUNTIF('Lui'!$B$6:$B$300,$A453)+COUNTIF('Thaís'!$B$6:$B$300,$A453)+COUNTIF('Daniel'!$B$6:$B$300,$A453)+COUNTIF('Fernando'!$B$6:$B$300,$A453)+COUNTIF('Stephanie'!$B$6:$B$300,$A453)+COUNTIF('Fox'!$B$6:$B$300,$A453)+COUNTIF('Bruna'!$B$6:$B$300,$A453)+COUNTIF('Stella'!$B$6:$B$300,$A453)+COUNTIF('Igor'!$B$6:$B$300,$A453))=0),"",(COUNTIFS('Clarice'!$B$6:$B$300,$A453,'Clarice'!$F$6:$F$300,"Concluído")+COUNTIFS('Luisa'!$B$6:$B$300,$A453,'Luisa'!$F$6:$F$300,"Concluído")+COUNTIFS('Lui'!$B$6:$B$300,$A453,'Lui'!$F$6:$F$300,"Concluído")+COUNTIFS('Thaís'!$B$6:$B$300,$A453,'Thaís'!$F$6:$F$300,"Concluído")+COUNTIFS('Daniel'!$B$6:$B$300,$A453,'Daniel'!$F$6:$F$300,"Concluído")+COUNTIFS('Fernando'!$B$6:$B$300,$A453,'Fernando'!$F$6:$F$300,"Concluído")+COUNTIFS('Stephanie'!$B$6:$B$300,$A453,'Stephanie'!$F$6:$F$300,"Concluído")+COUNTIFS('Fox'!$B$6:$B$300,$A453,'Fox'!$F$6:$F$300,"Concluído")+COUNTIFS('Bruna'!$B$6:$B$300,$A453,'Bruna'!$F$6:$F$300,"Concluído")+COUNTIFS('Stella'!$B$6:$B$300,$A453,'Stella'!$F$6:$F$300,"Concluído")+COUNTIFS('Igor'!$B$6:$B$300,$A453,'Igor'!$F$6:$F$300,"Concluído"))&amp;" / "&amp;(COUNTIF('Clarice'!$B$6:$B$300,$A453)+COUNTIF('Luisa'!$B$6:$B$300,$A453)+COUNTIF('Lui'!$B$6:$B$300,$A453)+COUNTIF('Thaís'!$B$6:$B$300,$A453)+COUNTIF('Daniel'!$B$6:$B$300,$A453)+COUNTIF('Fernando'!$B$6:$B$300,$A453)+COUNTIF('Stephanie'!$B$6:$B$300,$A453)+COUNTIF('Fox'!$B$6:$B$300,$A453)+COUNTIF('Bruna'!$B$6:$B$300,$A453)+COUNTIF('Stella'!$B$6:$B$300,$A453)+COUNTIF('Igor'!$B$6:$B$300,$A453)))</f>
        <v/>
      </c>
      <c r="P453" s="25">
        <f>IF($A453="","",IF(M453&lt;&gt;"",M453,IF(K453&lt;&gt;"",K453,"")))</f>
        <v/>
      </c>
      <c r="Q453" s="25">
        <f>IF($A453="","",IF(N453&lt;&gt;"",N453,IF(L453&lt;&gt;"",L453,"")))</f>
        <v/>
      </c>
      <c r="S453" s="23">
        <f t="array" ref="S453">IF($A453="","",_xlfn.TEXTJOIN(CHAR(10),TRUE,IF('Clarice'!$B$6:$B$300=$A453,"Clarice"&amp;IF('Clarice'!$E$6:$E$300="",""," : "&amp;'Clarice'!$E$6:$E$300)&amp;" ["&amp;'Clarice'!$F$6:$F$300&amp;"]",""),IF('Luisa'!$B$6:$B$300=$A453,"Luisa"&amp;IF('Luisa'!$E$6:$E$300="",""," : "&amp;'Luisa'!$E$6:$E$300)&amp;" ["&amp;'Luisa'!$F$6:$F$300&amp;"]",""),IF('Lui'!$B$6:$B$300=$A453,"Lui"&amp;IF('Lui'!$E$6:$E$300="",""," : "&amp;'Lui'!$E$6:$E$300)&amp;" ["&amp;'Lui'!$F$6:$F$300&amp;"]",""),IF('Thaís'!$B$6:$B$300=$A453,"Thaís"&amp;IF('Thaís'!$E$6:$E$300="",""," : "&amp;'Thaís'!$E$6:$E$300)&amp;" ["&amp;'Thaís'!$F$6:$F$300&amp;"]",""),IF('Daniel'!$B$6:$B$300=$A453,"Daniel"&amp;IF('Daniel'!$E$6:$E$300="",""," : "&amp;'Daniel'!$E$6:$E$300)&amp;" ["&amp;'Daniel'!$F$6:$F$300&amp;"]",""),IF('Fernando'!$B$6:$B$300=$A453,"Fernando"&amp;IF('Fernando'!$E$6:$E$300="",""," : "&amp;'Fernando'!$E$6:$E$300)&amp;" ["&amp;'Fernando'!$F$6:$F$300&amp;"]",""),IF('Stephanie'!$B$6:$B$300=$A453,"Stephanie"&amp;IF('Stephanie'!$E$6:$E$300="",""," : "&amp;'Stephanie'!$E$6:$E$300)&amp;" ["&amp;'Stephanie'!$F$6:$F$300&amp;"]",""),IF('Fox'!$B$6:$B$300=$A453,"Fox"&amp;IF('Fox'!$E$6:$E$300="",""," : "&amp;'Fox'!$E$6:$E$300)&amp;" ["&amp;'Fox'!$F$6:$F$300&amp;"]",""),IF('Bruna'!$B$6:$B$300=$A453,"Bruna"&amp;IF('Bruna'!$E$6:$E$300="",""," : "&amp;'Bruna'!$E$6:$E$300)&amp;" ["&amp;'Bruna'!$F$6:$F$300&amp;"]",""),IF('Stella'!$B$6:$B$300=$A453,"Stella"&amp;IF('Stella'!$E$6:$E$300="",""," : "&amp;'Stella'!$E$6:$E$300)&amp;" ["&amp;'Stella'!$F$6:$F$300&amp;"]",""),IF('Igor'!$B$6:$B$300=$A453,"Igor"&amp;IF('Igor'!$E$6:$E$300="",""," : "&amp;'Igor'!$E$6:$E$300)&amp;" ["&amp;'Igor'!$F$6:$F$300&amp;"]","")))</f>
        <v/>
      </c>
    </row>
    <row r="454">
      <c r="G454" s="23">
        <f>IF($A454="","",_xlfn.TEXTJOIN("; ",TRUE,IF(COUNTIF('Clarice'!$B$6:$B$300,$A454)&gt;0,"Clarice",""),IF(COUNTIF('Luisa'!$B$6:$B$300,$A454)&gt;0,"Luisa",""),IF(COUNTIF('Lui'!$B$6:$B$300,$A454)&gt;0,"Lui",""),IF(COUNTIF('Thaís'!$B$6:$B$300,$A454)&gt;0,"Thaís",""),IF(COUNTIF('Daniel'!$B$6:$B$300,$A454)&gt;0,"Daniel",""),IF(COUNTIF('Fernando'!$B$6:$B$300,$A454)&gt;0,"Fernando",""),IF(COUNTIF('Stephanie'!$B$6:$B$300,$A454)&gt;0,"Stephanie",""),IF(COUNTIF('Fox'!$B$6:$B$300,$A454)&gt;0,"Fox",""),IF(COUNTIF('Bruna'!$B$6:$B$300,$A454)&gt;0,"Bruna",""),IF(COUNTIF('Stella'!$B$6:$B$300,$A454)&gt;0,"Stella",""),IF(COUNTIF('Igor'!$B$6:$B$300,$A454)&gt;0,"Igor","")))</f>
        <v/>
      </c>
      <c r="J454" s="24">
        <f>IF(OR($A454="",(COUNTIF('Clarice'!$B$6:$B$300,$A454)+COUNTIF('Luisa'!$B$6:$B$300,$A454)+COUNTIF('Lui'!$B$6:$B$300,$A454)+COUNTIF('Thaís'!$B$6:$B$300,$A454)+COUNTIF('Daniel'!$B$6:$B$300,$A454)+COUNTIF('Fernando'!$B$6:$B$300,$A454)+COUNTIF('Stephanie'!$B$6:$B$300,$A454)+COUNTIF('Fox'!$B$6:$B$300,$A454)+COUNTIF('Bruna'!$B$6:$B$300,$A454)+COUNTIF('Stella'!$B$6:$B$300,$A454)+COUNTIF('Igor'!$B$6:$B$300,$A454))=0),"",(COUNTIFS('Clarice'!$B$6:$B$300,$A454,'Clarice'!$F$6:$F$300,"Concluído")+COUNTIFS('Luisa'!$B$6:$B$300,$A454,'Luisa'!$F$6:$F$300,"Concluído")+COUNTIFS('Lui'!$B$6:$B$300,$A454,'Lui'!$F$6:$F$300,"Concluído")+COUNTIFS('Thaís'!$B$6:$B$300,$A454,'Thaís'!$F$6:$F$300,"Concluído")+COUNTIFS('Daniel'!$B$6:$B$300,$A454,'Daniel'!$F$6:$F$300,"Concluído")+COUNTIFS('Fernando'!$B$6:$B$300,$A454,'Fernando'!$F$6:$F$300,"Concluído")+COUNTIFS('Stephanie'!$B$6:$B$300,$A454,'Stephanie'!$F$6:$F$300,"Concluído")+COUNTIFS('Fox'!$B$6:$B$300,$A454,'Fox'!$F$6:$F$300,"Concluído")+COUNTIFS('Bruna'!$B$6:$B$300,$A454,'Bruna'!$F$6:$F$300,"Concluído")+COUNTIFS('Stella'!$B$6:$B$300,$A454,'Stella'!$F$6:$F$300,"Concluído")+COUNTIFS('Igor'!$B$6:$B$300,$A454,'Igor'!$F$6:$F$300,"Concluído"))&amp;" / "&amp;(COUNTIF('Clarice'!$B$6:$B$300,$A454)+COUNTIF('Luisa'!$B$6:$B$300,$A454)+COUNTIF('Lui'!$B$6:$B$300,$A454)+COUNTIF('Thaís'!$B$6:$B$300,$A454)+COUNTIF('Daniel'!$B$6:$B$300,$A454)+COUNTIF('Fernando'!$B$6:$B$300,$A454)+COUNTIF('Stephanie'!$B$6:$B$300,$A454)+COUNTIF('Fox'!$B$6:$B$300,$A454)+COUNTIF('Bruna'!$B$6:$B$300,$A454)+COUNTIF('Stella'!$B$6:$B$300,$A454)+COUNTIF('Igor'!$B$6:$B$300,$A454)))</f>
        <v/>
      </c>
      <c r="P454" s="25">
        <f>IF($A454="","",IF(M454&lt;&gt;"",M454,IF(K454&lt;&gt;"",K454,"")))</f>
        <v/>
      </c>
      <c r="Q454" s="25">
        <f>IF($A454="","",IF(N454&lt;&gt;"",N454,IF(L454&lt;&gt;"",L454,"")))</f>
        <v/>
      </c>
      <c r="S454" s="23">
        <f t="array" ref="S454">IF($A454="","",_xlfn.TEXTJOIN(CHAR(10),TRUE,IF('Clarice'!$B$6:$B$300=$A454,"Clarice"&amp;IF('Clarice'!$E$6:$E$300="",""," : "&amp;'Clarice'!$E$6:$E$300)&amp;" ["&amp;'Clarice'!$F$6:$F$300&amp;"]",""),IF('Luisa'!$B$6:$B$300=$A454,"Luisa"&amp;IF('Luisa'!$E$6:$E$300="",""," : "&amp;'Luisa'!$E$6:$E$300)&amp;" ["&amp;'Luisa'!$F$6:$F$300&amp;"]",""),IF('Lui'!$B$6:$B$300=$A454,"Lui"&amp;IF('Lui'!$E$6:$E$300="",""," : "&amp;'Lui'!$E$6:$E$300)&amp;" ["&amp;'Lui'!$F$6:$F$300&amp;"]",""),IF('Thaís'!$B$6:$B$300=$A454,"Thaís"&amp;IF('Thaís'!$E$6:$E$300="",""," : "&amp;'Thaís'!$E$6:$E$300)&amp;" ["&amp;'Thaís'!$F$6:$F$300&amp;"]",""),IF('Daniel'!$B$6:$B$300=$A454,"Daniel"&amp;IF('Daniel'!$E$6:$E$300="",""," : "&amp;'Daniel'!$E$6:$E$300)&amp;" ["&amp;'Daniel'!$F$6:$F$300&amp;"]",""),IF('Fernando'!$B$6:$B$300=$A454,"Fernando"&amp;IF('Fernando'!$E$6:$E$300="",""," : "&amp;'Fernando'!$E$6:$E$300)&amp;" ["&amp;'Fernando'!$F$6:$F$300&amp;"]",""),IF('Stephanie'!$B$6:$B$300=$A454,"Stephanie"&amp;IF('Stephanie'!$E$6:$E$300="",""," : "&amp;'Stephanie'!$E$6:$E$300)&amp;" ["&amp;'Stephanie'!$F$6:$F$300&amp;"]",""),IF('Fox'!$B$6:$B$300=$A454,"Fox"&amp;IF('Fox'!$E$6:$E$300="",""," : "&amp;'Fox'!$E$6:$E$300)&amp;" ["&amp;'Fox'!$F$6:$F$300&amp;"]",""),IF('Bruna'!$B$6:$B$300=$A454,"Bruna"&amp;IF('Bruna'!$E$6:$E$300="",""," : "&amp;'Bruna'!$E$6:$E$300)&amp;" ["&amp;'Bruna'!$F$6:$F$300&amp;"]",""),IF('Stella'!$B$6:$B$300=$A454,"Stella"&amp;IF('Stella'!$E$6:$E$300="",""," : "&amp;'Stella'!$E$6:$E$300)&amp;" ["&amp;'Stella'!$F$6:$F$300&amp;"]",""),IF('Igor'!$B$6:$B$300=$A454,"Igor"&amp;IF('Igor'!$E$6:$E$300="",""," : "&amp;'Igor'!$E$6:$E$300)&amp;" ["&amp;'Igor'!$F$6:$F$300&amp;"]","")))</f>
        <v/>
      </c>
    </row>
    <row r="455">
      <c r="G455" s="23">
        <f>IF($A455="","",_xlfn.TEXTJOIN("; ",TRUE,IF(COUNTIF('Clarice'!$B$6:$B$300,$A455)&gt;0,"Clarice",""),IF(COUNTIF('Luisa'!$B$6:$B$300,$A455)&gt;0,"Luisa",""),IF(COUNTIF('Lui'!$B$6:$B$300,$A455)&gt;0,"Lui",""),IF(COUNTIF('Thaís'!$B$6:$B$300,$A455)&gt;0,"Thaís",""),IF(COUNTIF('Daniel'!$B$6:$B$300,$A455)&gt;0,"Daniel",""),IF(COUNTIF('Fernando'!$B$6:$B$300,$A455)&gt;0,"Fernando",""),IF(COUNTIF('Stephanie'!$B$6:$B$300,$A455)&gt;0,"Stephanie",""),IF(COUNTIF('Fox'!$B$6:$B$300,$A455)&gt;0,"Fox",""),IF(COUNTIF('Bruna'!$B$6:$B$300,$A455)&gt;0,"Bruna",""),IF(COUNTIF('Stella'!$B$6:$B$300,$A455)&gt;0,"Stella",""),IF(COUNTIF('Igor'!$B$6:$B$300,$A455)&gt;0,"Igor","")))</f>
        <v/>
      </c>
      <c r="J455" s="24">
        <f>IF(OR($A455="",(COUNTIF('Clarice'!$B$6:$B$300,$A455)+COUNTIF('Luisa'!$B$6:$B$300,$A455)+COUNTIF('Lui'!$B$6:$B$300,$A455)+COUNTIF('Thaís'!$B$6:$B$300,$A455)+COUNTIF('Daniel'!$B$6:$B$300,$A455)+COUNTIF('Fernando'!$B$6:$B$300,$A455)+COUNTIF('Stephanie'!$B$6:$B$300,$A455)+COUNTIF('Fox'!$B$6:$B$300,$A455)+COUNTIF('Bruna'!$B$6:$B$300,$A455)+COUNTIF('Stella'!$B$6:$B$300,$A455)+COUNTIF('Igor'!$B$6:$B$300,$A455))=0),"",(COUNTIFS('Clarice'!$B$6:$B$300,$A455,'Clarice'!$F$6:$F$300,"Concluído")+COUNTIFS('Luisa'!$B$6:$B$300,$A455,'Luisa'!$F$6:$F$300,"Concluído")+COUNTIFS('Lui'!$B$6:$B$300,$A455,'Lui'!$F$6:$F$300,"Concluído")+COUNTIFS('Thaís'!$B$6:$B$300,$A455,'Thaís'!$F$6:$F$300,"Concluído")+COUNTIFS('Daniel'!$B$6:$B$300,$A455,'Daniel'!$F$6:$F$300,"Concluído")+COUNTIFS('Fernando'!$B$6:$B$300,$A455,'Fernando'!$F$6:$F$300,"Concluído")+COUNTIFS('Stephanie'!$B$6:$B$300,$A455,'Stephanie'!$F$6:$F$300,"Concluído")+COUNTIFS('Fox'!$B$6:$B$300,$A455,'Fox'!$F$6:$F$300,"Concluído")+COUNTIFS('Bruna'!$B$6:$B$300,$A455,'Bruna'!$F$6:$F$300,"Concluído")+COUNTIFS('Stella'!$B$6:$B$300,$A455,'Stella'!$F$6:$F$300,"Concluído")+COUNTIFS('Igor'!$B$6:$B$300,$A455,'Igor'!$F$6:$F$300,"Concluído"))&amp;" / "&amp;(COUNTIF('Clarice'!$B$6:$B$300,$A455)+COUNTIF('Luisa'!$B$6:$B$300,$A455)+COUNTIF('Lui'!$B$6:$B$300,$A455)+COUNTIF('Thaís'!$B$6:$B$300,$A455)+COUNTIF('Daniel'!$B$6:$B$300,$A455)+COUNTIF('Fernando'!$B$6:$B$300,$A455)+COUNTIF('Stephanie'!$B$6:$B$300,$A455)+COUNTIF('Fox'!$B$6:$B$300,$A455)+COUNTIF('Bruna'!$B$6:$B$300,$A455)+COUNTIF('Stella'!$B$6:$B$300,$A455)+COUNTIF('Igor'!$B$6:$B$300,$A455)))</f>
        <v/>
      </c>
      <c r="P455" s="25">
        <f>IF($A455="","",IF(M455&lt;&gt;"",M455,IF(K455&lt;&gt;"",K455,"")))</f>
        <v/>
      </c>
      <c r="Q455" s="25">
        <f>IF($A455="","",IF(N455&lt;&gt;"",N455,IF(L455&lt;&gt;"",L455,"")))</f>
        <v/>
      </c>
      <c r="S455" s="23">
        <f t="array" ref="S455">IF($A455="","",_xlfn.TEXTJOIN(CHAR(10),TRUE,IF('Clarice'!$B$6:$B$300=$A455,"Clarice"&amp;IF('Clarice'!$E$6:$E$300="",""," : "&amp;'Clarice'!$E$6:$E$300)&amp;" ["&amp;'Clarice'!$F$6:$F$300&amp;"]",""),IF('Luisa'!$B$6:$B$300=$A455,"Luisa"&amp;IF('Luisa'!$E$6:$E$300="",""," : "&amp;'Luisa'!$E$6:$E$300)&amp;" ["&amp;'Luisa'!$F$6:$F$300&amp;"]",""),IF('Lui'!$B$6:$B$300=$A455,"Lui"&amp;IF('Lui'!$E$6:$E$300="",""," : "&amp;'Lui'!$E$6:$E$300)&amp;" ["&amp;'Lui'!$F$6:$F$300&amp;"]",""),IF('Thaís'!$B$6:$B$300=$A455,"Thaís"&amp;IF('Thaís'!$E$6:$E$300="",""," : "&amp;'Thaís'!$E$6:$E$300)&amp;" ["&amp;'Thaís'!$F$6:$F$300&amp;"]",""),IF('Daniel'!$B$6:$B$300=$A455,"Daniel"&amp;IF('Daniel'!$E$6:$E$300="",""," : "&amp;'Daniel'!$E$6:$E$300)&amp;" ["&amp;'Daniel'!$F$6:$F$300&amp;"]",""),IF('Fernando'!$B$6:$B$300=$A455,"Fernando"&amp;IF('Fernando'!$E$6:$E$300="",""," : "&amp;'Fernando'!$E$6:$E$300)&amp;" ["&amp;'Fernando'!$F$6:$F$300&amp;"]",""),IF('Stephanie'!$B$6:$B$300=$A455,"Stephanie"&amp;IF('Stephanie'!$E$6:$E$300="",""," : "&amp;'Stephanie'!$E$6:$E$300)&amp;" ["&amp;'Stephanie'!$F$6:$F$300&amp;"]",""),IF('Fox'!$B$6:$B$300=$A455,"Fox"&amp;IF('Fox'!$E$6:$E$300="",""," : "&amp;'Fox'!$E$6:$E$300)&amp;" ["&amp;'Fox'!$F$6:$F$300&amp;"]",""),IF('Bruna'!$B$6:$B$300=$A455,"Bruna"&amp;IF('Bruna'!$E$6:$E$300="",""," : "&amp;'Bruna'!$E$6:$E$300)&amp;" ["&amp;'Bruna'!$F$6:$F$300&amp;"]",""),IF('Stella'!$B$6:$B$300=$A455,"Stella"&amp;IF('Stella'!$E$6:$E$300="",""," : "&amp;'Stella'!$E$6:$E$300)&amp;" ["&amp;'Stella'!$F$6:$F$300&amp;"]",""),IF('Igor'!$B$6:$B$300=$A455,"Igor"&amp;IF('Igor'!$E$6:$E$300="",""," : "&amp;'Igor'!$E$6:$E$300)&amp;" ["&amp;'Igor'!$F$6:$F$300&amp;"]","")))</f>
        <v/>
      </c>
    </row>
    <row r="456">
      <c r="G456" s="23">
        <f>IF($A456="","",_xlfn.TEXTJOIN("; ",TRUE,IF(COUNTIF('Clarice'!$B$6:$B$300,$A456)&gt;0,"Clarice",""),IF(COUNTIF('Luisa'!$B$6:$B$300,$A456)&gt;0,"Luisa",""),IF(COUNTIF('Lui'!$B$6:$B$300,$A456)&gt;0,"Lui",""),IF(COUNTIF('Thaís'!$B$6:$B$300,$A456)&gt;0,"Thaís",""),IF(COUNTIF('Daniel'!$B$6:$B$300,$A456)&gt;0,"Daniel",""),IF(COUNTIF('Fernando'!$B$6:$B$300,$A456)&gt;0,"Fernando",""),IF(COUNTIF('Stephanie'!$B$6:$B$300,$A456)&gt;0,"Stephanie",""),IF(COUNTIF('Fox'!$B$6:$B$300,$A456)&gt;0,"Fox",""),IF(COUNTIF('Bruna'!$B$6:$B$300,$A456)&gt;0,"Bruna",""),IF(COUNTIF('Stella'!$B$6:$B$300,$A456)&gt;0,"Stella",""),IF(COUNTIF('Igor'!$B$6:$B$300,$A456)&gt;0,"Igor","")))</f>
        <v/>
      </c>
      <c r="J456" s="24">
        <f>IF(OR($A456="",(COUNTIF('Clarice'!$B$6:$B$300,$A456)+COUNTIF('Luisa'!$B$6:$B$300,$A456)+COUNTIF('Lui'!$B$6:$B$300,$A456)+COUNTIF('Thaís'!$B$6:$B$300,$A456)+COUNTIF('Daniel'!$B$6:$B$300,$A456)+COUNTIF('Fernando'!$B$6:$B$300,$A456)+COUNTIF('Stephanie'!$B$6:$B$300,$A456)+COUNTIF('Fox'!$B$6:$B$300,$A456)+COUNTIF('Bruna'!$B$6:$B$300,$A456)+COUNTIF('Stella'!$B$6:$B$300,$A456)+COUNTIF('Igor'!$B$6:$B$300,$A456))=0),"",(COUNTIFS('Clarice'!$B$6:$B$300,$A456,'Clarice'!$F$6:$F$300,"Concluído")+COUNTIFS('Luisa'!$B$6:$B$300,$A456,'Luisa'!$F$6:$F$300,"Concluído")+COUNTIFS('Lui'!$B$6:$B$300,$A456,'Lui'!$F$6:$F$300,"Concluído")+COUNTIFS('Thaís'!$B$6:$B$300,$A456,'Thaís'!$F$6:$F$300,"Concluído")+COUNTIFS('Daniel'!$B$6:$B$300,$A456,'Daniel'!$F$6:$F$300,"Concluído")+COUNTIFS('Fernando'!$B$6:$B$300,$A456,'Fernando'!$F$6:$F$300,"Concluído")+COUNTIFS('Stephanie'!$B$6:$B$300,$A456,'Stephanie'!$F$6:$F$300,"Concluído")+COUNTIFS('Fox'!$B$6:$B$300,$A456,'Fox'!$F$6:$F$300,"Concluído")+COUNTIFS('Bruna'!$B$6:$B$300,$A456,'Bruna'!$F$6:$F$300,"Concluído")+COUNTIFS('Stella'!$B$6:$B$300,$A456,'Stella'!$F$6:$F$300,"Concluído")+COUNTIFS('Igor'!$B$6:$B$300,$A456,'Igor'!$F$6:$F$300,"Concluído"))&amp;" / "&amp;(COUNTIF('Clarice'!$B$6:$B$300,$A456)+COUNTIF('Luisa'!$B$6:$B$300,$A456)+COUNTIF('Lui'!$B$6:$B$300,$A456)+COUNTIF('Thaís'!$B$6:$B$300,$A456)+COUNTIF('Daniel'!$B$6:$B$300,$A456)+COUNTIF('Fernando'!$B$6:$B$300,$A456)+COUNTIF('Stephanie'!$B$6:$B$300,$A456)+COUNTIF('Fox'!$B$6:$B$300,$A456)+COUNTIF('Bruna'!$B$6:$B$300,$A456)+COUNTIF('Stella'!$B$6:$B$300,$A456)+COUNTIF('Igor'!$B$6:$B$300,$A456)))</f>
        <v/>
      </c>
      <c r="P456" s="25">
        <f>IF($A456="","",IF(M456&lt;&gt;"",M456,IF(K456&lt;&gt;"",K456,"")))</f>
        <v/>
      </c>
      <c r="Q456" s="25">
        <f>IF($A456="","",IF(N456&lt;&gt;"",N456,IF(L456&lt;&gt;"",L456,"")))</f>
        <v/>
      </c>
      <c r="S456" s="23">
        <f t="array" ref="S456">IF($A456="","",_xlfn.TEXTJOIN(CHAR(10),TRUE,IF('Clarice'!$B$6:$B$300=$A456,"Clarice"&amp;IF('Clarice'!$E$6:$E$300="",""," : "&amp;'Clarice'!$E$6:$E$300)&amp;" ["&amp;'Clarice'!$F$6:$F$300&amp;"]",""),IF('Luisa'!$B$6:$B$300=$A456,"Luisa"&amp;IF('Luisa'!$E$6:$E$300="",""," : "&amp;'Luisa'!$E$6:$E$300)&amp;" ["&amp;'Luisa'!$F$6:$F$300&amp;"]",""),IF('Lui'!$B$6:$B$300=$A456,"Lui"&amp;IF('Lui'!$E$6:$E$300="",""," : "&amp;'Lui'!$E$6:$E$300)&amp;" ["&amp;'Lui'!$F$6:$F$300&amp;"]",""),IF('Thaís'!$B$6:$B$300=$A456,"Thaís"&amp;IF('Thaís'!$E$6:$E$300="",""," : "&amp;'Thaís'!$E$6:$E$300)&amp;" ["&amp;'Thaís'!$F$6:$F$300&amp;"]",""),IF('Daniel'!$B$6:$B$300=$A456,"Daniel"&amp;IF('Daniel'!$E$6:$E$300="",""," : "&amp;'Daniel'!$E$6:$E$300)&amp;" ["&amp;'Daniel'!$F$6:$F$300&amp;"]",""),IF('Fernando'!$B$6:$B$300=$A456,"Fernando"&amp;IF('Fernando'!$E$6:$E$300="",""," : "&amp;'Fernando'!$E$6:$E$300)&amp;" ["&amp;'Fernando'!$F$6:$F$300&amp;"]",""),IF('Stephanie'!$B$6:$B$300=$A456,"Stephanie"&amp;IF('Stephanie'!$E$6:$E$300="",""," : "&amp;'Stephanie'!$E$6:$E$300)&amp;" ["&amp;'Stephanie'!$F$6:$F$300&amp;"]",""),IF('Fox'!$B$6:$B$300=$A456,"Fox"&amp;IF('Fox'!$E$6:$E$300="",""," : "&amp;'Fox'!$E$6:$E$300)&amp;" ["&amp;'Fox'!$F$6:$F$300&amp;"]",""),IF('Bruna'!$B$6:$B$300=$A456,"Bruna"&amp;IF('Bruna'!$E$6:$E$300="",""," : "&amp;'Bruna'!$E$6:$E$300)&amp;" ["&amp;'Bruna'!$F$6:$F$300&amp;"]",""),IF('Stella'!$B$6:$B$300=$A456,"Stella"&amp;IF('Stella'!$E$6:$E$300="",""," : "&amp;'Stella'!$E$6:$E$300)&amp;" ["&amp;'Stella'!$F$6:$F$300&amp;"]",""),IF('Igor'!$B$6:$B$300=$A456,"Igor"&amp;IF('Igor'!$E$6:$E$300="",""," : "&amp;'Igor'!$E$6:$E$300)&amp;" ["&amp;'Igor'!$F$6:$F$300&amp;"]","")))</f>
        <v/>
      </c>
    </row>
    <row r="457">
      <c r="G457" s="23">
        <f>IF($A457="","",_xlfn.TEXTJOIN("; ",TRUE,IF(COUNTIF('Clarice'!$B$6:$B$300,$A457)&gt;0,"Clarice",""),IF(COUNTIF('Luisa'!$B$6:$B$300,$A457)&gt;0,"Luisa",""),IF(COUNTIF('Lui'!$B$6:$B$300,$A457)&gt;0,"Lui",""),IF(COUNTIF('Thaís'!$B$6:$B$300,$A457)&gt;0,"Thaís",""),IF(COUNTIF('Daniel'!$B$6:$B$300,$A457)&gt;0,"Daniel",""),IF(COUNTIF('Fernando'!$B$6:$B$300,$A457)&gt;0,"Fernando",""),IF(COUNTIF('Stephanie'!$B$6:$B$300,$A457)&gt;0,"Stephanie",""),IF(COUNTIF('Fox'!$B$6:$B$300,$A457)&gt;0,"Fox",""),IF(COUNTIF('Bruna'!$B$6:$B$300,$A457)&gt;0,"Bruna",""),IF(COUNTIF('Stella'!$B$6:$B$300,$A457)&gt;0,"Stella",""),IF(COUNTIF('Igor'!$B$6:$B$300,$A457)&gt;0,"Igor","")))</f>
        <v/>
      </c>
      <c r="J457" s="24">
        <f>IF(OR($A457="",(COUNTIF('Clarice'!$B$6:$B$300,$A457)+COUNTIF('Luisa'!$B$6:$B$300,$A457)+COUNTIF('Lui'!$B$6:$B$300,$A457)+COUNTIF('Thaís'!$B$6:$B$300,$A457)+COUNTIF('Daniel'!$B$6:$B$300,$A457)+COUNTIF('Fernando'!$B$6:$B$300,$A457)+COUNTIF('Stephanie'!$B$6:$B$300,$A457)+COUNTIF('Fox'!$B$6:$B$300,$A457)+COUNTIF('Bruna'!$B$6:$B$300,$A457)+COUNTIF('Stella'!$B$6:$B$300,$A457)+COUNTIF('Igor'!$B$6:$B$300,$A457))=0),"",(COUNTIFS('Clarice'!$B$6:$B$300,$A457,'Clarice'!$F$6:$F$300,"Concluído")+COUNTIFS('Luisa'!$B$6:$B$300,$A457,'Luisa'!$F$6:$F$300,"Concluído")+COUNTIFS('Lui'!$B$6:$B$300,$A457,'Lui'!$F$6:$F$300,"Concluído")+COUNTIFS('Thaís'!$B$6:$B$300,$A457,'Thaís'!$F$6:$F$300,"Concluído")+COUNTIFS('Daniel'!$B$6:$B$300,$A457,'Daniel'!$F$6:$F$300,"Concluído")+COUNTIFS('Fernando'!$B$6:$B$300,$A457,'Fernando'!$F$6:$F$300,"Concluído")+COUNTIFS('Stephanie'!$B$6:$B$300,$A457,'Stephanie'!$F$6:$F$300,"Concluído")+COUNTIFS('Fox'!$B$6:$B$300,$A457,'Fox'!$F$6:$F$300,"Concluído")+COUNTIFS('Bruna'!$B$6:$B$300,$A457,'Bruna'!$F$6:$F$300,"Concluído")+COUNTIFS('Stella'!$B$6:$B$300,$A457,'Stella'!$F$6:$F$300,"Concluído")+COUNTIFS('Igor'!$B$6:$B$300,$A457,'Igor'!$F$6:$F$300,"Concluído"))&amp;" / "&amp;(COUNTIF('Clarice'!$B$6:$B$300,$A457)+COUNTIF('Luisa'!$B$6:$B$300,$A457)+COUNTIF('Lui'!$B$6:$B$300,$A457)+COUNTIF('Thaís'!$B$6:$B$300,$A457)+COUNTIF('Daniel'!$B$6:$B$300,$A457)+COUNTIF('Fernando'!$B$6:$B$300,$A457)+COUNTIF('Stephanie'!$B$6:$B$300,$A457)+COUNTIF('Fox'!$B$6:$B$300,$A457)+COUNTIF('Bruna'!$B$6:$B$300,$A457)+COUNTIF('Stella'!$B$6:$B$300,$A457)+COUNTIF('Igor'!$B$6:$B$300,$A457)))</f>
        <v/>
      </c>
      <c r="P457" s="25">
        <f>IF($A457="","",IF(M457&lt;&gt;"",M457,IF(K457&lt;&gt;"",K457,"")))</f>
        <v/>
      </c>
      <c r="Q457" s="25">
        <f>IF($A457="","",IF(N457&lt;&gt;"",N457,IF(L457&lt;&gt;"",L457,"")))</f>
        <v/>
      </c>
      <c r="S457" s="23">
        <f t="array" ref="S457">IF($A457="","",_xlfn.TEXTJOIN(CHAR(10),TRUE,IF('Clarice'!$B$6:$B$300=$A457,"Clarice"&amp;IF('Clarice'!$E$6:$E$300="",""," : "&amp;'Clarice'!$E$6:$E$300)&amp;" ["&amp;'Clarice'!$F$6:$F$300&amp;"]",""),IF('Luisa'!$B$6:$B$300=$A457,"Luisa"&amp;IF('Luisa'!$E$6:$E$300="",""," : "&amp;'Luisa'!$E$6:$E$300)&amp;" ["&amp;'Luisa'!$F$6:$F$300&amp;"]",""),IF('Lui'!$B$6:$B$300=$A457,"Lui"&amp;IF('Lui'!$E$6:$E$300="",""," : "&amp;'Lui'!$E$6:$E$300)&amp;" ["&amp;'Lui'!$F$6:$F$300&amp;"]",""),IF('Thaís'!$B$6:$B$300=$A457,"Thaís"&amp;IF('Thaís'!$E$6:$E$300="",""," : "&amp;'Thaís'!$E$6:$E$300)&amp;" ["&amp;'Thaís'!$F$6:$F$300&amp;"]",""),IF('Daniel'!$B$6:$B$300=$A457,"Daniel"&amp;IF('Daniel'!$E$6:$E$300="",""," : "&amp;'Daniel'!$E$6:$E$300)&amp;" ["&amp;'Daniel'!$F$6:$F$300&amp;"]",""),IF('Fernando'!$B$6:$B$300=$A457,"Fernando"&amp;IF('Fernando'!$E$6:$E$300="",""," : "&amp;'Fernando'!$E$6:$E$300)&amp;" ["&amp;'Fernando'!$F$6:$F$300&amp;"]",""),IF('Stephanie'!$B$6:$B$300=$A457,"Stephanie"&amp;IF('Stephanie'!$E$6:$E$300="",""," : "&amp;'Stephanie'!$E$6:$E$300)&amp;" ["&amp;'Stephanie'!$F$6:$F$300&amp;"]",""),IF('Fox'!$B$6:$B$300=$A457,"Fox"&amp;IF('Fox'!$E$6:$E$300="",""," : "&amp;'Fox'!$E$6:$E$300)&amp;" ["&amp;'Fox'!$F$6:$F$300&amp;"]",""),IF('Bruna'!$B$6:$B$300=$A457,"Bruna"&amp;IF('Bruna'!$E$6:$E$300="",""," : "&amp;'Bruna'!$E$6:$E$300)&amp;" ["&amp;'Bruna'!$F$6:$F$300&amp;"]",""),IF('Stella'!$B$6:$B$300=$A457,"Stella"&amp;IF('Stella'!$E$6:$E$300="",""," : "&amp;'Stella'!$E$6:$E$300)&amp;" ["&amp;'Stella'!$F$6:$F$300&amp;"]",""),IF('Igor'!$B$6:$B$300=$A457,"Igor"&amp;IF('Igor'!$E$6:$E$300="",""," : "&amp;'Igor'!$E$6:$E$300)&amp;" ["&amp;'Igor'!$F$6:$F$300&amp;"]","")))</f>
        <v/>
      </c>
    </row>
    <row r="458">
      <c r="G458" s="23">
        <f>IF($A458="","",_xlfn.TEXTJOIN("; ",TRUE,IF(COUNTIF('Clarice'!$B$6:$B$300,$A458)&gt;0,"Clarice",""),IF(COUNTIF('Luisa'!$B$6:$B$300,$A458)&gt;0,"Luisa",""),IF(COUNTIF('Lui'!$B$6:$B$300,$A458)&gt;0,"Lui",""),IF(COUNTIF('Thaís'!$B$6:$B$300,$A458)&gt;0,"Thaís",""),IF(COUNTIF('Daniel'!$B$6:$B$300,$A458)&gt;0,"Daniel",""),IF(COUNTIF('Fernando'!$B$6:$B$300,$A458)&gt;0,"Fernando",""),IF(COUNTIF('Stephanie'!$B$6:$B$300,$A458)&gt;0,"Stephanie",""),IF(COUNTIF('Fox'!$B$6:$B$300,$A458)&gt;0,"Fox",""),IF(COUNTIF('Bruna'!$B$6:$B$300,$A458)&gt;0,"Bruna",""),IF(COUNTIF('Stella'!$B$6:$B$300,$A458)&gt;0,"Stella",""),IF(COUNTIF('Igor'!$B$6:$B$300,$A458)&gt;0,"Igor","")))</f>
        <v/>
      </c>
      <c r="J458" s="24">
        <f>IF(OR($A458="",(COUNTIF('Clarice'!$B$6:$B$300,$A458)+COUNTIF('Luisa'!$B$6:$B$300,$A458)+COUNTIF('Lui'!$B$6:$B$300,$A458)+COUNTIF('Thaís'!$B$6:$B$300,$A458)+COUNTIF('Daniel'!$B$6:$B$300,$A458)+COUNTIF('Fernando'!$B$6:$B$300,$A458)+COUNTIF('Stephanie'!$B$6:$B$300,$A458)+COUNTIF('Fox'!$B$6:$B$300,$A458)+COUNTIF('Bruna'!$B$6:$B$300,$A458)+COUNTIF('Stella'!$B$6:$B$300,$A458)+COUNTIF('Igor'!$B$6:$B$300,$A458))=0),"",(COUNTIFS('Clarice'!$B$6:$B$300,$A458,'Clarice'!$F$6:$F$300,"Concluído")+COUNTIFS('Luisa'!$B$6:$B$300,$A458,'Luisa'!$F$6:$F$300,"Concluído")+COUNTIFS('Lui'!$B$6:$B$300,$A458,'Lui'!$F$6:$F$300,"Concluído")+COUNTIFS('Thaís'!$B$6:$B$300,$A458,'Thaís'!$F$6:$F$300,"Concluído")+COUNTIFS('Daniel'!$B$6:$B$300,$A458,'Daniel'!$F$6:$F$300,"Concluído")+COUNTIFS('Fernando'!$B$6:$B$300,$A458,'Fernando'!$F$6:$F$300,"Concluído")+COUNTIFS('Stephanie'!$B$6:$B$300,$A458,'Stephanie'!$F$6:$F$300,"Concluído")+COUNTIFS('Fox'!$B$6:$B$300,$A458,'Fox'!$F$6:$F$300,"Concluído")+COUNTIFS('Bruna'!$B$6:$B$300,$A458,'Bruna'!$F$6:$F$300,"Concluído")+COUNTIFS('Stella'!$B$6:$B$300,$A458,'Stella'!$F$6:$F$300,"Concluído")+COUNTIFS('Igor'!$B$6:$B$300,$A458,'Igor'!$F$6:$F$300,"Concluído"))&amp;" / "&amp;(COUNTIF('Clarice'!$B$6:$B$300,$A458)+COUNTIF('Luisa'!$B$6:$B$300,$A458)+COUNTIF('Lui'!$B$6:$B$300,$A458)+COUNTIF('Thaís'!$B$6:$B$300,$A458)+COUNTIF('Daniel'!$B$6:$B$300,$A458)+COUNTIF('Fernando'!$B$6:$B$300,$A458)+COUNTIF('Stephanie'!$B$6:$B$300,$A458)+COUNTIF('Fox'!$B$6:$B$300,$A458)+COUNTIF('Bruna'!$B$6:$B$300,$A458)+COUNTIF('Stella'!$B$6:$B$300,$A458)+COUNTIF('Igor'!$B$6:$B$300,$A458)))</f>
        <v/>
      </c>
      <c r="P458" s="25">
        <f>IF($A458="","",IF(M458&lt;&gt;"",M458,IF(K458&lt;&gt;"",K458,"")))</f>
        <v/>
      </c>
      <c r="Q458" s="25">
        <f>IF($A458="","",IF(N458&lt;&gt;"",N458,IF(L458&lt;&gt;"",L458,"")))</f>
        <v/>
      </c>
      <c r="S458" s="23">
        <f t="array" ref="S458">IF($A458="","",_xlfn.TEXTJOIN(CHAR(10),TRUE,IF('Clarice'!$B$6:$B$300=$A458,"Clarice"&amp;IF('Clarice'!$E$6:$E$300="",""," : "&amp;'Clarice'!$E$6:$E$300)&amp;" ["&amp;'Clarice'!$F$6:$F$300&amp;"]",""),IF('Luisa'!$B$6:$B$300=$A458,"Luisa"&amp;IF('Luisa'!$E$6:$E$300="",""," : "&amp;'Luisa'!$E$6:$E$300)&amp;" ["&amp;'Luisa'!$F$6:$F$300&amp;"]",""),IF('Lui'!$B$6:$B$300=$A458,"Lui"&amp;IF('Lui'!$E$6:$E$300="",""," : "&amp;'Lui'!$E$6:$E$300)&amp;" ["&amp;'Lui'!$F$6:$F$300&amp;"]",""),IF('Thaís'!$B$6:$B$300=$A458,"Thaís"&amp;IF('Thaís'!$E$6:$E$300="",""," : "&amp;'Thaís'!$E$6:$E$300)&amp;" ["&amp;'Thaís'!$F$6:$F$300&amp;"]",""),IF('Daniel'!$B$6:$B$300=$A458,"Daniel"&amp;IF('Daniel'!$E$6:$E$300="",""," : "&amp;'Daniel'!$E$6:$E$300)&amp;" ["&amp;'Daniel'!$F$6:$F$300&amp;"]",""),IF('Fernando'!$B$6:$B$300=$A458,"Fernando"&amp;IF('Fernando'!$E$6:$E$300="",""," : "&amp;'Fernando'!$E$6:$E$300)&amp;" ["&amp;'Fernando'!$F$6:$F$300&amp;"]",""),IF('Stephanie'!$B$6:$B$300=$A458,"Stephanie"&amp;IF('Stephanie'!$E$6:$E$300="",""," : "&amp;'Stephanie'!$E$6:$E$300)&amp;" ["&amp;'Stephanie'!$F$6:$F$300&amp;"]",""),IF('Fox'!$B$6:$B$300=$A458,"Fox"&amp;IF('Fox'!$E$6:$E$300="",""," : "&amp;'Fox'!$E$6:$E$300)&amp;" ["&amp;'Fox'!$F$6:$F$300&amp;"]",""),IF('Bruna'!$B$6:$B$300=$A458,"Bruna"&amp;IF('Bruna'!$E$6:$E$300="",""," : "&amp;'Bruna'!$E$6:$E$300)&amp;" ["&amp;'Bruna'!$F$6:$F$300&amp;"]",""),IF('Stella'!$B$6:$B$300=$A458,"Stella"&amp;IF('Stella'!$E$6:$E$300="",""," : "&amp;'Stella'!$E$6:$E$300)&amp;" ["&amp;'Stella'!$F$6:$F$300&amp;"]",""),IF('Igor'!$B$6:$B$300=$A458,"Igor"&amp;IF('Igor'!$E$6:$E$300="",""," : "&amp;'Igor'!$E$6:$E$300)&amp;" ["&amp;'Igor'!$F$6:$F$300&amp;"]","")))</f>
        <v/>
      </c>
    </row>
    <row r="459">
      <c r="G459" s="23">
        <f>IF($A459="","",_xlfn.TEXTJOIN("; ",TRUE,IF(COUNTIF('Clarice'!$B$6:$B$300,$A459)&gt;0,"Clarice",""),IF(COUNTIF('Luisa'!$B$6:$B$300,$A459)&gt;0,"Luisa",""),IF(COUNTIF('Lui'!$B$6:$B$300,$A459)&gt;0,"Lui",""),IF(COUNTIF('Thaís'!$B$6:$B$300,$A459)&gt;0,"Thaís",""),IF(COUNTIF('Daniel'!$B$6:$B$300,$A459)&gt;0,"Daniel",""),IF(COUNTIF('Fernando'!$B$6:$B$300,$A459)&gt;0,"Fernando",""),IF(COUNTIF('Stephanie'!$B$6:$B$300,$A459)&gt;0,"Stephanie",""),IF(COUNTIF('Fox'!$B$6:$B$300,$A459)&gt;0,"Fox",""),IF(COUNTIF('Bruna'!$B$6:$B$300,$A459)&gt;0,"Bruna",""),IF(COUNTIF('Stella'!$B$6:$B$300,$A459)&gt;0,"Stella",""),IF(COUNTIF('Igor'!$B$6:$B$300,$A459)&gt;0,"Igor","")))</f>
        <v/>
      </c>
      <c r="J459" s="24">
        <f>IF(OR($A459="",(COUNTIF('Clarice'!$B$6:$B$300,$A459)+COUNTIF('Luisa'!$B$6:$B$300,$A459)+COUNTIF('Lui'!$B$6:$B$300,$A459)+COUNTIF('Thaís'!$B$6:$B$300,$A459)+COUNTIF('Daniel'!$B$6:$B$300,$A459)+COUNTIF('Fernando'!$B$6:$B$300,$A459)+COUNTIF('Stephanie'!$B$6:$B$300,$A459)+COUNTIF('Fox'!$B$6:$B$300,$A459)+COUNTIF('Bruna'!$B$6:$B$300,$A459)+COUNTIF('Stella'!$B$6:$B$300,$A459)+COUNTIF('Igor'!$B$6:$B$300,$A459))=0),"",(COUNTIFS('Clarice'!$B$6:$B$300,$A459,'Clarice'!$F$6:$F$300,"Concluído")+COUNTIFS('Luisa'!$B$6:$B$300,$A459,'Luisa'!$F$6:$F$300,"Concluído")+COUNTIFS('Lui'!$B$6:$B$300,$A459,'Lui'!$F$6:$F$300,"Concluído")+COUNTIFS('Thaís'!$B$6:$B$300,$A459,'Thaís'!$F$6:$F$300,"Concluído")+COUNTIFS('Daniel'!$B$6:$B$300,$A459,'Daniel'!$F$6:$F$300,"Concluído")+COUNTIFS('Fernando'!$B$6:$B$300,$A459,'Fernando'!$F$6:$F$300,"Concluído")+COUNTIFS('Stephanie'!$B$6:$B$300,$A459,'Stephanie'!$F$6:$F$300,"Concluído")+COUNTIFS('Fox'!$B$6:$B$300,$A459,'Fox'!$F$6:$F$300,"Concluído")+COUNTIFS('Bruna'!$B$6:$B$300,$A459,'Bruna'!$F$6:$F$300,"Concluído")+COUNTIFS('Stella'!$B$6:$B$300,$A459,'Stella'!$F$6:$F$300,"Concluído")+COUNTIFS('Igor'!$B$6:$B$300,$A459,'Igor'!$F$6:$F$300,"Concluído"))&amp;" / "&amp;(COUNTIF('Clarice'!$B$6:$B$300,$A459)+COUNTIF('Luisa'!$B$6:$B$300,$A459)+COUNTIF('Lui'!$B$6:$B$300,$A459)+COUNTIF('Thaís'!$B$6:$B$300,$A459)+COUNTIF('Daniel'!$B$6:$B$300,$A459)+COUNTIF('Fernando'!$B$6:$B$300,$A459)+COUNTIF('Stephanie'!$B$6:$B$300,$A459)+COUNTIF('Fox'!$B$6:$B$300,$A459)+COUNTIF('Bruna'!$B$6:$B$300,$A459)+COUNTIF('Stella'!$B$6:$B$300,$A459)+COUNTIF('Igor'!$B$6:$B$300,$A459)))</f>
        <v/>
      </c>
      <c r="P459" s="25">
        <f>IF($A459="","",IF(M459&lt;&gt;"",M459,IF(K459&lt;&gt;"",K459,"")))</f>
        <v/>
      </c>
      <c r="Q459" s="25">
        <f>IF($A459="","",IF(N459&lt;&gt;"",N459,IF(L459&lt;&gt;"",L459,"")))</f>
        <v/>
      </c>
      <c r="S459" s="23">
        <f t="array" ref="S459">IF($A459="","",_xlfn.TEXTJOIN(CHAR(10),TRUE,IF('Clarice'!$B$6:$B$300=$A459,"Clarice"&amp;IF('Clarice'!$E$6:$E$300="",""," : "&amp;'Clarice'!$E$6:$E$300)&amp;" ["&amp;'Clarice'!$F$6:$F$300&amp;"]",""),IF('Luisa'!$B$6:$B$300=$A459,"Luisa"&amp;IF('Luisa'!$E$6:$E$300="",""," : "&amp;'Luisa'!$E$6:$E$300)&amp;" ["&amp;'Luisa'!$F$6:$F$300&amp;"]",""),IF('Lui'!$B$6:$B$300=$A459,"Lui"&amp;IF('Lui'!$E$6:$E$300="",""," : "&amp;'Lui'!$E$6:$E$300)&amp;" ["&amp;'Lui'!$F$6:$F$300&amp;"]",""),IF('Thaís'!$B$6:$B$300=$A459,"Thaís"&amp;IF('Thaís'!$E$6:$E$300="",""," : "&amp;'Thaís'!$E$6:$E$300)&amp;" ["&amp;'Thaís'!$F$6:$F$300&amp;"]",""),IF('Daniel'!$B$6:$B$300=$A459,"Daniel"&amp;IF('Daniel'!$E$6:$E$300="",""," : "&amp;'Daniel'!$E$6:$E$300)&amp;" ["&amp;'Daniel'!$F$6:$F$300&amp;"]",""),IF('Fernando'!$B$6:$B$300=$A459,"Fernando"&amp;IF('Fernando'!$E$6:$E$300="",""," : "&amp;'Fernando'!$E$6:$E$300)&amp;" ["&amp;'Fernando'!$F$6:$F$300&amp;"]",""),IF('Stephanie'!$B$6:$B$300=$A459,"Stephanie"&amp;IF('Stephanie'!$E$6:$E$300="",""," : "&amp;'Stephanie'!$E$6:$E$300)&amp;" ["&amp;'Stephanie'!$F$6:$F$300&amp;"]",""),IF('Fox'!$B$6:$B$300=$A459,"Fox"&amp;IF('Fox'!$E$6:$E$300="",""," : "&amp;'Fox'!$E$6:$E$300)&amp;" ["&amp;'Fox'!$F$6:$F$300&amp;"]",""),IF('Bruna'!$B$6:$B$300=$A459,"Bruna"&amp;IF('Bruna'!$E$6:$E$300="",""," : "&amp;'Bruna'!$E$6:$E$300)&amp;" ["&amp;'Bruna'!$F$6:$F$300&amp;"]",""),IF('Stella'!$B$6:$B$300=$A459,"Stella"&amp;IF('Stella'!$E$6:$E$300="",""," : "&amp;'Stella'!$E$6:$E$300)&amp;" ["&amp;'Stella'!$F$6:$F$300&amp;"]",""),IF('Igor'!$B$6:$B$300=$A459,"Igor"&amp;IF('Igor'!$E$6:$E$300="",""," : "&amp;'Igor'!$E$6:$E$300)&amp;" ["&amp;'Igor'!$F$6:$F$300&amp;"]","")))</f>
        <v/>
      </c>
    </row>
    <row r="460">
      <c r="G460" s="23">
        <f>IF($A460="","",_xlfn.TEXTJOIN("; ",TRUE,IF(COUNTIF('Clarice'!$B$6:$B$300,$A460)&gt;0,"Clarice",""),IF(COUNTIF('Luisa'!$B$6:$B$300,$A460)&gt;0,"Luisa",""),IF(COUNTIF('Lui'!$B$6:$B$300,$A460)&gt;0,"Lui",""),IF(COUNTIF('Thaís'!$B$6:$B$300,$A460)&gt;0,"Thaís",""),IF(COUNTIF('Daniel'!$B$6:$B$300,$A460)&gt;0,"Daniel",""),IF(COUNTIF('Fernando'!$B$6:$B$300,$A460)&gt;0,"Fernando",""),IF(COUNTIF('Stephanie'!$B$6:$B$300,$A460)&gt;0,"Stephanie",""),IF(COUNTIF('Fox'!$B$6:$B$300,$A460)&gt;0,"Fox",""),IF(COUNTIF('Bruna'!$B$6:$B$300,$A460)&gt;0,"Bruna",""),IF(COUNTIF('Stella'!$B$6:$B$300,$A460)&gt;0,"Stella",""),IF(COUNTIF('Igor'!$B$6:$B$300,$A460)&gt;0,"Igor","")))</f>
        <v/>
      </c>
      <c r="J460" s="24">
        <f>IF(OR($A460="",(COUNTIF('Clarice'!$B$6:$B$300,$A460)+COUNTIF('Luisa'!$B$6:$B$300,$A460)+COUNTIF('Lui'!$B$6:$B$300,$A460)+COUNTIF('Thaís'!$B$6:$B$300,$A460)+COUNTIF('Daniel'!$B$6:$B$300,$A460)+COUNTIF('Fernando'!$B$6:$B$300,$A460)+COUNTIF('Stephanie'!$B$6:$B$300,$A460)+COUNTIF('Fox'!$B$6:$B$300,$A460)+COUNTIF('Bruna'!$B$6:$B$300,$A460)+COUNTIF('Stella'!$B$6:$B$300,$A460)+COUNTIF('Igor'!$B$6:$B$300,$A460))=0),"",(COUNTIFS('Clarice'!$B$6:$B$300,$A460,'Clarice'!$F$6:$F$300,"Concluído")+COUNTIFS('Luisa'!$B$6:$B$300,$A460,'Luisa'!$F$6:$F$300,"Concluído")+COUNTIFS('Lui'!$B$6:$B$300,$A460,'Lui'!$F$6:$F$300,"Concluído")+COUNTIFS('Thaís'!$B$6:$B$300,$A460,'Thaís'!$F$6:$F$300,"Concluído")+COUNTIFS('Daniel'!$B$6:$B$300,$A460,'Daniel'!$F$6:$F$300,"Concluído")+COUNTIFS('Fernando'!$B$6:$B$300,$A460,'Fernando'!$F$6:$F$300,"Concluído")+COUNTIFS('Stephanie'!$B$6:$B$300,$A460,'Stephanie'!$F$6:$F$300,"Concluído")+COUNTIFS('Fox'!$B$6:$B$300,$A460,'Fox'!$F$6:$F$300,"Concluído")+COUNTIFS('Bruna'!$B$6:$B$300,$A460,'Bruna'!$F$6:$F$300,"Concluído")+COUNTIFS('Stella'!$B$6:$B$300,$A460,'Stella'!$F$6:$F$300,"Concluído")+COUNTIFS('Igor'!$B$6:$B$300,$A460,'Igor'!$F$6:$F$300,"Concluído"))&amp;" / "&amp;(COUNTIF('Clarice'!$B$6:$B$300,$A460)+COUNTIF('Luisa'!$B$6:$B$300,$A460)+COUNTIF('Lui'!$B$6:$B$300,$A460)+COUNTIF('Thaís'!$B$6:$B$300,$A460)+COUNTIF('Daniel'!$B$6:$B$300,$A460)+COUNTIF('Fernando'!$B$6:$B$300,$A460)+COUNTIF('Stephanie'!$B$6:$B$300,$A460)+COUNTIF('Fox'!$B$6:$B$300,$A460)+COUNTIF('Bruna'!$B$6:$B$300,$A460)+COUNTIF('Stella'!$B$6:$B$300,$A460)+COUNTIF('Igor'!$B$6:$B$300,$A460)))</f>
        <v/>
      </c>
      <c r="P460" s="25">
        <f>IF($A460="","",IF(M460&lt;&gt;"",M460,IF(K460&lt;&gt;"",K460,"")))</f>
        <v/>
      </c>
      <c r="Q460" s="25">
        <f>IF($A460="","",IF(N460&lt;&gt;"",N460,IF(L460&lt;&gt;"",L460,"")))</f>
        <v/>
      </c>
      <c r="S460" s="23">
        <f t="array" ref="S460">IF($A460="","",_xlfn.TEXTJOIN(CHAR(10),TRUE,IF('Clarice'!$B$6:$B$300=$A460,"Clarice"&amp;IF('Clarice'!$E$6:$E$300="",""," : "&amp;'Clarice'!$E$6:$E$300)&amp;" ["&amp;'Clarice'!$F$6:$F$300&amp;"]",""),IF('Luisa'!$B$6:$B$300=$A460,"Luisa"&amp;IF('Luisa'!$E$6:$E$300="",""," : "&amp;'Luisa'!$E$6:$E$300)&amp;" ["&amp;'Luisa'!$F$6:$F$300&amp;"]",""),IF('Lui'!$B$6:$B$300=$A460,"Lui"&amp;IF('Lui'!$E$6:$E$300="",""," : "&amp;'Lui'!$E$6:$E$300)&amp;" ["&amp;'Lui'!$F$6:$F$300&amp;"]",""),IF('Thaís'!$B$6:$B$300=$A460,"Thaís"&amp;IF('Thaís'!$E$6:$E$300="",""," : "&amp;'Thaís'!$E$6:$E$300)&amp;" ["&amp;'Thaís'!$F$6:$F$300&amp;"]",""),IF('Daniel'!$B$6:$B$300=$A460,"Daniel"&amp;IF('Daniel'!$E$6:$E$300="",""," : "&amp;'Daniel'!$E$6:$E$300)&amp;" ["&amp;'Daniel'!$F$6:$F$300&amp;"]",""),IF('Fernando'!$B$6:$B$300=$A460,"Fernando"&amp;IF('Fernando'!$E$6:$E$300="",""," : "&amp;'Fernando'!$E$6:$E$300)&amp;" ["&amp;'Fernando'!$F$6:$F$300&amp;"]",""),IF('Stephanie'!$B$6:$B$300=$A460,"Stephanie"&amp;IF('Stephanie'!$E$6:$E$300="",""," : "&amp;'Stephanie'!$E$6:$E$300)&amp;" ["&amp;'Stephanie'!$F$6:$F$300&amp;"]",""),IF('Fox'!$B$6:$B$300=$A460,"Fox"&amp;IF('Fox'!$E$6:$E$300="",""," : "&amp;'Fox'!$E$6:$E$300)&amp;" ["&amp;'Fox'!$F$6:$F$300&amp;"]",""),IF('Bruna'!$B$6:$B$300=$A460,"Bruna"&amp;IF('Bruna'!$E$6:$E$300="",""," : "&amp;'Bruna'!$E$6:$E$300)&amp;" ["&amp;'Bruna'!$F$6:$F$300&amp;"]",""),IF('Stella'!$B$6:$B$300=$A460,"Stella"&amp;IF('Stella'!$E$6:$E$300="",""," : "&amp;'Stella'!$E$6:$E$300)&amp;" ["&amp;'Stella'!$F$6:$F$300&amp;"]",""),IF('Igor'!$B$6:$B$300=$A460,"Igor"&amp;IF('Igor'!$E$6:$E$300="",""," : "&amp;'Igor'!$E$6:$E$300)&amp;" ["&amp;'Igor'!$F$6:$F$300&amp;"]","")))</f>
        <v/>
      </c>
    </row>
    <row r="461">
      <c r="G461" s="23">
        <f>IF($A461="","",_xlfn.TEXTJOIN("; ",TRUE,IF(COUNTIF('Clarice'!$B$6:$B$300,$A461)&gt;0,"Clarice",""),IF(COUNTIF('Luisa'!$B$6:$B$300,$A461)&gt;0,"Luisa",""),IF(COUNTIF('Lui'!$B$6:$B$300,$A461)&gt;0,"Lui",""),IF(COUNTIF('Thaís'!$B$6:$B$300,$A461)&gt;0,"Thaís",""),IF(COUNTIF('Daniel'!$B$6:$B$300,$A461)&gt;0,"Daniel",""),IF(COUNTIF('Fernando'!$B$6:$B$300,$A461)&gt;0,"Fernando",""),IF(COUNTIF('Stephanie'!$B$6:$B$300,$A461)&gt;0,"Stephanie",""),IF(COUNTIF('Fox'!$B$6:$B$300,$A461)&gt;0,"Fox",""),IF(COUNTIF('Bruna'!$B$6:$B$300,$A461)&gt;0,"Bruna",""),IF(COUNTIF('Stella'!$B$6:$B$300,$A461)&gt;0,"Stella",""),IF(COUNTIF('Igor'!$B$6:$B$300,$A461)&gt;0,"Igor","")))</f>
        <v/>
      </c>
      <c r="J461" s="24">
        <f>IF(OR($A461="",(COUNTIF('Clarice'!$B$6:$B$300,$A461)+COUNTIF('Luisa'!$B$6:$B$300,$A461)+COUNTIF('Lui'!$B$6:$B$300,$A461)+COUNTIF('Thaís'!$B$6:$B$300,$A461)+COUNTIF('Daniel'!$B$6:$B$300,$A461)+COUNTIF('Fernando'!$B$6:$B$300,$A461)+COUNTIF('Stephanie'!$B$6:$B$300,$A461)+COUNTIF('Fox'!$B$6:$B$300,$A461)+COUNTIF('Bruna'!$B$6:$B$300,$A461)+COUNTIF('Stella'!$B$6:$B$300,$A461)+COUNTIF('Igor'!$B$6:$B$300,$A461))=0),"",(COUNTIFS('Clarice'!$B$6:$B$300,$A461,'Clarice'!$F$6:$F$300,"Concluído")+COUNTIFS('Luisa'!$B$6:$B$300,$A461,'Luisa'!$F$6:$F$300,"Concluído")+COUNTIFS('Lui'!$B$6:$B$300,$A461,'Lui'!$F$6:$F$300,"Concluído")+COUNTIFS('Thaís'!$B$6:$B$300,$A461,'Thaís'!$F$6:$F$300,"Concluído")+COUNTIFS('Daniel'!$B$6:$B$300,$A461,'Daniel'!$F$6:$F$300,"Concluído")+COUNTIFS('Fernando'!$B$6:$B$300,$A461,'Fernando'!$F$6:$F$300,"Concluído")+COUNTIFS('Stephanie'!$B$6:$B$300,$A461,'Stephanie'!$F$6:$F$300,"Concluído")+COUNTIFS('Fox'!$B$6:$B$300,$A461,'Fox'!$F$6:$F$300,"Concluído")+COUNTIFS('Bruna'!$B$6:$B$300,$A461,'Bruna'!$F$6:$F$300,"Concluído")+COUNTIFS('Stella'!$B$6:$B$300,$A461,'Stella'!$F$6:$F$300,"Concluído")+COUNTIFS('Igor'!$B$6:$B$300,$A461,'Igor'!$F$6:$F$300,"Concluído"))&amp;" / "&amp;(COUNTIF('Clarice'!$B$6:$B$300,$A461)+COUNTIF('Luisa'!$B$6:$B$300,$A461)+COUNTIF('Lui'!$B$6:$B$300,$A461)+COUNTIF('Thaís'!$B$6:$B$300,$A461)+COUNTIF('Daniel'!$B$6:$B$300,$A461)+COUNTIF('Fernando'!$B$6:$B$300,$A461)+COUNTIF('Stephanie'!$B$6:$B$300,$A461)+COUNTIF('Fox'!$B$6:$B$300,$A461)+COUNTIF('Bruna'!$B$6:$B$300,$A461)+COUNTIF('Stella'!$B$6:$B$300,$A461)+COUNTIF('Igor'!$B$6:$B$300,$A461)))</f>
        <v/>
      </c>
      <c r="P461" s="25">
        <f>IF($A461="","",IF(M461&lt;&gt;"",M461,IF(K461&lt;&gt;"",K461,"")))</f>
        <v/>
      </c>
      <c r="Q461" s="25">
        <f>IF($A461="","",IF(N461&lt;&gt;"",N461,IF(L461&lt;&gt;"",L461,"")))</f>
        <v/>
      </c>
      <c r="S461" s="23">
        <f t="array" ref="S461">IF($A461="","",_xlfn.TEXTJOIN(CHAR(10),TRUE,IF('Clarice'!$B$6:$B$300=$A461,"Clarice"&amp;IF('Clarice'!$E$6:$E$300="",""," : "&amp;'Clarice'!$E$6:$E$300)&amp;" ["&amp;'Clarice'!$F$6:$F$300&amp;"]",""),IF('Luisa'!$B$6:$B$300=$A461,"Luisa"&amp;IF('Luisa'!$E$6:$E$300="",""," : "&amp;'Luisa'!$E$6:$E$300)&amp;" ["&amp;'Luisa'!$F$6:$F$300&amp;"]",""),IF('Lui'!$B$6:$B$300=$A461,"Lui"&amp;IF('Lui'!$E$6:$E$300="",""," : "&amp;'Lui'!$E$6:$E$300)&amp;" ["&amp;'Lui'!$F$6:$F$300&amp;"]",""),IF('Thaís'!$B$6:$B$300=$A461,"Thaís"&amp;IF('Thaís'!$E$6:$E$300="",""," : "&amp;'Thaís'!$E$6:$E$300)&amp;" ["&amp;'Thaís'!$F$6:$F$300&amp;"]",""),IF('Daniel'!$B$6:$B$300=$A461,"Daniel"&amp;IF('Daniel'!$E$6:$E$300="",""," : "&amp;'Daniel'!$E$6:$E$300)&amp;" ["&amp;'Daniel'!$F$6:$F$300&amp;"]",""),IF('Fernando'!$B$6:$B$300=$A461,"Fernando"&amp;IF('Fernando'!$E$6:$E$300="",""," : "&amp;'Fernando'!$E$6:$E$300)&amp;" ["&amp;'Fernando'!$F$6:$F$300&amp;"]",""),IF('Stephanie'!$B$6:$B$300=$A461,"Stephanie"&amp;IF('Stephanie'!$E$6:$E$300="",""," : "&amp;'Stephanie'!$E$6:$E$300)&amp;" ["&amp;'Stephanie'!$F$6:$F$300&amp;"]",""),IF('Fox'!$B$6:$B$300=$A461,"Fox"&amp;IF('Fox'!$E$6:$E$300="",""," : "&amp;'Fox'!$E$6:$E$300)&amp;" ["&amp;'Fox'!$F$6:$F$300&amp;"]",""),IF('Bruna'!$B$6:$B$300=$A461,"Bruna"&amp;IF('Bruna'!$E$6:$E$300="",""," : "&amp;'Bruna'!$E$6:$E$300)&amp;" ["&amp;'Bruna'!$F$6:$F$300&amp;"]",""),IF('Stella'!$B$6:$B$300=$A461,"Stella"&amp;IF('Stella'!$E$6:$E$300="",""," : "&amp;'Stella'!$E$6:$E$300)&amp;" ["&amp;'Stella'!$F$6:$F$300&amp;"]",""),IF('Igor'!$B$6:$B$300=$A461,"Igor"&amp;IF('Igor'!$E$6:$E$300="",""," : "&amp;'Igor'!$E$6:$E$300)&amp;" ["&amp;'Igor'!$F$6:$F$300&amp;"]","")))</f>
        <v/>
      </c>
    </row>
    <row r="462">
      <c r="G462" s="23">
        <f>IF($A462="","",_xlfn.TEXTJOIN("; ",TRUE,IF(COUNTIF('Clarice'!$B$6:$B$300,$A462)&gt;0,"Clarice",""),IF(COUNTIF('Luisa'!$B$6:$B$300,$A462)&gt;0,"Luisa",""),IF(COUNTIF('Lui'!$B$6:$B$300,$A462)&gt;0,"Lui",""),IF(COUNTIF('Thaís'!$B$6:$B$300,$A462)&gt;0,"Thaís",""),IF(COUNTIF('Daniel'!$B$6:$B$300,$A462)&gt;0,"Daniel",""),IF(COUNTIF('Fernando'!$B$6:$B$300,$A462)&gt;0,"Fernando",""),IF(COUNTIF('Stephanie'!$B$6:$B$300,$A462)&gt;0,"Stephanie",""),IF(COUNTIF('Fox'!$B$6:$B$300,$A462)&gt;0,"Fox",""),IF(COUNTIF('Bruna'!$B$6:$B$300,$A462)&gt;0,"Bruna",""),IF(COUNTIF('Stella'!$B$6:$B$300,$A462)&gt;0,"Stella",""),IF(COUNTIF('Igor'!$B$6:$B$300,$A462)&gt;0,"Igor","")))</f>
        <v/>
      </c>
      <c r="J462" s="24">
        <f>IF(OR($A462="",(COUNTIF('Clarice'!$B$6:$B$300,$A462)+COUNTIF('Luisa'!$B$6:$B$300,$A462)+COUNTIF('Lui'!$B$6:$B$300,$A462)+COUNTIF('Thaís'!$B$6:$B$300,$A462)+COUNTIF('Daniel'!$B$6:$B$300,$A462)+COUNTIF('Fernando'!$B$6:$B$300,$A462)+COUNTIF('Stephanie'!$B$6:$B$300,$A462)+COUNTIF('Fox'!$B$6:$B$300,$A462)+COUNTIF('Bruna'!$B$6:$B$300,$A462)+COUNTIF('Stella'!$B$6:$B$300,$A462)+COUNTIF('Igor'!$B$6:$B$300,$A462))=0),"",(COUNTIFS('Clarice'!$B$6:$B$300,$A462,'Clarice'!$F$6:$F$300,"Concluído")+COUNTIFS('Luisa'!$B$6:$B$300,$A462,'Luisa'!$F$6:$F$300,"Concluído")+COUNTIFS('Lui'!$B$6:$B$300,$A462,'Lui'!$F$6:$F$300,"Concluído")+COUNTIFS('Thaís'!$B$6:$B$300,$A462,'Thaís'!$F$6:$F$300,"Concluído")+COUNTIFS('Daniel'!$B$6:$B$300,$A462,'Daniel'!$F$6:$F$300,"Concluído")+COUNTIFS('Fernando'!$B$6:$B$300,$A462,'Fernando'!$F$6:$F$300,"Concluído")+COUNTIFS('Stephanie'!$B$6:$B$300,$A462,'Stephanie'!$F$6:$F$300,"Concluído")+COUNTIFS('Fox'!$B$6:$B$300,$A462,'Fox'!$F$6:$F$300,"Concluído")+COUNTIFS('Bruna'!$B$6:$B$300,$A462,'Bruna'!$F$6:$F$300,"Concluído")+COUNTIFS('Stella'!$B$6:$B$300,$A462,'Stella'!$F$6:$F$300,"Concluído")+COUNTIFS('Igor'!$B$6:$B$300,$A462,'Igor'!$F$6:$F$300,"Concluído"))&amp;" / "&amp;(COUNTIF('Clarice'!$B$6:$B$300,$A462)+COUNTIF('Luisa'!$B$6:$B$300,$A462)+COUNTIF('Lui'!$B$6:$B$300,$A462)+COUNTIF('Thaís'!$B$6:$B$300,$A462)+COUNTIF('Daniel'!$B$6:$B$300,$A462)+COUNTIF('Fernando'!$B$6:$B$300,$A462)+COUNTIF('Stephanie'!$B$6:$B$300,$A462)+COUNTIF('Fox'!$B$6:$B$300,$A462)+COUNTIF('Bruna'!$B$6:$B$300,$A462)+COUNTIF('Stella'!$B$6:$B$300,$A462)+COUNTIF('Igor'!$B$6:$B$300,$A462)))</f>
        <v/>
      </c>
      <c r="P462" s="25">
        <f>IF($A462="","",IF(M462&lt;&gt;"",M462,IF(K462&lt;&gt;"",K462,"")))</f>
        <v/>
      </c>
      <c r="Q462" s="25">
        <f>IF($A462="","",IF(N462&lt;&gt;"",N462,IF(L462&lt;&gt;"",L462,"")))</f>
        <v/>
      </c>
      <c r="S462" s="23">
        <f t="array" ref="S462">IF($A462="","",_xlfn.TEXTJOIN(CHAR(10),TRUE,IF('Clarice'!$B$6:$B$300=$A462,"Clarice"&amp;IF('Clarice'!$E$6:$E$300="",""," : "&amp;'Clarice'!$E$6:$E$300)&amp;" ["&amp;'Clarice'!$F$6:$F$300&amp;"]",""),IF('Luisa'!$B$6:$B$300=$A462,"Luisa"&amp;IF('Luisa'!$E$6:$E$300="",""," : "&amp;'Luisa'!$E$6:$E$300)&amp;" ["&amp;'Luisa'!$F$6:$F$300&amp;"]",""),IF('Lui'!$B$6:$B$300=$A462,"Lui"&amp;IF('Lui'!$E$6:$E$300="",""," : "&amp;'Lui'!$E$6:$E$300)&amp;" ["&amp;'Lui'!$F$6:$F$300&amp;"]",""),IF('Thaís'!$B$6:$B$300=$A462,"Thaís"&amp;IF('Thaís'!$E$6:$E$300="",""," : "&amp;'Thaís'!$E$6:$E$300)&amp;" ["&amp;'Thaís'!$F$6:$F$300&amp;"]",""),IF('Daniel'!$B$6:$B$300=$A462,"Daniel"&amp;IF('Daniel'!$E$6:$E$300="",""," : "&amp;'Daniel'!$E$6:$E$300)&amp;" ["&amp;'Daniel'!$F$6:$F$300&amp;"]",""),IF('Fernando'!$B$6:$B$300=$A462,"Fernando"&amp;IF('Fernando'!$E$6:$E$300="",""," : "&amp;'Fernando'!$E$6:$E$300)&amp;" ["&amp;'Fernando'!$F$6:$F$300&amp;"]",""),IF('Stephanie'!$B$6:$B$300=$A462,"Stephanie"&amp;IF('Stephanie'!$E$6:$E$300="",""," : "&amp;'Stephanie'!$E$6:$E$300)&amp;" ["&amp;'Stephanie'!$F$6:$F$300&amp;"]",""),IF('Fox'!$B$6:$B$300=$A462,"Fox"&amp;IF('Fox'!$E$6:$E$300="",""," : "&amp;'Fox'!$E$6:$E$300)&amp;" ["&amp;'Fox'!$F$6:$F$300&amp;"]",""),IF('Bruna'!$B$6:$B$300=$A462,"Bruna"&amp;IF('Bruna'!$E$6:$E$300="",""," : "&amp;'Bruna'!$E$6:$E$300)&amp;" ["&amp;'Bruna'!$F$6:$F$300&amp;"]",""),IF('Stella'!$B$6:$B$300=$A462,"Stella"&amp;IF('Stella'!$E$6:$E$300="",""," : "&amp;'Stella'!$E$6:$E$300)&amp;" ["&amp;'Stella'!$F$6:$F$300&amp;"]",""),IF('Igor'!$B$6:$B$300=$A462,"Igor"&amp;IF('Igor'!$E$6:$E$300="",""," : "&amp;'Igor'!$E$6:$E$300)&amp;" ["&amp;'Igor'!$F$6:$F$300&amp;"]","")))</f>
        <v/>
      </c>
    </row>
    <row r="463">
      <c r="G463" s="23">
        <f>IF($A463="","",_xlfn.TEXTJOIN("; ",TRUE,IF(COUNTIF('Clarice'!$B$6:$B$300,$A463)&gt;0,"Clarice",""),IF(COUNTIF('Luisa'!$B$6:$B$300,$A463)&gt;0,"Luisa",""),IF(COUNTIF('Lui'!$B$6:$B$300,$A463)&gt;0,"Lui",""),IF(COUNTIF('Thaís'!$B$6:$B$300,$A463)&gt;0,"Thaís",""),IF(COUNTIF('Daniel'!$B$6:$B$300,$A463)&gt;0,"Daniel",""),IF(COUNTIF('Fernando'!$B$6:$B$300,$A463)&gt;0,"Fernando",""),IF(COUNTIF('Stephanie'!$B$6:$B$300,$A463)&gt;0,"Stephanie",""),IF(COUNTIF('Fox'!$B$6:$B$300,$A463)&gt;0,"Fox",""),IF(COUNTIF('Bruna'!$B$6:$B$300,$A463)&gt;0,"Bruna",""),IF(COUNTIF('Stella'!$B$6:$B$300,$A463)&gt;0,"Stella",""),IF(COUNTIF('Igor'!$B$6:$B$300,$A463)&gt;0,"Igor","")))</f>
        <v/>
      </c>
      <c r="J463" s="24">
        <f>IF(OR($A463="",(COUNTIF('Clarice'!$B$6:$B$300,$A463)+COUNTIF('Luisa'!$B$6:$B$300,$A463)+COUNTIF('Lui'!$B$6:$B$300,$A463)+COUNTIF('Thaís'!$B$6:$B$300,$A463)+COUNTIF('Daniel'!$B$6:$B$300,$A463)+COUNTIF('Fernando'!$B$6:$B$300,$A463)+COUNTIF('Stephanie'!$B$6:$B$300,$A463)+COUNTIF('Fox'!$B$6:$B$300,$A463)+COUNTIF('Bruna'!$B$6:$B$300,$A463)+COUNTIF('Stella'!$B$6:$B$300,$A463)+COUNTIF('Igor'!$B$6:$B$300,$A463))=0),"",(COUNTIFS('Clarice'!$B$6:$B$300,$A463,'Clarice'!$F$6:$F$300,"Concluído")+COUNTIFS('Luisa'!$B$6:$B$300,$A463,'Luisa'!$F$6:$F$300,"Concluído")+COUNTIFS('Lui'!$B$6:$B$300,$A463,'Lui'!$F$6:$F$300,"Concluído")+COUNTIFS('Thaís'!$B$6:$B$300,$A463,'Thaís'!$F$6:$F$300,"Concluído")+COUNTIFS('Daniel'!$B$6:$B$300,$A463,'Daniel'!$F$6:$F$300,"Concluído")+COUNTIFS('Fernando'!$B$6:$B$300,$A463,'Fernando'!$F$6:$F$300,"Concluído")+COUNTIFS('Stephanie'!$B$6:$B$300,$A463,'Stephanie'!$F$6:$F$300,"Concluído")+COUNTIFS('Fox'!$B$6:$B$300,$A463,'Fox'!$F$6:$F$300,"Concluído")+COUNTIFS('Bruna'!$B$6:$B$300,$A463,'Bruna'!$F$6:$F$300,"Concluído")+COUNTIFS('Stella'!$B$6:$B$300,$A463,'Stella'!$F$6:$F$300,"Concluído")+COUNTIFS('Igor'!$B$6:$B$300,$A463,'Igor'!$F$6:$F$300,"Concluído"))&amp;" / "&amp;(COUNTIF('Clarice'!$B$6:$B$300,$A463)+COUNTIF('Luisa'!$B$6:$B$300,$A463)+COUNTIF('Lui'!$B$6:$B$300,$A463)+COUNTIF('Thaís'!$B$6:$B$300,$A463)+COUNTIF('Daniel'!$B$6:$B$300,$A463)+COUNTIF('Fernando'!$B$6:$B$300,$A463)+COUNTIF('Stephanie'!$B$6:$B$300,$A463)+COUNTIF('Fox'!$B$6:$B$300,$A463)+COUNTIF('Bruna'!$B$6:$B$300,$A463)+COUNTIF('Stella'!$B$6:$B$300,$A463)+COUNTIF('Igor'!$B$6:$B$300,$A463)))</f>
        <v/>
      </c>
      <c r="P463" s="25">
        <f>IF($A463="","",IF(M463&lt;&gt;"",M463,IF(K463&lt;&gt;"",K463,"")))</f>
        <v/>
      </c>
      <c r="Q463" s="25">
        <f>IF($A463="","",IF(N463&lt;&gt;"",N463,IF(L463&lt;&gt;"",L463,"")))</f>
        <v/>
      </c>
      <c r="S463" s="23">
        <f t="array" ref="S463">IF($A463="","",_xlfn.TEXTJOIN(CHAR(10),TRUE,IF('Clarice'!$B$6:$B$300=$A463,"Clarice"&amp;IF('Clarice'!$E$6:$E$300="",""," : "&amp;'Clarice'!$E$6:$E$300)&amp;" ["&amp;'Clarice'!$F$6:$F$300&amp;"]",""),IF('Luisa'!$B$6:$B$300=$A463,"Luisa"&amp;IF('Luisa'!$E$6:$E$300="",""," : "&amp;'Luisa'!$E$6:$E$300)&amp;" ["&amp;'Luisa'!$F$6:$F$300&amp;"]",""),IF('Lui'!$B$6:$B$300=$A463,"Lui"&amp;IF('Lui'!$E$6:$E$300="",""," : "&amp;'Lui'!$E$6:$E$300)&amp;" ["&amp;'Lui'!$F$6:$F$300&amp;"]",""),IF('Thaís'!$B$6:$B$300=$A463,"Thaís"&amp;IF('Thaís'!$E$6:$E$300="",""," : "&amp;'Thaís'!$E$6:$E$300)&amp;" ["&amp;'Thaís'!$F$6:$F$300&amp;"]",""),IF('Daniel'!$B$6:$B$300=$A463,"Daniel"&amp;IF('Daniel'!$E$6:$E$300="",""," : "&amp;'Daniel'!$E$6:$E$300)&amp;" ["&amp;'Daniel'!$F$6:$F$300&amp;"]",""),IF('Fernando'!$B$6:$B$300=$A463,"Fernando"&amp;IF('Fernando'!$E$6:$E$300="",""," : "&amp;'Fernando'!$E$6:$E$300)&amp;" ["&amp;'Fernando'!$F$6:$F$300&amp;"]",""),IF('Stephanie'!$B$6:$B$300=$A463,"Stephanie"&amp;IF('Stephanie'!$E$6:$E$300="",""," : "&amp;'Stephanie'!$E$6:$E$300)&amp;" ["&amp;'Stephanie'!$F$6:$F$300&amp;"]",""),IF('Fox'!$B$6:$B$300=$A463,"Fox"&amp;IF('Fox'!$E$6:$E$300="",""," : "&amp;'Fox'!$E$6:$E$300)&amp;" ["&amp;'Fox'!$F$6:$F$300&amp;"]",""),IF('Bruna'!$B$6:$B$300=$A463,"Bruna"&amp;IF('Bruna'!$E$6:$E$300="",""," : "&amp;'Bruna'!$E$6:$E$300)&amp;" ["&amp;'Bruna'!$F$6:$F$300&amp;"]",""),IF('Stella'!$B$6:$B$300=$A463,"Stella"&amp;IF('Stella'!$E$6:$E$300="",""," : "&amp;'Stella'!$E$6:$E$300)&amp;" ["&amp;'Stella'!$F$6:$F$300&amp;"]",""),IF('Igor'!$B$6:$B$300=$A463,"Igor"&amp;IF('Igor'!$E$6:$E$300="",""," : "&amp;'Igor'!$E$6:$E$300)&amp;" ["&amp;'Igor'!$F$6:$F$300&amp;"]","")))</f>
        <v/>
      </c>
    </row>
    <row r="464">
      <c r="G464" s="23">
        <f>IF($A464="","",_xlfn.TEXTJOIN("; ",TRUE,IF(COUNTIF('Clarice'!$B$6:$B$300,$A464)&gt;0,"Clarice",""),IF(COUNTIF('Luisa'!$B$6:$B$300,$A464)&gt;0,"Luisa",""),IF(COUNTIF('Lui'!$B$6:$B$300,$A464)&gt;0,"Lui",""),IF(COUNTIF('Thaís'!$B$6:$B$300,$A464)&gt;0,"Thaís",""),IF(COUNTIF('Daniel'!$B$6:$B$300,$A464)&gt;0,"Daniel",""),IF(COUNTIF('Fernando'!$B$6:$B$300,$A464)&gt;0,"Fernando",""),IF(COUNTIF('Stephanie'!$B$6:$B$300,$A464)&gt;0,"Stephanie",""),IF(COUNTIF('Fox'!$B$6:$B$300,$A464)&gt;0,"Fox",""),IF(COUNTIF('Bruna'!$B$6:$B$300,$A464)&gt;0,"Bruna",""),IF(COUNTIF('Stella'!$B$6:$B$300,$A464)&gt;0,"Stella",""),IF(COUNTIF('Igor'!$B$6:$B$300,$A464)&gt;0,"Igor","")))</f>
        <v/>
      </c>
      <c r="J464" s="24">
        <f>IF(OR($A464="",(COUNTIF('Clarice'!$B$6:$B$300,$A464)+COUNTIF('Luisa'!$B$6:$B$300,$A464)+COUNTIF('Lui'!$B$6:$B$300,$A464)+COUNTIF('Thaís'!$B$6:$B$300,$A464)+COUNTIF('Daniel'!$B$6:$B$300,$A464)+COUNTIF('Fernando'!$B$6:$B$300,$A464)+COUNTIF('Stephanie'!$B$6:$B$300,$A464)+COUNTIF('Fox'!$B$6:$B$300,$A464)+COUNTIF('Bruna'!$B$6:$B$300,$A464)+COUNTIF('Stella'!$B$6:$B$300,$A464)+COUNTIF('Igor'!$B$6:$B$300,$A464))=0),"",(COUNTIFS('Clarice'!$B$6:$B$300,$A464,'Clarice'!$F$6:$F$300,"Concluído")+COUNTIFS('Luisa'!$B$6:$B$300,$A464,'Luisa'!$F$6:$F$300,"Concluído")+COUNTIFS('Lui'!$B$6:$B$300,$A464,'Lui'!$F$6:$F$300,"Concluído")+COUNTIFS('Thaís'!$B$6:$B$300,$A464,'Thaís'!$F$6:$F$300,"Concluído")+COUNTIFS('Daniel'!$B$6:$B$300,$A464,'Daniel'!$F$6:$F$300,"Concluído")+COUNTIFS('Fernando'!$B$6:$B$300,$A464,'Fernando'!$F$6:$F$300,"Concluído")+COUNTIFS('Stephanie'!$B$6:$B$300,$A464,'Stephanie'!$F$6:$F$300,"Concluído")+COUNTIFS('Fox'!$B$6:$B$300,$A464,'Fox'!$F$6:$F$300,"Concluído")+COUNTIFS('Bruna'!$B$6:$B$300,$A464,'Bruna'!$F$6:$F$300,"Concluído")+COUNTIFS('Stella'!$B$6:$B$300,$A464,'Stella'!$F$6:$F$300,"Concluído")+COUNTIFS('Igor'!$B$6:$B$300,$A464,'Igor'!$F$6:$F$300,"Concluído"))&amp;" / "&amp;(COUNTIF('Clarice'!$B$6:$B$300,$A464)+COUNTIF('Luisa'!$B$6:$B$300,$A464)+COUNTIF('Lui'!$B$6:$B$300,$A464)+COUNTIF('Thaís'!$B$6:$B$300,$A464)+COUNTIF('Daniel'!$B$6:$B$300,$A464)+COUNTIF('Fernando'!$B$6:$B$300,$A464)+COUNTIF('Stephanie'!$B$6:$B$300,$A464)+COUNTIF('Fox'!$B$6:$B$300,$A464)+COUNTIF('Bruna'!$B$6:$B$300,$A464)+COUNTIF('Stella'!$B$6:$B$300,$A464)+COUNTIF('Igor'!$B$6:$B$300,$A464)))</f>
        <v/>
      </c>
      <c r="P464" s="25">
        <f>IF($A464="","",IF(M464&lt;&gt;"",M464,IF(K464&lt;&gt;"",K464,"")))</f>
        <v/>
      </c>
      <c r="Q464" s="25">
        <f>IF($A464="","",IF(N464&lt;&gt;"",N464,IF(L464&lt;&gt;"",L464,"")))</f>
        <v/>
      </c>
      <c r="S464" s="23">
        <f t="array" ref="S464">IF($A464="","",_xlfn.TEXTJOIN(CHAR(10),TRUE,IF('Clarice'!$B$6:$B$300=$A464,"Clarice"&amp;IF('Clarice'!$E$6:$E$300="",""," : "&amp;'Clarice'!$E$6:$E$300)&amp;" ["&amp;'Clarice'!$F$6:$F$300&amp;"]",""),IF('Luisa'!$B$6:$B$300=$A464,"Luisa"&amp;IF('Luisa'!$E$6:$E$300="",""," : "&amp;'Luisa'!$E$6:$E$300)&amp;" ["&amp;'Luisa'!$F$6:$F$300&amp;"]",""),IF('Lui'!$B$6:$B$300=$A464,"Lui"&amp;IF('Lui'!$E$6:$E$300="",""," : "&amp;'Lui'!$E$6:$E$300)&amp;" ["&amp;'Lui'!$F$6:$F$300&amp;"]",""),IF('Thaís'!$B$6:$B$300=$A464,"Thaís"&amp;IF('Thaís'!$E$6:$E$300="",""," : "&amp;'Thaís'!$E$6:$E$300)&amp;" ["&amp;'Thaís'!$F$6:$F$300&amp;"]",""),IF('Daniel'!$B$6:$B$300=$A464,"Daniel"&amp;IF('Daniel'!$E$6:$E$300="",""," : "&amp;'Daniel'!$E$6:$E$300)&amp;" ["&amp;'Daniel'!$F$6:$F$300&amp;"]",""),IF('Fernando'!$B$6:$B$300=$A464,"Fernando"&amp;IF('Fernando'!$E$6:$E$300="",""," : "&amp;'Fernando'!$E$6:$E$300)&amp;" ["&amp;'Fernando'!$F$6:$F$300&amp;"]",""),IF('Stephanie'!$B$6:$B$300=$A464,"Stephanie"&amp;IF('Stephanie'!$E$6:$E$300="",""," : "&amp;'Stephanie'!$E$6:$E$300)&amp;" ["&amp;'Stephanie'!$F$6:$F$300&amp;"]",""),IF('Fox'!$B$6:$B$300=$A464,"Fox"&amp;IF('Fox'!$E$6:$E$300="",""," : "&amp;'Fox'!$E$6:$E$300)&amp;" ["&amp;'Fox'!$F$6:$F$300&amp;"]",""),IF('Bruna'!$B$6:$B$300=$A464,"Bruna"&amp;IF('Bruna'!$E$6:$E$300="",""," : "&amp;'Bruna'!$E$6:$E$300)&amp;" ["&amp;'Bruna'!$F$6:$F$300&amp;"]",""),IF('Stella'!$B$6:$B$300=$A464,"Stella"&amp;IF('Stella'!$E$6:$E$300="",""," : "&amp;'Stella'!$E$6:$E$300)&amp;" ["&amp;'Stella'!$F$6:$F$300&amp;"]",""),IF('Igor'!$B$6:$B$300=$A464,"Igor"&amp;IF('Igor'!$E$6:$E$300="",""," : "&amp;'Igor'!$E$6:$E$300)&amp;" ["&amp;'Igor'!$F$6:$F$300&amp;"]","")))</f>
        <v/>
      </c>
    </row>
    <row r="465">
      <c r="G465" s="23">
        <f>IF($A465="","",_xlfn.TEXTJOIN("; ",TRUE,IF(COUNTIF('Clarice'!$B$6:$B$300,$A465)&gt;0,"Clarice",""),IF(COUNTIF('Luisa'!$B$6:$B$300,$A465)&gt;0,"Luisa",""),IF(COUNTIF('Lui'!$B$6:$B$300,$A465)&gt;0,"Lui",""),IF(COUNTIF('Thaís'!$B$6:$B$300,$A465)&gt;0,"Thaís",""),IF(COUNTIF('Daniel'!$B$6:$B$300,$A465)&gt;0,"Daniel",""),IF(COUNTIF('Fernando'!$B$6:$B$300,$A465)&gt;0,"Fernando",""),IF(COUNTIF('Stephanie'!$B$6:$B$300,$A465)&gt;0,"Stephanie",""),IF(COUNTIF('Fox'!$B$6:$B$300,$A465)&gt;0,"Fox",""),IF(COUNTIF('Bruna'!$B$6:$B$300,$A465)&gt;0,"Bruna",""),IF(COUNTIF('Stella'!$B$6:$B$300,$A465)&gt;0,"Stella",""),IF(COUNTIF('Igor'!$B$6:$B$300,$A465)&gt;0,"Igor","")))</f>
        <v/>
      </c>
      <c r="J465" s="24">
        <f>IF(OR($A465="",(COUNTIF('Clarice'!$B$6:$B$300,$A465)+COUNTIF('Luisa'!$B$6:$B$300,$A465)+COUNTIF('Lui'!$B$6:$B$300,$A465)+COUNTIF('Thaís'!$B$6:$B$300,$A465)+COUNTIF('Daniel'!$B$6:$B$300,$A465)+COUNTIF('Fernando'!$B$6:$B$300,$A465)+COUNTIF('Stephanie'!$B$6:$B$300,$A465)+COUNTIF('Fox'!$B$6:$B$300,$A465)+COUNTIF('Bruna'!$B$6:$B$300,$A465)+COUNTIF('Stella'!$B$6:$B$300,$A465)+COUNTIF('Igor'!$B$6:$B$300,$A465))=0),"",(COUNTIFS('Clarice'!$B$6:$B$300,$A465,'Clarice'!$F$6:$F$300,"Concluído")+COUNTIFS('Luisa'!$B$6:$B$300,$A465,'Luisa'!$F$6:$F$300,"Concluído")+COUNTIFS('Lui'!$B$6:$B$300,$A465,'Lui'!$F$6:$F$300,"Concluído")+COUNTIFS('Thaís'!$B$6:$B$300,$A465,'Thaís'!$F$6:$F$300,"Concluído")+COUNTIFS('Daniel'!$B$6:$B$300,$A465,'Daniel'!$F$6:$F$300,"Concluído")+COUNTIFS('Fernando'!$B$6:$B$300,$A465,'Fernando'!$F$6:$F$300,"Concluído")+COUNTIFS('Stephanie'!$B$6:$B$300,$A465,'Stephanie'!$F$6:$F$300,"Concluído")+COUNTIFS('Fox'!$B$6:$B$300,$A465,'Fox'!$F$6:$F$300,"Concluído")+COUNTIFS('Bruna'!$B$6:$B$300,$A465,'Bruna'!$F$6:$F$300,"Concluído")+COUNTIFS('Stella'!$B$6:$B$300,$A465,'Stella'!$F$6:$F$300,"Concluído")+COUNTIFS('Igor'!$B$6:$B$300,$A465,'Igor'!$F$6:$F$300,"Concluído"))&amp;" / "&amp;(COUNTIF('Clarice'!$B$6:$B$300,$A465)+COUNTIF('Luisa'!$B$6:$B$300,$A465)+COUNTIF('Lui'!$B$6:$B$300,$A465)+COUNTIF('Thaís'!$B$6:$B$300,$A465)+COUNTIF('Daniel'!$B$6:$B$300,$A465)+COUNTIF('Fernando'!$B$6:$B$300,$A465)+COUNTIF('Stephanie'!$B$6:$B$300,$A465)+COUNTIF('Fox'!$B$6:$B$300,$A465)+COUNTIF('Bruna'!$B$6:$B$300,$A465)+COUNTIF('Stella'!$B$6:$B$300,$A465)+COUNTIF('Igor'!$B$6:$B$300,$A465)))</f>
        <v/>
      </c>
      <c r="P465" s="25">
        <f>IF($A465="","",IF(M465&lt;&gt;"",M465,IF(K465&lt;&gt;"",K465,"")))</f>
        <v/>
      </c>
      <c r="Q465" s="25">
        <f>IF($A465="","",IF(N465&lt;&gt;"",N465,IF(L465&lt;&gt;"",L465,"")))</f>
        <v/>
      </c>
      <c r="S465" s="23">
        <f t="array" ref="S465">IF($A465="","",_xlfn.TEXTJOIN(CHAR(10),TRUE,IF('Clarice'!$B$6:$B$300=$A465,"Clarice"&amp;IF('Clarice'!$E$6:$E$300="",""," : "&amp;'Clarice'!$E$6:$E$300)&amp;" ["&amp;'Clarice'!$F$6:$F$300&amp;"]",""),IF('Luisa'!$B$6:$B$300=$A465,"Luisa"&amp;IF('Luisa'!$E$6:$E$300="",""," : "&amp;'Luisa'!$E$6:$E$300)&amp;" ["&amp;'Luisa'!$F$6:$F$300&amp;"]",""),IF('Lui'!$B$6:$B$300=$A465,"Lui"&amp;IF('Lui'!$E$6:$E$300="",""," : "&amp;'Lui'!$E$6:$E$300)&amp;" ["&amp;'Lui'!$F$6:$F$300&amp;"]",""),IF('Thaís'!$B$6:$B$300=$A465,"Thaís"&amp;IF('Thaís'!$E$6:$E$300="",""," : "&amp;'Thaís'!$E$6:$E$300)&amp;" ["&amp;'Thaís'!$F$6:$F$300&amp;"]",""),IF('Daniel'!$B$6:$B$300=$A465,"Daniel"&amp;IF('Daniel'!$E$6:$E$300="",""," : "&amp;'Daniel'!$E$6:$E$300)&amp;" ["&amp;'Daniel'!$F$6:$F$300&amp;"]",""),IF('Fernando'!$B$6:$B$300=$A465,"Fernando"&amp;IF('Fernando'!$E$6:$E$300="",""," : "&amp;'Fernando'!$E$6:$E$300)&amp;" ["&amp;'Fernando'!$F$6:$F$300&amp;"]",""),IF('Stephanie'!$B$6:$B$300=$A465,"Stephanie"&amp;IF('Stephanie'!$E$6:$E$300="",""," : "&amp;'Stephanie'!$E$6:$E$300)&amp;" ["&amp;'Stephanie'!$F$6:$F$300&amp;"]",""),IF('Fox'!$B$6:$B$300=$A465,"Fox"&amp;IF('Fox'!$E$6:$E$300="",""," : "&amp;'Fox'!$E$6:$E$300)&amp;" ["&amp;'Fox'!$F$6:$F$300&amp;"]",""),IF('Bruna'!$B$6:$B$300=$A465,"Bruna"&amp;IF('Bruna'!$E$6:$E$300="",""," : "&amp;'Bruna'!$E$6:$E$300)&amp;" ["&amp;'Bruna'!$F$6:$F$300&amp;"]",""),IF('Stella'!$B$6:$B$300=$A465,"Stella"&amp;IF('Stella'!$E$6:$E$300="",""," : "&amp;'Stella'!$E$6:$E$300)&amp;" ["&amp;'Stella'!$F$6:$F$300&amp;"]",""),IF('Igor'!$B$6:$B$300=$A465,"Igor"&amp;IF('Igor'!$E$6:$E$300="",""," : "&amp;'Igor'!$E$6:$E$300)&amp;" ["&amp;'Igor'!$F$6:$F$300&amp;"]","")))</f>
        <v/>
      </c>
    </row>
    <row r="466">
      <c r="G466" s="23">
        <f>IF($A466="","",_xlfn.TEXTJOIN("; ",TRUE,IF(COUNTIF('Clarice'!$B$6:$B$300,$A466)&gt;0,"Clarice",""),IF(COUNTIF('Luisa'!$B$6:$B$300,$A466)&gt;0,"Luisa",""),IF(COUNTIF('Lui'!$B$6:$B$300,$A466)&gt;0,"Lui",""),IF(COUNTIF('Thaís'!$B$6:$B$300,$A466)&gt;0,"Thaís",""),IF(COUNTIF('Daniel'!$B$6:$B$300,$A466)&gt;0,"Daniel",""),IF(COUNTIF('Fernando'!$B$6:$B$300,$A466)&gt;0,"Fernando",""),IF(COUNTIF('Stephanie'!$B$6:$B$300,$A466)&gt;0,"Stephanie",""),IF(COUNTIF('Fox'!$B$6:$B$300,$A466)&gt;0,"Fox",""),IF(COUNTIF('Bruna'!$B$6:$B$300,$A466)&gt;0,"Bruna",""),IF(COUNTIF('Stella'!$B$6:$B$300,$A466)&gt;0,"Stella",""),IF(COUNTIF('Igor'!$B$6:$B$300,$A466)&gt;0,"Igor","")))</f>
        <v/>
      </c>
      <c r="J466" s="24">
        <f>IF(OR($A466="",(COUNTIF('Clarice'!$B$6:$B$300,$A466)+COUNTIF('Luisa'!$B$6:$B$300,$A466)+COUNTIF('Lui'!$B$6:$B$300,$A466)+COUNTIF('Thaís'!$B$6:$B$300,$A466)+COUNTIF('Daniel'!$B$6:$B$300,$A466)+COUNTIF('Fernando'!$B$6:$B$300,$A466)+COUNTIF('Stephanie'!$B$6:$B$300,$A466)+COUNTIF('Fox'!$B$6:$B$300,$A466)+COUNTIF('Bruna'!$B$6:$B$300,$A466)+COUNTIF('Stella'!$B$6:$B$300,$A466)+COUNTIF('Igor'!$B$6:$B$300,$A466))=0),"",(COUNTIFS('Clarice'!$B$6:$B$300,$A466,'Clarice'!$F$6:$F$300,"Concluído")+COUNTIFS('Luisa'!$B$6:$B$300,$A466,'Luisa'!$F$6:$F$300,"Concluído")+COUNTIFS('Lui'!$B$6:$B$300,$A466,'Lui'!$F$6:$F$300,"Concluído")+COUNTIFS('Thaís'!$B$6:$B$300,$A466,'Thaís'!$F$6:$F$300,"Concluído")+COUNTIFS('Daniel'!$B$6:$B$300,$A466,'Daniel'!$F$6:$F$300,"Concluído")+COUNTIFS('Fernando'!$B$6:$B$300,$A466,'Fernando'!$F$6:$F$300,"Concluído")+COUNTIFS('Stephanie'!$B$6:$B$300,$A466,'Stephanie'!$F$6:$F$300,"Concluído")+COUNTIFS('Fox'!$B$6:$B$300,$A466,'Fox'!$F$6:$F$300,"Concluído")+COUNTIFS('Bruna'!$B$6:$B$300,$A466,'Bruna'!$F$6:$F$300,"Concluído")+COUNTIFS('Stella'!$B$6:$B$300,$A466,'Stella'!$F$6:$F$300,"Concluído")+COUNTIFS('Igor'!$B$6:$B$300,$A466,'Igor'!$F$6:$F$300,"Concluído"))&amp;" / "&amp;(COUNTIF('Clarice'!$B$6:$B$300,$A466)+COUNTIF('Luisa'!$B$6:$B$300,$A466)+COUNTIF('Lui'!$B$6:$B$300,$A466)+COUNTIF('Thaís'!$B$6:$B$300,$A466)+COUNTIF('Daniel'!$B$6:$B$300,$A466)+COUNTIF('Fernando'!$B$6:$B$300,$A466)+COUNTIF('Stephanie'!$B$6:$B$300,$A466)+COUNTIF('Fox'!$B$6:$B$300,$A466)+COUNTIF('Bruna'!$B$6:$B$300,$A466)+COUNTIF('Stella'!$B$6:$B$300,$A466)+COUNTIF('Igor'!$B$6:$B$300,$A466)))</f>
        <v/>
      </c>
      <c r="P466" s="25">
        <f>IF($A466="","",IF(M466&lt;&gt;"",M466,IF(K466&lt;&gt;"",K466,"")))</f>
        <v/>
      </c>
      <c r="Q466" s="25">
        <f>IF($A466="","",IF(N466&lt;&gt;"",N466,IF(L466&lt;&gt;"",L466,"")))</f>
        <v/>
      </c>
      <c r="S466" s="23">
        <f t="array" ref="S466">IF($A466="","",_xlfn.TEXTJOIN(CHAR(10),TRUE,IF('Clarice'!$B$6:$B$300=$A466,"Clarice"&amp;IF('Clarice'!$E$6:$E$300="",""," : "&amp;'Clarice'!$E$6:$E$300)&amp;" ["&amp;'Clarice'!$F$6:$F$300&amp;"]",""),IF('Luisa'!$B$6:$B$300=$A466,"Luisa"&amp;IF('Luisa'!$E$6:$E$300="",""," : "&amp;'Luisa'!$E$6:$E$300)&amp;" ["&amp;'Luisa'!$F$6:$F$300&amp;"]",""),IF('Lui'!$B$6:$B$300=$A466,"Lui"&amp;IF('Lui'!$E$6:$E$300="",""," : "&amp;'Lui'!$E$6:$E$300)&amp;" ["&amp;'Lui'!$F$6:$F$300&amp;"]",""),IF('Thaís'!$B$6:$B$300=$A466,"Thaís"&amp;IF('Thaís'!$E$6:$E$300="",""," : "&amp;'Thaís'!$E$6:$E$300)&amp;" ["&amp;'Thaís'!$F$6:$F$300&amp;"]",""),IF('Daniel'!$B$6:$B$300=$A466,"Daniel"&amp;IF('Daniel'!$E$6:$E$300="",""," : "&amp;'Daniel'!$E$6:$E$300)&amp;" ["&amp;'Daniel'!$F$6:$F$300&amp;"]",""),IF('Fernando'!$B$6:$B$300=$A466,"Fernando"&amp;IF('Fernando'!$E$6:$E$300="",""," : "&amp;'Fernando'!$E$6:$E$300)&amp;" ["&amp;'Fernando'!$F$6:$F$300&amp;"]",""),IF('Stephanie'!$B$6:$B$300=$A466,"Stephanie"&amp;IF('Stephanie'!$E$6:$E$300="",""," : "&amp;'Stephanie'!$E$6:$E$300)&amp;" ["&amp;'Stephanie'!$F$6:$F$300&amp;"]",""),IF('Fox'!$B$6:$B$300=$A466,"Fox"&amp;IF('Fox'!$E$6:$E$300="",""," : "&amp;'Fox'!$E$6:$E$300)&amp;" ["&amp;'Fox'!$F$6:$F$300&amp;"]",""),IF('Bruna'!$B$6:$B$300=$A466,"Bruna"&amp;IF('Bruna'!$E$6:$E$300="",""," : "&amp;'Bruna'!$E$6:$E$300)&amp;" ["&amp;'Bruna'!$F$6:$F$300&amp;"]",""),IF('Stella'!$B$6:$B$300=$A466,"Stella"&amp;IF('Stella'!$E$6:$E$300="",""," : "&amp;'Stella'!$E$6:$E$300)&amp;" ["&amp;'Stella'!$F$6:$F$300&amp;"]",""),IF('Igor'!$B$6:$B$300=$A466,"Igor"&amp;IF('Igor'!$E$6:$E$300="",""," : "&amp;'Igor'!$E$6:$E$300)&amp;" ["&amp;'Igor'!$F$6:$F$300&amp;"]","")))</f>
        <v/>
      </c>
    </row>
    <row r="467">
      <c r="G467" s="23">
        <f>IF($A467="","",_xlfn.TEXTJOIN("; ",TRUE,IF(COUNTIF('Clarice'!$B$6:$B$300,$A467)&gt;0,"Clarice",""),IF(COUNTIF('Luisa'!$B$6:$B$300,$A467)&gt;0,"Luisa",""),IF(COUNTIF('Lui'!$B$6:$B$300,$A467)&gt;0,"Lui",""),IF(COUNTIF('Thaís'!$B$6:$B$300,$A467)&gt;0,"Thaís",""),IF(COUNTIF('Daniel'!$B$6:$B$300,$A467)&gt;0,"Daniel",""),IF(COUNTIF('Fernando'!$B$6:$B$300,$A467)&gt;0,"Fernando",""),IF(COUNTIF('Stephanie'!$B$6:$B$300,$A467)&gt;0,"Stephanie",""),IF(COUNTIF('Fox'!$B$6:$B$300,$A467)&gt;0,"Fox",""),IF(COUNTIF('Bruna'!$B$6:$B$300,$A467)&gt;0,"Bruna",""),IF(COUNTIF('Stella'!$B$6:$B$300,$A467)&gt;0,"Stella",""),IF(COUNTIF('Igor'!$B$6:$B$300,$A467)&gt;0,"Igor","")))</f>
        <v/>
      </c>
      <c r="J467" s="24">
        <f>IF(OR($A467="",(COUNTIF('Clarice'!$B$6:$B$300,$A467)+COUNTIF('Luisa'!$B$6:$B$300,$A467)+COUNTIF('Lui'!$B$6:$B$300,$A467)+COUNTIF('Thaís'!$B$6:$B$300,$A467)+COUNTIF('Daniel'!$B$6:$B$300,$A467)+COUNTIF('Fernando'!$B$6:$B$300,$A467)+COUNTIF('Stephanie'!$B$6:$B$300,$A467)+COUNTIF('Fox'!$B$6:$B$300,$A467)+COUNTIF('Bruna'!$B$6:$B$300,$A467)+COUNTIF('Stella'!$B$6:$B$300,$A467)+COUNTIF('Igor'!$B$6:$B$300,$A467))=0),"",(COUNTIFS('Clarice'!$B$6:$B$300,$A467,'Clarice'!$F$6:$F$300,"Concluído")+COUNTIFS('Luisa'!$B$6:$B$300,$A467,'Luisa'!$F$6:$F$300,"Concluído")+COUNTIFS('Lui'!$B$6:$B$300,$A467,'Lui'!$F$6:$F$300,"Concluído")+COUNTIFS('Thaís'!$B$6:$B$300,$A467,'Thaís'!$F$6:$F$300,"Concluído")+COUNTIFS('Daniel'!$B$6:$B$300,$A467,'Daniel'!$F$6:$F$300,"Concluído")+COUNTIFS('Fernando'!$B$6:$B$300,$A467,'Fernando'!$F$6:$F$300,"Concluído")+COUNTIFS('Stephanie'!$B$6:$B$300,$A467,'Stephanie'!$F$6:$F$300,"Concluído")+COUNTIFS('Fox'!$B$6:$B$300,$A467,'Fox'!$F$6:$F$300,"Concluído")+COUNTIFS('Bruna'!$B$6:$B$300,$A467,'Bruna'!$F$6:$F$300,"Concluído")+COUNTIFS('Stella'!$B$6:$B$300,$A467,'Stella'!$F$6:$F$300,"Concluído")+COUNTIFS('Igor'!$B$6:$B$300,$A467,'Igor'!$F$6:$F$300,"Concluído"))&amp;" / "&amp;(COUNTIF('Clarice'!$B$6:$B$300,$A467)+COUNTIF('Luisa'!$B$6:$B$300,$A467)+COUNTIF('Lui'!$B$6:$B$300,$A467)+COUNTIF('Thaís'!$B$6:$B$300,$A467)+COUNTIF('Daniel'!$B$6:$B$300,$A467)+COUNTIF('Fernando'!$B$6:$B$300,$A467)+COUNTIF('Stephanie'!$B$6:$B$300,$A467)+COUNTIF('Fox'!$B$6:$B$300,$A467)+COUNTIF('Bruna'!$B$6:$B$300,$A467)+COUNTIF('Stella'!$B$6:$B$300,$A467)+COUNTIF('Igor'!$B$6:$B$300,$A467)))</f>
        <v/>
      </c>
      <c r="P467" s="25">
        <f>IF($A467="","",IF(M467&lt;&gt;"",M467,IF(K467&lt;&gt;"",K467,"")))</f>
        <v/>
      </c>
      <c r="Q467" s="25">
        <f>IF($A467="","",IF(N467&lt;&gt;"",N467,IF(L467&lt;&gt;"",L467,"")))</f>
        <v/>
      </c>
      <c r="S467" s="23">
        <f t="array" ref="S467">IF($A467="","",_xlfn.TEXTJOIN(CHAR(10),TRUE,IF('Clarice'!$B$6:$B$300=$A467,"Clarice"&amp;IF('Clarice'!$E$6:$E$300="",""," : "&amp;'Clarice'!$E$6:$E$300)&amp;" ["&amp;'Clarice'!$F$6:$F$300&amp;"]",""),IF('Luisa'!$B$6:$B$300=$A467,"Luisa"&amp;IF('Luisa'!$E$6:$E$300="",""," : "&amp;'Luisa'!$E$6:$E$300)&amp;" ["&amp;'Luisa'!$F$6:$F$300&amp;"]",""),IF('Lui'!$B$6:$B$300=$A467,"Lui"&amp;IF('Lui'!$E$6:$E$300="",""," : "&amp;'Lui'!$E$6:$E$300)&amp;" ["&amp;'Lui'!$F$6:$F$300&amp;"]",""),IF('Thaís'!$B$6:$B$300=$A467,"Thaís"&amp;IF('Thaís'!$E$6:$E$300="",""," : "&amp;'Thaís'!$E$6:$E$300)&amp;" ["&amp;'Thaís'!$F$6:$F$300&amp;"]",""),IF('Daniel'!$B$6:$B$300=$A467,"Daniel"&amp;IF('Daniel'!$E$6:$E$300="",""," : "&amp;'Daniel'!$E$6:$E$300)&amp;" ["&amp;'Daniel'!$F$6:$F$300&amp;"]",""),IF('Fernando'!$B$6:$B$300=$A467,"Fernando"&amp;IF('Fernando'!$E$6:$E$300="",""," : "&amp;'Fernando'!$E$6:$E$300)&amp;" ["&amp;'Fernando'!$F$6:$F$300&amp;"]",""),IF('Stephanie'!$B$6:$B$300=$A467,"Stephanie"&amp;IF('Stephanie'!$E$6:$E$300="",""," : "&amp;'Stephanie'!$E$6:$E$300)&amp;" ["&amp;'Stephanie'!$F$6:$F$300&amp;"]",""),IF('Fox'!$B$6:$B$300=$A467,"Fox"&amp;IF('Fox'!$E$6:$E$300="",""," : "&amp;'Fox'!$E$6:$E$300)&amp;" ["&amp;'Fox'!$F$6:$F$300&amp;"]",""),IF('Bruna'!$B$6:$B$300=$A467,"Bruna"&amp;IF('Bruna'!$E$6:$E$300="",""," : "&amp;'Bruna'!$E$6:$E$300)&amp;" ["&amp;'Bruna'!$F$6:$F$300&amp;"]",""),IF('Stella'!$B$6:$B$300=$A467,"Stella"&amp;IF('Stella'!$E$6:$E$300="",""," : "&amp;'Stella'!$E$6:$E$300)&amp;" ["&amp;'Stella'!$F$6:$F$300&amp;"]",""),IF('Igor'!$B$6:$B$300=$A467,"Igor"&amp;IF('Igor'!$E$6:$E$300="",""," : "&amp;'Igor'!$E$6:$E$300)&amp;" ["&amp;'Igor'!$F$6:$F$300&amp;"]","")))</f>
        <v/>
      </c>
    </row>
    <row r="468">
      <c r="G468" s="23">
        <f>IF($A468="","",_xlfn.TEXTJOIN("; ",TRUE,IF(COUNTIF('Clarice'!$B$6:$B$300,$A468)&gt;0,"Clarice",""),IF(COUNTIF('Luisa'!$B$6:$B$300,$A468)&gt;0,"Luisa",""),IF(COUNTIF('Lui'!$B$6:$B$300,$A468)&gt;0,"Lui",""),IF(COUNTIF('Thaís'!$B$6:$B$300,$A468)&gt;0,"Thaís",""),IF(COUNTIF('Daniel'!$B$6:$B$300,$A468)&gt;0,"Daniel",""),IF(COUNTIF('Fernando'!$B$6:$B$300,$A468)&gt;0,"Fernando",""),IF(COUNTIF('Stephanie'!$B$6:$B$300,$A468)&gt;0,"Stephanie",""),IF(COUNTIF('Fox'!$B$6:$B$300,$A468)&gt;0,"Fox",""),IF(COUNTIF('Bruna'!$B$6:$B$300,$A468)&gt;0,"Bruna",""),IF(COUNTIF('Stella'!$B$6:$B$300,$A468)&gt;0,"Stella",""),IF(COUNTIF('Igor'!$B$6:$B$300,$A468)&gt;0,"Igor","")))</f>
        <v/>
      </c>
      <c r="J468" s="24">
        <f>IF(OR($A468="",(COUNTIF('Clarice'!$B$6:$B$300,$A468)+COUNTIF('Luisa'!$B$6:$B$300,$A468)+COUNTIF('Lui'!$B$6:$B$300,$A468)+COUNTIF('Thaís'!$B$6:$B$300,$A468)+COUNTIF('Daniel'!$B$6:$B$300,$A468)+COUNTIF('Fernando'!$B$6:$B$300,$A468)+COUNTIF('Stephanie'!$B$6:$B$300,$A468)+COUNTIF('Fox'!$B$6:$B$300,$A468)+COUNTIF('Bruna'!$B$6:$B$300,$A468)+COUNTIF('Stella'!$B$6:$B$300,$A468)+COUNTIF('Igor'!$B$6:$B$300,$A468))=0),"",(COUNTIFS('Clarice'!$B$6:$B$300,$A468,'Clarice'!$F$6:$F$300,"Concluído")+COUNTIFS('Luisa'!$B$6:$B$300,$A468,'Luisa'!$F$6:$F$300,"Concluído")+COUNTIFS('Lui'!$B$6:$B$300,$A468,'Lui'!$F$6:$F$300,"Concluído")+COUNTIFS('Thaís'!$B$6:$B$300,$A468,'Thaís'!$F$6:$F$300,"Concluído")+COUNTIFS('Daniel'!$B$6:$B$300,$A468,'Daniel'!$F$6:$F$300,"Concluído")+COUNTIFS('Fernando'!$B$6:$B$300,$A468,'Fernando'!$F$6:$F$300,"Concluído")+COUNTIFS('Stephanie'!$B$6:$B$300,$A468,'Stephanie'!$F$6:$F$300,"Concluído")+COUNTIFS('Fox'!$B$6:$B$300,$A468,'Fox'!$F$6:$F$300,"Concluído")+COUNTIFS('Bruna'!$B$6:$B$300,$A468,'Bruna'!$F$6:$F$300,"Concluído")+COUNTIFS('Stella'!$B$6:$B$300,$A468,'Stella'!$F$6:$F$300,"Concluído")+COUNTIFS('Igor'!$B$6:$B$300,$A468,'Igor'!$F$6:$F$300,"Concluído"))&amp;" / "&amp;(COUNTIF('Clarice'!$B$6:$B$300,$A468)+COUNTIF('Luisa'!$B$6:$B$300,$A468)+COUNTIF('Lui'!$B$6:$B$300,$A468)+COUNTIF('Thaís'!$B$6:$B$300,$A468)+COUNTIF('Daniel'!$B$6:$B$300,$A468)+COUNTIF('Fernando'!$B$6:$B$300,$A468)+COUNTIF('Stephanie'!$B$6:$B$300,$A468)+COUNTIF('Fox'!$B$6:$B$300,$A468)+COUNTIF('Bruna'!$B$6:$B$300,$A468)+COUNTIF('Stella'!$B$6:$B$300,$A468)+COUNTIF('Igor'!$B$6:$B$300,$A468)))</f>
        <v/>
      </c>
      <c r="P468" s="25">
        <f>IF($A468="","",IF(M468&lt;&gt;"",M468,IF(K468&lt;&gt;"",K468,"")))</f>
        <v/>
      </c>
      <c r="Q468" s="25">
        <f>IF($A468="","",IF(N468&lt;&gt;"",N468,IF(L468&lt;&gt;"",L468,"")))</f>
        <v/>
      </c>
      <c r="S468" s="23">
        <f t="array" ref="S468">IF($A468="","",_xlfn.TEXTJOIN(CHAR(10),TRUE,IF('Clarice'!$B$6:$B$300=$A468,"Clarice"&amp;IF('Clarice'!$E$6:$E$300="",""," : "&amp;'Clarice'!$E$6:$E$300)&amp;" ["&amp;'Clarice'!$F$6:$F$300&amp;"]",""),IF('Luisa'!$B$6:$B$300=$A468,"Luisa"&amp;IF('Luisa'!$E$6:$E$300="",""," : "&amp;'Luisa'!$E$6:$E$300)&amp;" ["&amp;'Luisa'!$F$6:$F$300&amp;"]",""),IF('Lui'!$B$6:$B$300=$A468,"Lui"&amp;IF('Lui'!$E$6:$E$300="",""," : "&amp;'Lui'!$E$6:$E$300)&amp;" ["&amp;'Lui'!$F$6:$F$300&amp;"]",""),IF('Thaís'!$B$6:$B$300=$A468,"Thaís"&amp;IF('Thaís'!$E$6:$E$300="",""," : "&amp;'Thaís'!$E$6:$E$300)&amp;" ["&amp;'Thaís'!$F$6:$F$300&amp;"]",""),IF('Daniel'!$B$6:$B$300=$A468,"Daniel"&amp;IF('Daniel'!$E$6:$E$300="",""," : "&amp;'Daniel'!$E$6:$E$300)&amp;" ["&amp;'Daniel'!$F$6:$F$300&amp;"]",""),IF('Fernando'!$B$6:$B$300=$A468,"Fernando"&amp;IF('Fernando'!$E$6:$E$300="",""," : "&amp;'Fernando'!$E$6:$E$300)&amp;" ["&amp;'Fernando'!$F$6:$F$300&amp;"]",""),IF('Stephanie'!$B$6:$B$300=$A468,"Stephanie"&amp;IF('Stephanie'!$E$6:$E$300="",""," : "&amp;'Stephanie'!$E$6:$E$300)&amp;" ["&amp;'Stephanie'!$F$6:$F$300&amp;"]",""),IF('Fox'!$B$6:$B$300=$A468,"Fox"&amp;IF('Fox'!$E$6:$E$300="",""," : "&amp;'Fox'!$E$6:$E$300)&amp;" ["&amp;'Fox'!$F$6:$F$300&amp;"]",""),IF('Bruna'!$B$6:$B$300=$A468,"Bruna"&amp;IF('Bruna'!$E$6:$E$300="",""," : "&amp;'Bruna'!$E$6:$E$300)&amp;" ["&amp;'Bruna'!$F$6:$F$300&amp;"]",""),IF('Stella'!$B$6:$B$300=$A468,"Stella"&amp;IF('Stella'!$E$6:$E$300="",""," : "&amp;'Stella'!$E$6:$E$300)&amp;" ["&amp;'Stella'!$F$6:$F$300&amp;"]",""),IF('Igor'!$B$6:$B$300=$A468,"Igor"&amp;IF('Igor'!$E$6:$E$300="",""," : "&amp;'Igor'!$E$6:$E$300)&amp;" ["&amp;'Igor'!$F$6:$F$300&amp;"]","")))</f>
        <v/>
      </c>
    </row>
    <row r="469">
      <c r="G469" s="23">
        <f>IF($A469="","",_xlfn.TEXTJOIN("; ",TRUE,IF(COUNTIF('Clarice'!$B$6:$B$300,$A469)&gt;0,"Clarice",""),IF(COUNTIF('Luisa'!$B$6:$B$300,$A469)&gt;0,"Luisa",""),IF(COUNTIF('Lui'!$B$6:$B$300,$A469)&gt;0,"Lui",""),IF(COUNTIF('Thaís'!$B$6:$B$300,$A469)&gt;0,"Thaís",""),IF(COUNTIF('Daniel'!$B$6:$B$300,$A469)&gt;0,"Daniel",""),IF(COUNTIF('Fernando'!$B$6:$B$300,$A469)&gt;0,"Fernando",""),IF(COUNTIF('Stephanie'!$B$6:$B$300,$A469)&gt;0,"Stephanie",""),IF(COUNTIF('Fox'!$B$6:$B$300,$A469)&gt;0,"Fox",""),IF(COUNTIF('Bruna'!$B$6:$B$300,$A469)&gt;0,"Bruna",""),IF(COUNTIF('Stella'!$B$6:$B$300,$A469)&gt;0,"Stella",""),IF(COUNTIF('Igor'!$B$6:$B$300,$A469)&gt;0,"Igor","")))</f>
        <v/>
      </c>
      <c r="J469" s="24">
        <f>IF(OR($A469="",(COUNTIF('Clarice'!$B$6:$B$300,$A469)+COUNTIF('Luisa'!$B$6:$B$300,$A469)+COUNTIF('Lui'!$B$6:$B$300,$A469)+COUNTIF('Thaís'!$B$6:$B$300,$A469)+COUNTIF('Daniel'!$B$6:$B$300,$A469)+COUNTIF('Fernando'!$B$6:$B$300,$A469)+COUNTIF('Stephanie'!$B$6:$B$300,$A469)+COUNTIF('Fox'!$B$6:$B$300,$A469)+COUNTIF('Bruna'!$B$6:$B$300,$A469)+COUNTIF('Stella'!$B$6:$B$300,$A469)+COUNTIF('Igor'!$B$6:$B$300,$A469))=0),"",(COUNTIFS('Clarice'!$B$6:$B$300,$A469,'Clarice'!$F$6:$F$300,"Concluído")+COUNTIFS('Luisa'!$B$6:$B$300,$A469,'Luisa'!$F$6:$F$300,"Concluído")+COUNTIFS('Lui'!$B$6:$B$300,$A469,'Lui'!$F$6:$F$300,"Concluído")+COUNTIFS('Thaís'!$B$6:$B$300,$A469,'Thaís'!$F$6:$F$300,"Concluído")+COUNTIFS('Daniel'!$B$6:$B$300,$A469,'Daniel'!$F$6:$F$300,"Concluído")+COUNTIFS('Fernando'!$B$6:$B$300,$A469,'Fernando'!$F$6:$F$300,"Concluído")+COUNTIFS('Stephanie'!$B$6:$B$300,$A469,'Stephanie'!$F$6:$F$300,"Concluído")+COUNTIFS('Fox'!$B$6:$B$300,$A469,'Fox'!$F$6:$F$300,"Concluído")+COUNTIFS('Bruna'!$B$6:$B$300,$A469,'Bruna'!$F$6:$F$300,"Concluído")+COUNTIFS('Stella'!$B$6:$B$300,$A469,'Stella'!$F$6:$F$300,"Concluído")+COUNTIFS('Igor'!$B$6:$B$300,$A469,'Igor'!$F$6:$F$300,"Concluído"))&amp;" / "&amp;(COUNTIF('Clarice'!$B$6:$B$300,$A469)+COUNTIF('Luisa'!$B$6:$B$300,$A469)+COUNTIF('Lui'!$B$6:$B$300,$A469)+COUNTIF('Thaís'!$B$6:$B$300,$A469)+COUNTIF('Daniel'!$B$6:$B$300,$A469)+COUNTIF('Fernando'!$B$6:$B$300,$A469)+COUNTIF('Stephanie'!$B$6:$B$300,$A469)+COUNTIF('Fox'!$B$6:$B$300,$A469)+COUNTIF('Bruna'!$B$6:$B$300,$A469)+COUNTIF('Stella'!$B$6:$B$300,$A469)+COUNTIF('Igor'!$B$6:$B$300,$A469)))</f>
        <v/>
      </c>
      <c r="P469" s="25">
        <f>IF($A469="","",IF(M469&lt;&gt;"",M469,IF(K469&lt;&gt;"",K469,"")))</f>
        <v/>
      </c>
      <c r="Q469" s="25">
        <f>IF($A469="","",IF(N469&lt;&gt;"",N469,IF(L469&lt;&gt;"",L469,"")))</f>
        <v/>
      </c>
      <c r="S469" s="23">
        <f t="array" ref="S469">IF($A469="","",_xlfn.TEXTJOIN(CHAR(10),TRUE,IF('Clarice'!$B$6:$B$300=$A469,"Clarice"&amp;IF('Clarice'!$E$6:$E$300="",""," : "&amp;'Clarice'!$E$6:$E$300)&amp;" ["&amp;'Clarice'!$F$6:$F$300&amp;"]",""),IF('Luisa'!$B$6:$B$300=$A469,"Luisa"&amp;IF('Luisa'!$E$6:$E$300="",""," : "&amp;'Luisa'!$E$6:$E$300)&amp;" ["&amp;'Luisa'!$F$6:$F$300&amp;"]",""),IF('Lui'!$B$6:$B$300=$A469,"Lui"&amp;IF('Lui'!$E$6:$E$300="",""," : "&amp;'Lui'!$E$6:$E$300)&amp;" ["&amp;'Lui'!$F$6:$F$300&amp;"]",""),IF('Thaís'!$B$6:$B$300=$A469,"Thaís"&amp;IF('Thaís'!$E$6:$E$300="",""," : "&amp;'Thaís'!$E$6:$E$300)&amp;" ["&amp;'Thaís'!$F$6:$F$300&amp;"]",""),IF('Daniel'!$B$6:$B$300=$A469,"Daniel"&amp;IF('Daniel'!$E$6:$E$300="",""," : "&amp;'Daniel'!$E$6:$E$300)&amp;" ["&amp;'Daniel'!$F$6:$F$300&amp;"]",""),IF('Fernando'!$B$6:$B$300=$A469,"Fernando"&amp;IF('Fernando'!$E$6:$E$300="",""," : "&amp;'Fernando'!$E$6:$E$300)&amp;" ["&amp;'Fernando'!$F$6:$F$300&amp;"]",""),IF('Stephanie'!$B$6:$B$300=$A469,"Stephanie"&amp;IF('Stephanie'!$E$6:$E$300="",""," : "&amp;'Stephanie'!$E$6:$E$300)&amp;" ["&amp;'Stephanie'!$F$6:$F$300&amp;"]",""),IF('Fox'!$B$6:$B$300=$A469,"Fox"&amp;IF('Fox'!$E$6:$E$300="",""," : "&amp;'Fox'!$E$6:$E$300)&amp;" ["&amp;'Fox'!$F$6:$F$300&amp;"]",""),IF('Bruna'!$B$6:$B$300=$A469,"Bruna"&amp;IF('Bruna'!$E$6:$E$300="",""," : "&amp;'Bruna'!$E$6:$E$300)&amp;" ["&amp;'Bruna'!$F$6:$F$300&amp;"]",""),IF('Stella'!$B$6:$B$300=$A469,"Stella"&amp;IF('Stella'!$E$6:$E$300="",""," : "&amp;'Stella'!$E$6:$E$300)&amp;" ["&amp;'Stella'!$F$6:$F$300&amp;"]",""),IF('Igor'!$B$6:$B$300=$A469,"Igor"&amp;IF('Igor'!$E$6:$E$300="",""," : "&amp;'Igor'!$E$6:$E$300)&amp;" ["&amp;'Igor'!$F$6:$F$300&amp;"]","")))</f>
        <v/>
      </c>
    </row>
    <row r="470">
      <c r="G470" s="23">
        <f>IF($A470="","",_xlfn.TEXTJOIN("; ",TRUE,IF(COUNTIF('Clarice'!$B$6:$B$300,$A470)&gt;0,"Clarice",""),IF(COUNTIF('Luisa'!$B$6:$B$300,$A470)&gt;0,"Luisa",""),IF(COUNTIF('Lui'!$B$6:$B$300,$A470)&gt;0,"Lui",""),IF(COUNTIF('Thaís'!$B$6:$B$300,$A470)&gt;0,"Thaís",""),IF(COUNTIF('Daniel'!$B$6:$B$300,$A470)&gt;0,"Daniel",""),IF(COUNTIF('Fernando'!$B$6:$B$300,$A470)&gt;0,"Fernando",""),IF(COUNTIF('Stephanie'!$B$6:$B$300,$A470)&gt;0,"Stephanie",""),IF(COUNTIF('Fox'!$B$6:$B$300,$A470)&gt;0,"Fox",""),IF(COUNTIF('Bruna'!$B$6:$B$300,$A470)&gt;0,"Bruna",""),IF(COUNTIF('Stella'!$B$6:$B$300,$A470)&gt;0,"Stella",""),IF(COUNTIF('Igor'!$B$6:$B$300,$A470)&gt;0,"Igor","")))</f>
        <v/>
      </c>
      <c r="J470" s="24">
        <f>IF(OR($A470="",(COUNTIF('Clarice'!$B$6:$B$300,$A470)+COUNTIF('Luisa'!$B$6:$B$300,$A470)+COUNTIF('Lui'!$B$6:$B$300,$A470)+COUNTIF('Thaís'!$B$6:$B$300,$A470)+COUNTIF('Daniel'!$B$6:$B$300,$A470)+COUNTIF('Fernando'!$B$6:$B$300,$A470)+COUNTIF('Stephanie'!$B$6:$B$300,$A470)+COUNTIF('Fox'!$B$6:$B$300,$A470)+COUNTIF('Bruna'!$B$6:$B$300,$A470)+COUNTIF('Stella'!$B$6:$B$300,$A470)+COUNTIF('Igor'!$B$6:$B$300,$A470))=0),"",(COUNTIFS('Clarice'!$B$6:$B$300,$A470,'Clarice'!$F$6:$F$300,"Concluído")+COUNTIFS('Luisa'!$B$6:$B$300,$A470,'Luisa'!$F$6:$F$300,"Concluído")+COUNTIFS('Lui'!$B$6:$B$300,$A470,'Lui'!$F$6:$F$300,"Concluído")+COUNTIFS('Thaís'!$B$6:$B$300,$A470,'Thaís'!$F$6:$F$300,"Concluído")+COUNTIFS('Daniel'!$B$6:$B$300,$A470,'Daniel'!$F$6:$F$300,"Concluído")+COUNTIFS('Fernando'!$B$6:$B$300,$A470,'Fernando'!$F$6:$F$300,"Concluído")+COUNTIFS('Stephanie'!$B$6:$B$300,$A470,'Stephanie'!$F$6:$F$300,"Concluído")+COUNTIFS('Fox'!$B$6:$B$300,$A470,'Fox'!$F$6:$F$300,"Concluído")+COUNTIFS('Bruna'!$B$6:$B$300,$A470,'Bruna'!$F$6:$F$300,"Concluído")+COUNTIFS('Stella'!$B$6:$B$300,$A470,'Stella'!$F$6:$F$300,"Concluído")+COUNTIFS('Igor'!$B$6:$B$300,$A470,'Igor'!$F$6:$F$300,"Concluído"))&amp;" / "&amp;(COUNTIF('Clarice'!$B$6:$B$300,$A470)+COUNTIF('Luisa'!$B$6:$B$300,$A470)+COUNTIF('Lui'!$B$6:$B$300,$A470)+COUNTIF('Thaís'!$B$6:$B$300,$A470)+COUNTIF('Daniel'!$B$6:$B$300,$A470)+COUNTIF('Fernando'!$B$6:$B$300,$A470)+COUNTIF('Stephanie'!$B$6:$B$300,$A470)+COUNTIF('Fox'!$B$6:$B$300,$A470)+COUNTIF('Bruna'!$B$6:$B$300,$A470)+COUNTIF('Stella'!$B$6:$B$300,$A470)+COUNTIF('Igor'!$B$6:$B$300,$A470)))</f>
        <v/>
      </c>
      <c r="P470" s="25">
        <f>IF($A470="","",IF(M470&lt;&gt;"",M470,IF(K470&lt;&gt;"",K470,"")))</f>
        <v/>
      </c>
      <c r="Q470" s="25">
        <f>IF($A470="","",IF(N470&lt;&gt;"",N470,IF(L470&lt;&gt;"",L470,"")))</f>
        <v/>
      </c>
      <c r="S470" s="23">
        <f t="array" ref="S470">IF($A470="","",_xlfn.TEXTJOIN(CHAR(10),TRUE,IF('Clarice'!$B$6:$B$300=$A470,"Clarice"&amp;IF('Clarice'!$E$6:$E$300="",""," : "&amp;'Clarice'!$E$6:$E$300)&amp;" ["&amp;'Clarice'!$F$6:$F$300&amp;"]",""),IF('Luisa'!$B$6:$B$300=$A470,"Luisa"&amp;IF('Luisa'!$E$6:$E$300="",""," : "&amp;'Luisa'!$E$6:$E$300)&amp;" ["&amp;'Luisa'!$F$6:$F$300&amp;"]",""),IF('Lui'!$B$6:$B$300=$A470,"Lui"&amp;IF('Lui'!$E$6:$E$300="",""," : "&amp;'Lui'!$E$6:$E$300)&amp;" ["&amp;'Lui'!$F$6:$F$300&amp;"]",""),IF('Thaís'!$B$6:$B$300=$A470,"Thaís"&amp;IF('Thaís'!$E$6:$E$300="",""," : "&amp;'Thaís'!$E$6:$E$300)&amp;" ["&amp;'Thaís'!$F$6:$F$300&amp;"]",""),IF('Daniel'!$B$6:$B$300=$A470,"Daniel"&amp;IF('Daniel'!$E$6:$E$300="",""," : "&amp;'Daniel'!$E$6:$E$300)&amp;" ["&amp;'Daniel'!$F$6:$F$300&amp;"]",""),IF('Fernando'!$B$6:$B$300=$A470,"Fernando"&amp;IF('Fernando'!$E$6:$E$300="",""," : "&amp;'Fernando'!$E$6:$E$300)&amp;" ["&amp;'Fernando'!$F$6:$F$300&amp;"]",""),IF('Stephanie'!$B$6:$B$300=$A470,"Stephanie"&amp;IF('Stephanie'!$E$6:$E$300="",""," : "&amp;'Stephanie'!$E$6:$E$300)&amp;" ["&amp;'Stephanie'!$F$6:$F$300&amp;"]",""),IF('Fox'!$B$6:$B$300=$A470,"Fox"&amp;IF('Fox'!$E$6:$E$300="",""," : "&amp;'Fox'!$E$6:$E$300)&amp;" ["&amp;'Fox'!$F$6:$F$300&amp;"]",""),IF('Bruna'!$B$6:$B$300=$A470,"Bruna"&amp;IF('Bruna'!$E$6:$E$300="",""," : "&amp;'Bruna'!$E$6:$E$300)&amp;" ["&amp;'Bruna'!$F$6:$F$300&amp;"]",""),IF('Stella'!$B$6:$B$300=$A470,"Stella"&amp;IF('Stella'!$E$6:$E$300="",""," : "&amp;'Stella'!$E$6:$E$300)&amp;" ["&amp;'Stella'!$F$6:$F$300&amp;"]",""),IF('Igor'!$B$6:$B$300=$A470,"Igor"&amp;IF('Igor'!$E$6:$E$300="",""," : "&amp;'Igor'!$E$6:$E$300)&amp;" ["&amp;'Igor'!$F$6:$F$300&amp;"]","")))</f>
        <v/>
      </c>
    </row>
    <row r="471">
      <c r="G471" s="23">
        <f>IF($A471="","",_xlfn.TEXTJOIN("; ",TRUE,IF(COUNTIF('Clarice'!$B$6:$B$300,$A471)&gt;0,"Clarice",""),IF(COUNTIF('Luisa'!$B$6:$B$300,$A471)&gt;0,"Luisa",""),IF(COUNTIF('Lui'!$B$6:$B$300,$A471)&gt;0,"Lui",""),IF(COUNTIF('Thaís'!$B$6:$B$300,$A471)&gt;0,"Thaís",""),IF(COUNTIF('Daniel'!$B$6:$B$300,$A471)&gt;0,"Daniel",""),IF(COUNTIF('Fernando'!$B$6:$B$300,$A471)&gt;0,"Fernando",""),IF(COUNTIF('Stephanie'!$B$6:$B$300,$A471)&gt;0,"Stephanie",""),IF(COUNTIF('Fox'!$B$6:$B$300,$A471)&gt;0,"Fox",""),IF(COUNTIF('Bruna'!$B$6:$B$300,$A471)&gt;0,"Bruna",""),IF(COUNTIF('Stella'!$B$6:$B$300,$A471)&gt;0,"Stella",""),IF(COUNTIF('Igor'!$B$6:$B$300,$A471)&gt;0,"Igor","")))</f>
        <v/>
      </c>
      <c r="J471" s="24">
        <f>IF(OR($A471="",(COUNTIF('Clarice'!$B$6:$B$300,$A471)+COUNTIF('Luisa'!$B$6:$B$300,$A471)+COUNTIF('Lui'!$B$6:$B$300,$A471)+COUNTIF('Thaís'!$B$6:$B$300,$A471)+COUNTIF('Daniel'!$B$6:$B$300,$A471)+COUNTIF('Fernando'!$B$6:$B$300,$A471)+COUNTIF('Stephanie'!$B$6:$B$300,$A471)+COUNTIF('Fox'!$B$6:$B$300,$A471)+COUNTIF('Bruna'!$B$6:$B$300,$A471)+COUNTIF('Stella'!$B$6:$B$300,$A471)+COUNTIF('Igor'!$B$6:$B$300,$A471))=0),"",(COUNTIFS('Clarice'!$B$6:$B$300,$A471,'Clarice'!$F$6:$F$300,"Concluído")+COUNTIFS('Luisa'!$B$6:$B$300,$A471,'Luisa'!$F$6:$F$300,"Concluído")+COUNTIFS('Lui'!$B$6:$B$300,$A471,'Lui'!$F$6:$F$300,"Concluído")+COUNTIFS('Thaís'!$B$6:$B$300,$A471,'Thaís'!$F$6:$F$300,"Concluído")+COUNTIFS('Daniel'!$B$6:$B$300,$A471,'Daniel'!$F$6:$F$300,"Concluído")+COUNTIFS('Fernando'!$B$6:$B$300,$A471,'Fernando'!$F$6:$F$300,"Concluído")+COUNTIFS('Stephanie'!$B$6:$B$300,$A471,'Stephanie'!$F$6:$F$300,"Concluído")+COUNTIFS('Fox'!$B$6:$B$300,$A471,'Fox'!$F$6:$F$300,"Concluído")+COUNTIFS('Bruna'!$B$6:$B$300,$A471,'Bruna'!$F$6:$F$300,"Concluído")+COUNTIFS('Stella'!$B$6:$B$300,$A471,'Stella'!$F$6:$F$300,"Concluído")+COUNTIFS('Igor'!$B$6:$B$300,$A471,'Igor'!$F$6:$F$300,"Concluído"))&amp;" / "&amp;(COUNTIF('Clarice'!$B$6:$B$300,$A471)+COUNTIF('Luisa'!$B$6:$B$300,$A471)+COUNTIF('Lui'!$B$6:$B$300,$A471)+COUNTIF('Thaís'!$B$6:$B$300,$A471)+COUNTIF('Daniel'!$B$6:$B$300,$A471)+COUNTIF('Fernando'!$B$6:$B$300,$A471)+COUNTIF('Stephanie'!$B$6:$B$300,$A471)+COUNTIF('Fox'!$B$6:$B$300,$A471)+COUNTIF('Bruna'!$B$6:$B$300,$A471)+COUNTIF('Stella'!$B$6:$B$300,$A471)+COUNTIF('Igor'!$B$6:$B$300,$A471)))</f>
        <v/>
      </c>
      <c r="P471" s="25">
        <f>IF($A471="","",IF(M471&lt;&gt;"",M471,IF(K471&lt;&gt;"",K471,"")))</f>
        <v/>
      </c>
      <c r="Q471" s="25">
        <f>IF($A471="","",IF(N471&lt;&gt;"",N471,IF(L471&lt;&gt;"",L471,"")))</f>
        <v/>
      </c>
      <c r="S471" s="23">
        <f t="array" ref="S471">IF($A471="","",_xlfn.TEXTJOIN(CHAR(10),TRUE,IF('Clarice'!$B$6:$B$300=$A471,"Clarice"&amp;IF('Clarice'!$E$6:$E$300="",""," : "&amp;'Clarice'!$E$6:$E$300)&amp;" ["&amp;'Clarice'!$F$6:$F$300&amp;"]",""),IF('Luisa'!$B$6:$B$300=$A471,"Luisa"&amp;IF('Luisa'!$E$6:$E$300="",""," : "&amp;'Luisa'!$E$6:$E$300)&amp;" ["&amp;'Luisa'!$F$6:$F$300&amp;"]",""),IF('Lui'!$B$6:$B$300=$A471,"Lui"&amp;IF('Lui'!$E$6:$E$300="",""," : "&amp;'Lui'!$E$6:$E$300)&amp;" ["&amp;'Lui'!$F$6:$F$300&amp;"]",""),IF('Thaís'!$B$6:$B$300=$A471,"Thaís"&amp;IF('Thaís'!$E$6:$E$300="",""," : "&amp;'Thaís'!$E$6:$E$300)&amp;" ["&amp;'Thaís'!$F$6:$F$300&amp;"]",""),IF('Daniel'!$B$6:$B$300=$A471,"Daniel"&amp;IF('Daniel'!$E$6:$E$300="",""," : "&amp;'Daniel'!$E$6:$E$300)&amp;" ["&amp;'Daniel'!$F$6:$F$300&amp;"]",""),IF('Fernando'!$B$6:$B$300=$A471,"Fernando"&amp;IF('Fernando'!$E$6:$E$300="",""," : "&amp;'Fernando'!$E$6:$E$300)&amp;" ["&amp;'Fernando'!$F$6:$F$300&amp;"]",""),IF('Stephanie'!$B$6:$B$300=$A471,"Stephanie"&amp;IF('Stephanie'!$E$6:$E$300="",""," : "&amp;'Stephanie'!$E$6:$E$300)&amp;" ["&amp;'Stephanie'!$F$6:$F$300&amp;"]",""),IF('Fox'!$B$6:$B$300=$A471,"Fox"&amp;IF('Fox'!$E$6:$E$300="",""," : "&amp;'Fox'!$E$6:$E$300)&amp;" ["&amp;'Fox'!$F$6:$F$300&amp;"]",""),IF('Bruna'!$B$6:$B$300=$A471,"Bruna"&amp;IF('Bruna'!$E$6:$E$300="",""," : "&amp;'Bruna'!$E$6:$E$300)&amp;" ["&amp;'Bruna'!$F$6:$F$300&amp;"]",""),IF('Stella'!$B$6:$B$300=$A471,"Stella"&amp;IF('Stella'!$E$6:$E$300="",""," : "&amp;'Stella'!$E$6:$E$300)&amp;" ["&amp;'Stella'!$F$6:$F$300&amp;"]",""),IF('Igor'!$B$6:$B$300=$A471,"Igor"&amp;IF('Igor'!$E$6:$E$300="",""," : "&amp;'Igor'!$E$6:$E$300)&amp;" ["&amp;'Igor'!$F$6:$F$300&amp;"]","")))</f>
        <v/>
      </c>
    </row>
    <row r="472">
      <c r="G472" s="23">
        <f>IF($A472="","",_xlfn.TEXTJOIN("; ",TRUE,IF(COUNTIF('Clarice'!$B$6:$B$300,$A472)&gt;0,"Clarice",""),IF(COUNTIF('Luisa'!$B$6:$B$300,$A472)&gt;0,"Luisa",""),IF(COUNTIF('Lui'!$B$6:$B$300,$A472)&gt;0,"Lui",""),IF(COUNTIF('Thaís'!$B$6:$B$300,$A472)&gt;0,"Thaís",""),IF(COUNTIF('Daniel'!$B$6:$B$300,$A472)&gt;0,"Daniel",""),IF(COUNTIF('Fernando'!$B$6:$B$300,$A472)&gt;0,"Fernando",""),IF(COUNTIF('Stephanie'!$B$6:$B$300,$A472)&gt;0,"Stephanie",""),IF(COUNTIF('Fox'!$B$6:$B$300,$A472)&gt;0,"Fox",""),IF(COUNTIF('Bruna'!$B$6:$B$300,$A472)&gt;0,"Bruna",""),IF(COUNTIF('Stella'!$B$6:$B$300,$A472)&gt;0,"Stella",""),IF(COUNTIF('Igor'!$B$6:$B$300,$A472)&gt;0,"Igor","")))</f>
        <v/>
      </c>
      <c r="J472" s="24">
        <f>IF(OR($A472="",(COUNTIF('Clarice'!$B$6:$B$300,$A472)+COUNTIF('Luisa'!$B$6:$B$300,$A472)+COUNTIF('Lui'!$B$6:$B$300,$A472)+COUNTIF('Thaís'!$B$6:$B$300,$A472)+COUNTIF('Daniel'!$B$6:$B$300,$A472)+COUNTIF('Fernando'!$B$6:$B$300,$A472)+COUNTIF('Stephanie'!$B$6:$B$300,$A472)+COUNTIF('Fox'!$B$6:$B$300,$A472)+COUNTIF('Bruna'!$B$6:$B$300,$A472)+COUNTIF('Stella'!$B$6:$B$300,$A472)+COUNTIF('Igor'!$B$6:$B$300,$A472))=0),"",(COUNTIFS('Clarice'!$B$6:$B$300,$A472,'Clarice'!$F$6:$F$300,"Concluído")+COUNTIFS('Luisa'!$B$6:$B$300,$A472,'Luisa'!$F$6:$F$300,"Concluído")+COUNTIFS('Lui'!$B$6:$B$300,$A472,'Lui'!$F$6:$F$300,"Concluído")+COUNTIFS('Thaís'!$B$6:$B$300,$A472,'Thaís'!$F$6:$F$300,"Concluído")+COUNTIFS('Daniel'!$B$6:$B$300,$A472,'Daniel'!$F$6:$F$300,"Concluído")+COUNTIFS('Fernando'!$B$6:$B$300,$A472,'Fernando'!$F$6:$F$300,"Concluído")+COUNTIFS('Stephanie'!$B$6:$B$300,$A472,'Stephanie'!$F$6:$F$300,"Concluído")+COUNTIFS('Fox'!$B$6:$B$300,$A472,'Fox'!$F$6:$F$300,"Concluído")+COUNTIFS('Bruna'!$B$6:$B$300,$A472,'Bruna'!$F$6:$F$300,"Concluído")+COUNTIFS('Stella'!$B$6:$B$300,$A472,'Stella'!$F$6:$F$300,"Concluído")+COUNTIFS('Igor'!$B$6:$B$300,$A472,'Igor'!$F$6:$F$300,"Concluído"))&amp;" / "&amp;(COUNTIF('Clarice'!$B$6:$B$300,$A472)+COUNTIF('Luisa'!$B$6:$B$300,$A472)+COUNTIF('Lui'!$B$6:$B$300,$A472)+COUNTIF('Thaís'!$B$6:$B$300,$A472)+COUNTIF('Daniel'!$B$6:$B$300,$A472)+COUNTIF('Fernando'!$B$6:$B$300,$A472)+COUNTIF('Stephanie'!$B$6:$B$300,$A472)+COUNTIF('Fox'!$B$6:$B$300,$A472)+COUNTIF('Bruna'!$B$6:$B$300,$A472)+COUNTIF('Stella'!$B$6:$B$300,$A472)+COUNTIF('Igor'!$B$6:$B$300,$A472)))</f>
        <v/>
      </c>
      <c r="P472" s="25">
        <f>IF($A472="","",IF(M472&lt;&gt;"",M472,IF(K472&lt;&gt;"",K472,"")))</f>
        <v/>
      </c>
      <c r="Q472" s="25">
        <f>IF($A472="","",IF(N472&lt;&gt;"",N472,IF(L472&lt;&gt;"",L472,"")))</f>
        <v/>
      </c>
      <c r="S472" s="23">
        <f t="array" ref="S472">IF($A472="","",_xlfn.TEXTJOIN(CHAR(10),TRUE,IF('Clarice'!$B$6:$B$300=$A472,"Clarice"&amp;IF('Clarice'!$E$6:$E$300="",""," : "&amp;'Clarice'!$E$6:$E$300)&amp;" ["&amp;'Clarice'!$F$6:$F$300&amp;"]",""),IF('Luisa'!$B$6:$B$300=$A472,"Luisa"&amp;IF('Luisa'!$E$6:$E$300="",""," : "&amp;'Luisa'!$E$6:$E$300)&amp;" ["&amp;'Luisa'!$F$6:$F$300&amp;"]",""),IF('Lui'!$B$6:$B$300=$A472,"Lui"&amp;IF('Lui'!$E$6:$E$300="",""," : "&amp;'Lui'!$E$6:$E$300)&amp;" ["&amp;'Lui'!$F$6:$F$300&amp;"]",""),IF('Thaís'!$B$6:$B$300=$A472,"Thaís"&amp;IF('Thaís'!$E$6:$E$300="",""," : "&amp;'Thaís'!$E$6:$E$300)&amp;" ["&amp;'Thaís'!$F$6:$F$300&amp;"]",""),IF('Daniel'!$B$6:$B$300=$A472,"Daniel"&amp;IF('Daniel'!$E$6:$E$300="",""," : "&amp;'Daniel'!$E$6:$E$300)&amp;" ["&amp;'Daniel'!$F$6:$F$300&amp;"]",""),IF('Fernando'!$B$6:$B$300=$A472,"Fernando"&amp;IF('Fernando'!$E$6:$E$300="",""," : "&amp;'Fernando'!$E$6:$E$300)&amp;" ["&amp;'Fernando'!$F$6:$F$300&amp;"]",""),IF('Stephanie'!$B$6:$B$300=$A472,"Stephanie"&amp;IF('Stephanie'!$E$6:$E$300="",""," : "&amp;'Stephanie'!$E$6:$E$300)&amp;" ["&amp;'Stephanie'!$F$6:$F$300&amp;"]",""),IF('Fox'!$B$6:$B$300=$A472,"Fox"&amp;IF('Fox'!$E$6:$E$300="",""," : "&amp;'Fox'!$E$6:$E$300)&amp;" ["&amp;'Fox'!$F$6:$F$300&amp;"]",""),IF('Bruna'!$B$6:$B$300=$A472,"Bruna"&amp;IF('Bruna'!$E$6:$E$300="",""," : "&amp;'Bruna'!$E$6:$E$300)&amp;" ["&amp;'Bruna'!$F$6:$F$300&amp;"]",""),IF('Stella'!$B$6:$B$300=$A472,"Stella"&amp;IF('Stella'!$E$6:$E$300="",""," : "&amp;'Stella'!$E$6:$E$300)&amp;" ["&amp;'Stella'!$F$6:$F$300&amp;"]",""),IF('Igor'!$B$6:$B$300=$A472,"Igor"&amp;IF('Igor'!$E$6:$E$300="",""," : "&amp;'Igor'!$E$6:$E$300)&amp;" ["&amp;'Igor'!$F$6:$F$300&amp;"]","")))</f>
        <v/>
      </c>
    </row>
    <row r="473">
      <c r="G473" s="23">
        <f>IF($A473="","",_xlfn.TEXTJOIN("; ",TRUE,IF(COUNTIF('Clarice'!$B$6:$B$300,$A473)&gt;0,"Clarice",""),IF(COUNTIF('Luisa'!$B$6:$B$300,$A473)&gt;0,"Luisa",""),IF(COUNTIF('Lui'!$B$6:$B$300,$A473)&gt;0,"Lui",""),IF(COUNTIF('Thaís'!$B$6:$B$300,$A473)&gt;0,"Thaís",""),IF(COUNTIF('Daniel'!$B$6:$B$300,$A473)&gt;0,"Daniel",""),IF(COUNTIF('Fernando'!$B$6:$B$300,$A473)&gt;0,"Fernando",""),IF(COUNTIF('Stephanie'!$B$6:$B$300,$A473)&gt;0,"Stephanie",""),IF(COUNTIF('Fox'!$B$6:$B$300,$A473)&gt;0,"Fox",""),IF(COUNTIF('Bruna'!$B$6:$B$300,$A473)&gt;0,"Bruna",""),IF(COUNTIF('Stella'!$B$6:$B$300,$A473)&gt;0,"Stella",""),IF(COUNTIF('Igor'!$B$6:$B$300,$A473)&gt;0,"Igor","")))</f>
        <v/>
      </c>
      <c r="J473" s="24">
        <f>IF(OR($A473="",(COUNTIF('Clarice'!$B$6:$B$300,$A473)+COUNTIF('Luisa'!$B$6:$B$300,$A473)+COUNTIF('Lui'!$B$6:$B$300,$A473)+COUNTIF('Thaís'!$B$6:$B$300,$A473)+COUNTIF('Daniel'!$B$6:$B$300,$A473)+COUNTIF('Fernando'!$B$6:$B$300,$A473)+COUNTIF('Stephanie'!$B$6:$B$300,$A473)+COUNTIF('Fox'!$B$6:$B$300,$A473)+COUNTIF('Bruna'!$B$6:$B$300,$A473)+COUNTIF('Stella'!$B$6:$B$300,$A473)+COUNTIF('Igor'!$B$6:$B$300,$A473))=0),"",(COUNTIFS('Clarice'!$B$6:$B$300,$A473,'Clarice'!$F$6:$F$300,"Concluído")+COUNTIFS('Luisa'!$B$6:$B$300,$A473,'Luisa'!$F$6:$F$300,"Concluído")+COUNTIFS('Lui'!$B$6:$B$300,$A473,'Lui'!$F$6:$F$300,"Concluído")+COUNTIFS('Thaís'!$B$6:$B$300,$A473,'Thaís'!$F$6:$F$300,"Concluído")+COUNTIFS('Daniel'!$B$6:$B$300,$A473,'Daniel'!$F$6:$F$300,"Concluído")+COUNTIFS('Fernando'!$B$6:$B$300,$A473,'Fernando'!$F$6:$F$300,"Concluído")+COUNTIFS('Stephanie'!$B$6:$B$300,$A473,'Stephanie'!$F$6:$F$300,"Concluído")+COUNTIFS('Fox'!$B$6:$B$300,$A473,'Fox'!$F$6:$F$300,"Concluído")+COUNTIFS('Bruna'!$B$6:$B$300,$A473,'Bruna'!$F$6:$F$300,"Concluído")+COUNTIFS('Stella'!$B$6:$B$300,$A473,'Stella'!$F$6:$F$300,"Concluído")+COUNTIFS('Igor'!$B$6:$B$300,$A473,'Igor'!$F$6:$F$300,"Concluído"))&amp;" / "&amp;(COUNTIF('Clarice'!$B$6:$B$300,$A473)+COUNTIF('Luisa'!$B$6:$B$300,$A473)+COUNTIF('Lui'!$B$6:$B$300,$A473)+COUNTIF('Thaís'!$B$6:$B$300,$A473)+COUNTIF('Daniel'!$B$6:$B$300,$A473)+COUNTIF('Fernando'!$B$6:$B$300,$A473)+COUNTIF('Stephanie'!$B$6:$B$300,$A473)+COUNTIF('Fox'!$B$6:$B$300,$A473)+COUNTIF('Bruna'!$B$6:$B$300,$A473)+COUNTIF('Stella'!$B$6:$B$300,$A473)+COUNTIF('Igor'!$B$6:$B$300,$A473)))</f>
        <v/>
      </c>
      <c r="P473" s="25">
        <f>IF($A473="","",IF(M473&lt;&gt;"",M473,IF(K473&lt;&gt;"",K473,"")))</f>
        <v/>
      </c>
      <c r="Q473" s="25">
        <f>IF($A473="","",IF(N473&lt;&gt;"",N473,IF(L473&lt;&gt;"",L473,"")))</f>
        <v/>
      </c>
      <c r="S473" s="23">
        <f t="array" ref="S473">IF($A473="","",_xlfn.TEXTJOIN(CHAR(10),TRUE,IF('Clarice'!$B$6:$B$300=$A473,"Clarice"&amp;IF('Clarice'!$E$6:$E$300="",""," : "&amp;'Clarice'!$E$6:$E$300)&amp;" ["&amp;'Clarice'!$F$6:$F$300&amp;"]",""),IF('Luisa'!$B$6:$B$300=$A473,"Luisa"&amp;IF('Luisa'!$E$6:$E$300="",""," : "&amp;'Luisa'!$E$6:$E$300)&amp;" ["&amp;'Luisa'!$F$6:$F$300&amp;"]",""),IF('Lui'!$B$6:$B$300=$A473,"Lui"&amp;IF('Lui'!$E$6:$E$300="",""," : "&amp;'Lui'!$E$6:$E$300)&amp;" ["&amp;'Lui'!$F$6:$F$300&amp;"]",""),IF('Thaís'!$B$6:$B$300=$A473,"Thaís"&amp;IF('Thaís'!$E$6:$E$300="",""," : "&amp;'Thaís'!$E$6:$E$300)&amp;" ["&amp;'Thaís'!$F$6:$F$300&amp;"]",""),IF('Daniel'!$B$6:$B$300=$A473,"Daniel"&amp;IF('Daniel'!$E$6:$E$300="",""," : "&amp;'Daniel'!$E$6:$E$300)&amp;" ["&amp;'Daniel'!$F$6:$F$300&amp;"]",""),IF('Fernando'!$B$6:$B$300=$A473,"Fernando"&amp;IF('Fernando'!$E$6:$E$300="",""," : "&amp;'Fernando'!$E$6:$E$300)&amp;" ["&amp;'Fernando'!$F$6:$F$300&amp;"]",""),IF('Stephanie'!$B$6:$B$300=$A473,"Stephanie"&amp;IF('Stephanie'!$E$6:$E$300="",""," : "&amp;'Stephanie'!$E$6:$E$300)&amp;" ["&amp;'Stephanie'!$F$6:$F$300&amp;"]",""),IF('Fox'!$B$6:$B$300=$A473,"Fox"&amp;IF('Fox'!$E$6:$E$300="",""," : "&amp;'Fox'!$E$6:$E$300)&amp;" ["&amp;'Fox'!$F$6:$F$300&amp;"]",""),IF('Bruna'!$B$6:$B$300=$A473,"Bruna"&amp;IF('Bruna'!$E$6:$E$300="",""," : "&amp;'Bruna'!$E$6:$E$300)&amp;" ["&amp;'Bruna'!$F$6:$F$300&amp;"]",""),IF('Stella'!$B$6:$B$300=$A473,"Stella"&amp;IF('Stella'!$E$6:$E$300="",""," : "&amp;'Stella'!$E$6:$E$300)&amp;" ["&amp;'Stella'!$F$6:$F$300&amp;"]",""),IF('Igor'!$B$6:$B$300=$A473,"Igor"&amp;IF('Igor'!$E$6:$E$300="",""," : "&amp;'Igor'!$E$6:$E$300)&amp;" ["&amp;'Igor'!$F$6:$F$300&amp;"]","")))</f>
        <v/>
      </c>
    </row>
    <row r="474">
      <c r="G474" s="23">
        <f>IF($A474="","",_xlfn.TEXTJOIN("; ",TRUE,IF(COUNTIF('Clarice'!$B$6:$B$300,$A474)&gt;0,"Clarice",""),IF(COUNTIF('Luisa'!$B$6:$B$300,$A474)&gt;0,"Luisa",""),IF(COUNTIF('Lui'!$B$6:$B$300,$A474)&gt;0,"Lui",""),IF(COUNTIF('Thaís'!$B$6:$B$300,$A474)&gt;0,"Thaís",""),IF(COUNTIF('Daniel'!$B$6:$B$300,$A474)&gt;0,"Daniel",""),IF(COUNTIF('Fernando'!$B$6:$B$300,$A474)&gt;0,"Fernando",""),IF(COUNTIF('Stephanie'!$B$6:$B$300,$A474)&gt;0,"Stephanie",""),IF(COUNTIF('Fox'!$B$6:$B$300,$A474)&gt;0,"Fox",""),IF(COUNTIF('Bruna'!$B$6:$B$300,$A474)&gt;0,"Bruna",""),IF(COUNTIF('Stella'!$B$6:$B$300,$A474)&gt;0,"Stella",""),IF(COUNTIF('Igor'!$B$6:$B$300,$A474)&gt;0,"Igor","")))</f>
        <v/>
      </c>
      <c r="J474" s="24">
        <f>IF(OR($A474="",(COUNTIF('Clarice'!$B$6:$B$300,$A474)+COUNTIF('Luisa'!$B$6:$B$300,$A474)+COUNTIF('Lui'!$B$6:$B$300,$A474)+COUNTIF('Thaís'!$B$6:$B$300,$A474)+COUNTIF('Daniel'!$B$6:$B$300,$A474)+COUNTIF('Fernando'!$B$6:$B$300,$A474)+COUNTIF('Stephanie'!$B$6:$B$300,$A474)+COUNTIF('Fox'!$B$6:$B$300,$A474)+COUNTIF('Bruna'!$B$6:$B$300,$A474)+COUNTIF('Stella'!$B$6:$B$300,$A474)+COUNTIF('Igor'!$B$6:$B$300,$A474))=0),"",(COUNTIFS('Clarice'!$B$6:$B$300,$A474,'Clarice'!$F$6:$F$300,"Concluído")+COUNTIFS('Luisa'!$B$6:$B$300,$A474,'Luisa'!$F$6:$F$300,"Concluído")+COUNTIFS('Lui'!$B$6:$B$300,$A474,'Lui'!$F$6:$F$300,"Concluído")+COUNTIFS('Thaís'!$B$6:$B$300,$A474,'Thaís'!$F$6:$F$300,"Concluído")+COUNTIFS('Daniel'!$B$6:$B$300,$A474,'Daniel'!$F$6:$F$300,"Concluído")+COUNTIFS('Fernando'!$B$6:$B$300,$A474,'Fernando'!$F$6:$F$300,"Concluído")+COUNTIFS('Stephanie'!$B$6:$B$300,$A474,'Stephanie'!$F$6:$F$300,"Concluído")+COUNTIFS('Fox'!$B$6:$B$300,$A474,'Fox'!$F$6:$F$300,"Concluído")+COUNTIFS('Bruna'!$B$6:$B$300,$A474,'Bruna'!$F$6:$F$300,"Concluído")+COUNTIFS('Stella'!$B$6:$B$300,$A474,'Stella'!$F$6:$F$300,"Concluído")+COUNTIFS('Igor'!$B$6:$B$300,$A474,'Igor'!$F$6:$F$300,"Concluído"))&amp;" / "&amp;(COUNTIF('Clarice'!$B$6:$B$300,$A474)+COUNTIF('Luisa'!$B$6:$B$300,$A474)+COUNTIF('Lui'!$B$6:$B$300,$A474)+COUNTIF('Thaís'!$B$6:$B$300,$A474)+COUNTIF('Daniel'!$B$6:$B$300,$A474)+COUNTIF('Fernando'!$B$6:$B$300,$A474)+COUNTIF('Stephanie'!$B$6:$B$300,$A474)+COUNTIF('Fox'!$B$6:$B$300,$A474)+COUNTIF('Bruna'!$B$6:$B$300,$A474)+COUNTIF('Stella'!$B$6:$B$300,$A474)+COUNTIF('Igor'!$B$6:$B$300,$A474)))</f>
        <v/>
      </c>
      <c r="P474" s="25">
        <f>IF($A474="","",IF(M474&lt;&gt;"",M474,IF(K474&lt;&gt;"",K474,"")))</f>
        <v/>
      </c>
      <c r="Q474" s="25">
        <f>IF($A474="","",IF(N474&lt;&gt;"",N474,IF(L474&lt;&gt;"",L474,"")))</f>
        <v/>
      </c>
      <c r="S474" s="23">
        <f t="array" ref="S474">IF($A474="","",_xlfn.TEXTJOIN(CHAR(10),TRUE,IF('Clarice'!$B$6:$B$300=$A474,"Clarice"&amp;IF('Clarice'!$E$6:$E$300="",""," : "&amp;'Clarice'!$E$6:$E$300)&amp;" ["&amp;'Clarice'!$F$6:$F$300&amp;"]",""),IF('Luisa'!$B$6:$B$300=$A474,"Luisa"&amp;IF('Luisa'!$E$6:$E$300="",""," : "&amp;'Luisa'!$E$6:$E$300)&amp;" ["&amp;'Luisa'!$F$6:$F$300&amp;"]",""),IF('Lui'!$B$6:$B$300=$A474,"Lui"&amp;IF('Lui'!$E$6:$E$300="",""," : "&amp;'Lui'!$E$6:$E$300)&amp;" ["&amp;'Lui'!$F$6:$F$300&amp;"]",""),IF('Thaís'!$B$6:$B$300=$A474,"Thaís"&amp;IF('Thaís'!$E$6:$E$300="",""," : "&amp;'Thaís'!$E$6:$E$300)&amp;" ["&amp;'Thaís'!$F$6:$F$300&amp;"]",""),IF('Daniel'!$B$6:$B$300=$A474,"Daniel"&amp;IF('Daniel'!$E$6:$E$300="",""," : "&amp;'Daniel'!$E$6:$E$300)&amp;" ["&amp;'Daniel'!$F$6:$F$300&amp;"]",""),IF('Fernando'!$B$6:$B$300=$A474,"Fernando"&amp;IF('Fernando'!$E$6:$E$300="",""," : "&amp;'Fernando'!$E$6:$E$300)&amp;" ["&amp;'Fernando'!$F$6:$F$300&amp;"]",""),IF('Stephanie'!$B$6:$B$300=$A474,"Stephanie"&amp;IF('Stephanie'!$E$6:$E$300="",""," : "&amp;'Stephanie'!$E$6:$E$300)&amp;" ["&amp;'Stephanie'!$F$6:$F$300&amp;"]",""),IF('Fox'!$B$6:$B$300=$A474,"Fox"&amp;IF('Fox'!$E$6:$E$300="",""," : "&amp;'Fox'!$E$6:$E$300)&amp;" ["&amp;'Fox'!$F$6:$F$300&amp;"]",""),IF('Bruna'!$B$6:$B$300=$A474,"Bruna"&amp;IF('Bruna'!$E$6:$E$300="",""," : "&amp;'Bruna'!$E$6:$E$300)&amp;" ["&amp;'Bruna'!$F$6:$F$300&amp;"]",""),IF('Stella'!$B$6:$B$300=$A474,"Stella"&amp;IF('Stella'!$E$6:$E$300="",""," : "&amp;'Stella'!$E$6:$E$300)&amp;" ["&amp;'Stella'!$F$6:$F$300&amp;"]",""),IF('Igor'!$B$6:$B$300=$A474,"Igor"&amp;IF('Igor'!$E$6:$E$300="",""," : "&amp;'Igor'!$E$6:$E$300)&amp;" ["&amp;'Igor'!$F$6:$F$300&amp;"]","")))</f>
        <v/>
      </c>
    </row>
    <row r="475">
      <c r="G475" s="23">
        <f>IF($A475="","",_xlfn.TEXTJOIN("; ",TRUE,IF(COUNTIF('Clarice'!$B$6:$B$300,$A475)&gt;0,"Clarice",""),IF(COUNTIF('Luisa'!$B$6:$B$300,$A475)&gt;0,"Luisa",""),IF(COUNTIF('Lui'!$B$6:$B$300,$A475)&gt;0,"Lui",""),IF(COUNTIF('Thaís'!$B$6:$B$300,$A475)&gt;0,"Thaís",""),IF(COUNTIF('Daniel'!$B$6:$B$300,$A475)&gt;0,"Daniel",""),IF(COUNTIF('Fernando'!$B$6:$B$300,$A475)&gt;0,"Fernando",""),IF(COUNTIF('Stephanie'!$B$6:$B$300,$A475)&gt;0,"Stephanie",""),IF(COUNTIF('Fox'!$B$6:$B$300,$A475)&gt;0,"Fox",""),IF(COUNTIF('Bruna'!$B$6:$B$300,$A475)&gt;0,"Bruna",""),IF(COUNTIF('Stella'!$B$6:$B$300,$A475)&gt;0,"Stella",""),IF(COUNTIF('Igor'!$B$6:$B$300,$A475)&gt;0,"Igor","")))</f>
        <v/>
      </c>
      <c r="J475" s="24">
        <f>IF(OR($A475="",(COUNTIF('Clarice'!$B$6:$B$300,$A475)+COUNTIF('Luisa'!$B$6:$B$300,$A475)+COUNTIF('Lui'!$B$6:$B$300,$A475)+COUNTIF('Thaís'!$B$6:$B$300,$A475)+COUNTIF('Daniel'!$B$6:$B$300,$A475)+COUNTIF('Fernando'!$B$6:$B$300,$A475)+COUNTIF('Stephanie'!$B$6:$B$300,$A475)+COUNTIF('Fox'!$B$6:$B$300,$A475)+COUNTIF('Bruna'!$B$6:$B$300,$A475)+COUNTIF('Stella'!$B$6:$B$300,$A475)+COUNTIF('Igor'!$B$6:$B$300,$A475))=0),"",(COUNTIFS('Clarice'!$B$6:$B$300,$A475,'Clarice'!$F$6:$F$300,"Concluído")+COUNTIFS('Luisa'!$B$6:$B$300,$A475,'Luisa'!$F$6:$F$300,"Concluído")+COUNTIFS('Lui'!$B$6:$B$300,$A475,'Lui'!$F$6:$F$300,"Concluído")+COUNTIFS('Thaís'!$B$6:$B$300,$A475,'Thaís'!$F$6:$F$300,"Concluído")+COUNTIFS('Daniel'!$B$6:$B$300,$A475,'Daniel'!$F$6:$F$300,"Concluído")+COUNTIFS('Fernando'!$B$6:$B$300,$A475,'Fernando'!$F$6:$F$300,"Concluído")+COUNTIFS('Stephanie'!$B$6:$B$300,$A475,'Stephanie'!$F$6:$F$300,"Concluído")+COUNTIFS('Fox'!$B$6:$B$300,$A475,'Fox'!$F$6:$F$300,"Concluído")+COUNTIFS('Bruna'!$B$6:$B$300,$A475,'Bruna'!$F$6:$F$300,"Concluído")+COUNTIFS('Stella'!$B$6:$B$300,$A475,'Stella'!$F$6:$F$300,"Concluído")+COUNTIFS('Igor'!$B$6:$B$300,$A475,'Igor'!$F$6:$F$300,"Concluído"))&amp;" / "&amp;(COUNTIF('Clarice'!$B$6:$B$300,$A475)+COUNTIF('Luisa'!$B$6:$B$300,$A475)+COUNTIF('Lui'!$B$6:$B$300,$A475)+COUNTIF('Thaís'!$B$6:$B$300,$A475)+COUNTIF('Daniel'!$B$6:$B$300,$A475)+COUNTIF('Fernando'!$B$6:$B$300,$A475)+COUNTIF('Stephanie'!$B$6:$B$300,$A475)+COUNTIF('Fox'!$B$6:$B$300,$A475)+COUNTIF('Bruna'!$B$6:$B$300,$A475)+COUNTIF('Stella'!$B$6:$B$300,$A475)+COUNTIF('Igor'!$B$6:$B$300,$A475)))</f>
        <v/>
      </c>
      <c r="P475" s="25">
        <f>IF($A475="","",IF(M475&lt;&gt;"",M475,IF(K475&lt;&gt;"",K475,"")))</f>
        <v/>
      </c>
      <c r="Q475" s="25">
        <f>IF($A475="","",IF(N475&lt;&gt;"",N475,IF(L475&lt;&gt;"",L475,"")))</f>
        <v/>
      </c>
      <c r="S475" s="23">
        <f t="array" ref="S475">IF($A475="","",_xlfn.TEXTJOIN(CHAR(10),TRUE,IF('Clarice'!$B$6:$B$300=$A475,"Clarice"&amp;IF('Clarice'!$E$6:$E$300="",""," : "&amp;'Clarice'!$E$6:$E$300)&amp;" ["&amp;'Clarice'!$F$6:$F$300&amp;"]",""),IF('Luisa'!$B$6:$B$300=$A475,"Luisa"&amp;IF('Luisa'!$E$6:$E$300="",""," : "&amp;'Luisa'!$E$6:$E$300)&amp;" ["&amp;'Luisa'!$F$6:$F$300&amp;"]",""),IF('Lui'!$B$6:$B$300=$A475,"Lui"&amp;IF('Lui'!$E$6:$E$300="",""," : "&amp;'Lui'!$E$6:$E$300)&amp;" ["&amp;'Lui'!$F$6:$F$300&amp;"]",""),IF('Thaís'!$B$6:$B$300=$A475,"Thaís"&amp;IF('Thaís'!$E$6:$E$300="",""," : "&amp;'Thaís'!$E$6:$E$300)&amp;" ["&amp;'Thaís'!$F$6:$F$300&amp;"]",""),IF('Daniel'!$B$6:$B$300=$A475,"Daniel"&amp;IF('Daniel'!$E$6:$E$300="",""," : "&amp;'Daniel'!$E$6:$E$300)&amp;" ["&amp;'Daniel'!$F$6:$F$300&amp;"]",""),IF('Fernando'!$B$6:$B$300=$A475,"Fernando"&amp;IF('Fernando'!$E$6:$E$300="",""," : "&amp;'Fernando'!$E$6:$E$300)&amp;" ["&amp;'Fernando'!$F$6:$F$300&amp;"]",""),IF('Stephanie'!$B$6:$B$300=$A475,"Stephanie"&amp;IF('Stephanie'!$E$6:$E$300="",""," : "&amp;'Stephanie'!$E$6:$E$300)&amp;" ["&amp;'Stephanie'!$F$6:$F$300&amp;"]",""),IF('Fox'!$B$6:$B$300=$A475,"Fox"&amp;IF('Fox'!$E$6:$E$300="",""," : "&amp;'Fox'!$E$6:$E$300)&amp;" ["&amp;'Fox'!$F$6:$F$300&amp;"]",""),IF('Bruna'!$B$6:$B$300=$A475,"Bruna"&amp;IF('Bruna'!$E$6:$E$300="",""," : "&amp;'Bruna'!$E$6:$E$300)&amp;" ["&amp;'Bruna'!$F$6:$F$300&amp;"]",""),IF('Stella'!$B$6:$B$300=$A475,"Stella"&amp;IF('Stella'!$E$6:$E$300="",""," : "&amp;'Stella'!$E$6:$E$300)&amp;" ["&amp;'Stella'!$F$6:$F$300&amp;"]",""),IF('Igor'!$B$6:$B$300=$A475,"Igor"&amp;IF('Igor'!$E$6:$E$300="",""," : "&amp;'Igor'!$E$6:$E$300)&amp;" ["&amp;'Igor'!$F$6:$F$300&amp;"]","")))</f>
        <v/>
      </c>
    </row>
    <row r="476">
      <c r="G476" s="23">
        <f>IF($A476="","",_xlfn.TEXTJOIN("; ",TRUE,IF(COUNTIF('Clarice'!$B$6:$B$300,$A476)&gt;0,"Clarice",""),IF(COUNTIF('Luisa'!$B$6:$B$300,$A476)&gt;0,"Luisa",""),IF(COUNTIF('Lui'!$B$6:$B$300,$A476)&gt;0,"Lui",""),IF(COUNTIF('Thaís'!$B$6:$B$300,$A476)&gt;0,"Thaís",""),IF(COUNTIF('Daniel'!$B$6:$B$300,$A476)&gt;0,"Daniel",""),IF(COUNTIF('Fernando'!$B$6:$B$300,$A476)&gt;0,"Fernando",""),IF(COUNTIF('Stephanie'!$B$6:$B$300,$A476)&gt;0,"Stephanie",""),IF(COUNTIF('Fox'!$B$6:$B$300,$A476)&gt;0,"Fox",""),IF(COUNTIF('Bruna'!$B$6:$B$300,$A476)&gt;0,"Bruna",""),IF(COUNTIF('Stella'!$B$6:$B$300,$A476)&gt;0,"Stella",""),IF(COUNTIF('Igor'!$B$6:$B$300,$A476)&gt;0,"Igor","")))</f>
        <v/>
      </c>
      <c r="J476" s="24">
        <f>IF(OR($A476="",(COUNTIF('Clarice'!$B$6:$B$300,$A476)+COUNTIF('Luisa'!$B$6:$B$300,$A476)+COUNTIF('Lui'!$B$6:$B$300,$A476)+COUNTIF('Thaís'!$B$6:$B$300,$A476)+COUNTIF('Daniel'!$B$6:$B$300,$A476)+COUNTIF('Fernando'!$B$6:$B$300,$A476)+COUNTIF('Stephanie'!$B$6:$B$300,$A476)+COUNTIF('Fox'!$B$6:$B$300,$A476)+COUNTIF('Bruna'!$B$6:$B$300,$A476)+COUNTIF('Stella'!$B$6:$B$300,$A476)+COUNTIF('Igor'!$B$6:$B$300,$A476))=0),"",(COUNTIFS('Clarice'!$B$6:$B$300,$A476,'Clarice'!$F$6:$F$300,"Concluído")+COUNTIFS('Luisa'!$B$6:$B$300,$A476,'Luisa'!$F$6:$F$300,"Concluído")+COUNTIFS('Lui'!$B$6:$B$300,$A476,'Lui'!$F$6:$F$300,"Concluído")+COUNTIFS('Thaís'!$B$6:$B$300,$A476,'Thaís'!$F$6:$F$300,"Concluído")+COUNTIFS('Daniel'!$B$6:$B$300,$A476,'Daniel'!$F$6:$F$300,"Concluído")+COUNTIFS('Fernando'!$B$6:$B$300,$A476,'Fernando'!$F$6:$F$300,"Concluído")+COUNTIFS('Stephanie'!$B$6:$B$300,$A476,'Stephanie'!$F$6:$F$300,"Concluído")+COUNTIFS('Fox'!$B$6:$B$300,$A476,'Fox'!$F$6:$F$300,"Concluído")+COUNTIFS('Bruna'!$B$6:$B$300,$A476,'Bruna'!$F$6:$F$300,"Concluído")+COUNTIFS('Stella'!$B$6:$B$300,$A476,'Stella'!$F$6:$F$300,"Concluído")+COUNTIFS('Igor'!$B$6:$B$300,$A476,'Igor'!$F$6:$F$300,"Concluído"))&amp;" / "&amp;(COUNTIF('Clarice'!$B$6:$B$300,$A476)+COUNTIF('Luisa'!$B$6:$B$300,$A476)+COUNTIF('Lui'!$B$6:$B$300,$A476)+COUNTIF('Thaís'!$B$6:$B$300,$A476)+COUNTIF('Daniel'!$B$6:$B$300,$A476)+COUNTIF('Fernando'!$B$6:$B$300,$A476)+COUNTIF('Stephanie'!$B$6:$B$300,$A476)+COUNTIF('Fox'!$B$6:$B$300,$A476)+COUNTIF('Bruna'!$B$6:$B$300,$A476)+COUNTIF('Stella'!$B$6:$B$300,$A476)+COUNTIF('Igor'!$B$6:$B$300,$A476)))</f>
        <v/>
      </c>
      <c r="P476" s="25">
        <f>IF($A476="","",IF(M476&lt;&gt;"",M476,IF(K476&lt;&gt;"",K476,"")))</f>
        <v/>
      </c>
      <c r="Q476" s="25">
        <f>IF($A476="","",IF(N476&lt;&gt;"",N476,IF(L476&lt;&gt;"",L476,"")))</f>
        <v/>
      </c>
      <c r="S476" s="23">
        <f t="array" ref="S476">IF($A476="","",_xlfn.TEXTJOIN(CHAR(10),TRUE,IF('Clarice'!$B$6:$B$300=$A476,"Clarice"&amp;IF('Clarice'!$E$6:$E$300="",""," : "&amp;'Clarice'!$E$6:$E$300)&amp;" ["&amp;'Clarice'!$F$6:$F$300&amp;"]",""),IF('Luisa'!$B$6:$B$300=$A476,"Luisa"&amp;IF('Luisa'!$E$6:$E$300="",""," : "&amp;'Luisa'!$E$6:$E$300)&amp;" ["&amp;'Luisa'!$F$6:$F$300&amp;"]",""),IF('Lui'!$B$6:$B$300=$A476,"Lui"&amp;IF('Lui'!$E$6:$E$300="",""," : "&amp;'Lui'!$E$6:$E$300)&amp;" ["&amp;'Lui'!$F$6:$F$300&amp;"]",""),IF('Thaís'!$B$6:$B$300=$A476,"Thaís"&amp;IF('Thaís'!$E$6:$E$300="",""," : "&amp;'Thaís'!$E$6:$E$300)&amp;" ["&amp;'Thaís'!$F$6:$F$300&amp;"]",""),IF('Daniel'!$B$6:$B$300=$A476,"Daniel"&amp;IF('Daniel'!$E$6:$E$300="",""," : "&amp;'Daniel'!$E$6:$E$300)&amp;" ["&amp;'Daniel'!$F$6:$F$300&amp;"]",""),IF('Fernando'!$B$6:$B$300=$A476,"Fernando"&amp;IF('Fernando'!$E$6:$E$300="",""," : "&amp;'Fernando'!$E$6:$E$300)&amp;" ["&amp;'Fernando'!$F$6:$F$300&amp;"]",""),IF('Stephanie'!$B$6:$B$300=$A476,"Stephanie"&amp;IF('Stephanie'!$E$6:$E$300="",""," : "&amp;'Stephanie'!$E$6:$E$300)&amp;" ["&amp;'Stephanie'!$F$6:$F$300&amp;"]",""),IF('Fox'!$B$6:$B$300=$A476,"Fox"&amp;IF('Fox'!$E$6:$E$300="",""," : "&amp;'Fox'!$E$6:$E$300)&amp;" ["&amp;'Fox'!$F$6:$F$300&amp;"]",""),IF('Bruna'!$B$6:$B$300=$A476,"Bruna"&amp;IF('Bruna'!$E$6:$E$300="",""," : "&amp;'Bruna'!$E$6:$E$300)&amp;" ["&amp;'Bruna'!$F$6:$F$300&amp;"]",""),IF('Stella'!$B$6:$B$300=$A476,"Stella"&amp;IF('Stella'!$E$6:$E$300="",""," : "&amp;'Stella'!$E$6:$E$300)&amp;" ["&amp;'Stella'!$F$6:$F$300&amp;"]",""),IF('Igor'!$B$6:$B$300=$A476,"Igor"&amp;IF('Igor'!$E$6:$E$300="",""," : "&amp;'Igor'!$E$6:$E$300)&amp;" ["&amp;'Igor'!$F$6:$F$300&amp;"]","")))</f>
        <v/>
      </c>
    </row>
    <row r="477">
      <c r="G477" s="23">
        <f>IF($A477="","",_xlfn.TEXTJOIN("; ",TRUE,IF(COUNTIF('Clarice'!$B$6:$B$300,$A477)&gt;0,"Clarice",""),IF(COUNTIF('Luisa'!$B$6:$B$300,$A477)&gt;0,"Luisa",""),IF(COUNTIF('Lui'!$B$6:$B$300,$A477)&gt;0,"Lui",""),IF(COUNTIF('Thaís'!$B$6:$B$300,$A477)&gt;0,"Thaís",""),IF(COUNTIF('Daniel'!$B$6:$B$300,$A477)&gt;0,"Daniel",""),IF(COUNTIF('Fernando'!$B$6:$B$300,$A477)&gt;0,"Fernando",""),IF(COUNTIF('Stephanie'!$B$6:$B$300,$A477)&gt;0,"Stephanie",""),IF(COUNTIF('Fox'!$B$6:$B$300,$A477)&gt;0,"Fox",""),IF(COUNTIF('Bruna'!$B$6:$B$300,$A477)&gt;0,"Bruna",""),IF(COUNTIF('Stella'!$B$6:$B$300,$A477)&gt;0,"Stella",""),IF(COUNTIF('Igor'!$B$6:$B$300,$A477)&gt;0,"Igor","")))</f>
        <v/>
      </c>
      <c r="J477" s="24">
        <f>IF(OR($A477="",(COUNTIF('Clarice'!$B$6:$B$300,$A477)+COUNTIF('Luisa'!$B$6:$B$300,$A477)+COUNTIF('Lui'!$B$6:$B$300,$A477)+COUNTIF('Thaís'!$B$6:$B$300,$A477)+COUNTIF('Daniel'!$B$6:$B$300,$A477)+COUNTIF('Fernando'!$B$6:$B$300,$A477)+COUNTIF('Stephanie'!$B$6:$B$300,$A477)+COUNTIF('Fox'!$B$6:$B$300,$A477)+COUNTIF('Bruna'!$B$6:$B$300,$A477)+COUNTIF('Stella'!$B$6:$B$300,$A477)+COUNTIF('Igor'!$B$6:$B$300,$A477))=0),"",(COUNTIFS('Clarice'!$B$6:$B$300,$A477,'Clarice'!$F$6:$F$300,"Concluído")+COUNTIFS('Luisa'!$B$6:$B$300,$A477,'Luisa'!$F$6:$F$300,"Concluído")+COUNTIFS('Lui'!$B$6:$B$300,$A477,'Lui'!$F$6:$F$300,"Concluído")+COUNTIFS('Thaís'!$B$6:$B$300,$A477,'Thaís'!$F$6:$F$300,"Concluído")+COUNTIFS('Daniel'!$B$6:$B$300,$A477,'Daniel'!$F$6:$F$300,"Concluído")+COUNTIFS('Fernando'!$B$6:$B$300,$A477,'Fernando'!$F$6:$F$300,"Concluído")+COUNTIFS('Stephanie'!$B$6:$B$300,$A477,'Stephanie'!$F$6:$F$300,"Concluído")+COUNTIFS('Fox'!$B$6:$B$300,$A477,'Fox'!$F$6:$F$300,"Concluído")+COUNTIFS('Bruna'!$B$6:$B$300,$A477,'Bruna'!$F$6:$F$300,"Concluído")+COUNTIFS('Stella'!$B$6:$B$300,$A477,'Stella'!$F$6:$F$300,"Concluído")+COUNTIFS('Igor'!$B$6:$B$300,$A477,'Igor'!$F$6:$F$300,"Concluído"))&amp;" / "&amp;(COUNTIF('Clarice'!$B$6:$B$300,$A477)+COUNTIF('Luisa'!$B$6:$B$300,$A477)+COUNTIF('Lui'!$B$6:$B$300,$A477)+COUNTIF('Thaís'!$B$6:$B$300,$A477)+COUNTIF('Daniel'!$B$6:$B$300,$A477)+COUNTIF('Fernando'!$B$6:$B$300,$A477)+COUNTIF('Stephanie'!$B$6:$B$300,$A477)+COUNTIF('Fox'!$B$6:$B$300,$A477)+COUNTIF('Bruna'!$B$6:$B$300,$A477)+COUNTIF('Stella'!$B$6:$B$300,$A477)+COUNTIF('Igor'!$B$6:$B$300,$A477)))</f>
        <v/>
      </c>
      <c r="P477" s="25">
        <f>IF($A477="","",IF(M477&lt;&gt;"",M477,IF(K477&lt;&gt;"",K477,"")))</f>
        <v/>
      </c>
      <c r="Q477" s="25">
        <f>IF($A477="","",IF(N477&lt;&gt;"",N477,IF(L477&lt;&gt;"",L477,"")))</f>
        <v/>
      </c>
      <c r="S477" s="23">
        <f t="array" ref="S477">IF($A477="","",_xlfn.TEXTJOIN(CHAR(10),TRUE,IF('Clarice'!$B$6:$B$300=$A477,"Clarice"&amp;IF('Clarice'!$E$6:$E$300="",""," : "&amp;'Clarice'!$E$6:$E$300)&amp;" ["&amp;'Clarice'!$F$6:$F$300&amp;"]",""),IF('Luisa'!$B$6:$B$300=$A477,"Luisa"&amp;IF('Luisa'!$E$6:$E$300="",""," : "&amp;'Luisa'!$E$6:$E$300)&amp;" ["&amp;'Luisa'!$F$6:$F$300&amp;"]",""),IF('Lui'!$B$6:$B$300=$A477,"Lui"&amp;IF('Lui'!$E$6:$E$300="",""," : "&amp;'Lui'!$E$6:$E$300)&amp;" ["&amp;'Lui'!$F$6:$F$300&amp;"]",""),IF('Thaís'!$B$6:$B$300=$A477,"Thaís"&amp;IF('Thaís'!$E$6:$E$300="",""," : "&amp;'Thaís'!$E$6:$E$300)&amp;" ["&amp;'Thaís'!$F$6:$F$300&amp;"]",""),IF('Daniel'!$B$6:$B$300=$A477,"Daniel"&amp;IF('Daniel'!$E$6:$E$300="",""," : "&amp;'Daniel'!$E$6:$E$300)&amp;" ["&amp;'Daniel'!$F$6:$F$300&amp;"]",""),IF('Fernando'!$B$6:$B$300=$A477,"Fernando"&amp;IF('Fernando'!$E$6:$E$300="",""," : "&amp;'Fernando'!$E$6:$E$300)&amp;" ["&amp;'Fernando'!$F$6:$F$300&amp;"]",""),IF('Stephanie'!$B$6:$B$300=$A477,"Stephanie"&amp;IF('Stephanie'!$E$6:$E$300="",""," : "&amp;'Stephanie'!$E$6:$E$300)&amp;" ["&amp;'Stephanie'!$F$6:$F$300&amp;"]",""),IF('Fox'!$B$6:$B$300=$A477,"Fox"&amp;IF('Fox'!$E$6:$E$300="",""," : "&amp;'Fox'!$E$6:$E$300)&amp;" ["&amp;'Fox'!$F$6:$F$300&amp;"]",""),IF('Bruna'!$B$6:$B$300=$A477,"Bruna"&amp;IF('Bruna'!$E$6:$E$300="",""," : "&amp;'Bruna'!$E$6:$E$300)&amp;" ["&amp;'Bruna'!$F$6:$F$300&amp;"]",""),IF('Stella'!$B$6:$B$300=$A477,"Stella"&amp;IF('Stella'!$E$6:$E$300="",""," : "&amp;'Stella'!$E$6:$E$300)&amp;" ["&amp;'Stella'!$F$6:$F$300&amp;"]",""),IF('Igor'!$B$6:$B$300=$A477,"Igor"&amp;IF('Igor'!$E$6:$E$300="",""," : "&amp;'Igor'!$E$6:$E$300)&amp;" ["&amp;'Igor'!$F$6:$F$300&amp;"]","")))</f>
        <v/>
      </c>
    </row>
    <row r="478">
      <c r="G478" s="23">
        <f>IF($A478="","",_xlfn.TEXTJOIN("; ",TRUE,IF(COUNTIF('Clarice'!$B$6:$B$300,$A478)&gt;0,"Clarice",""),IF(COUNTIF('Luisa'!$B$6:$B$300,$A478)&gt;0,"Luisa",""),IF(COUNTIF('Lui'!$B$6:$B$300,$A478)&gt;0,"Lui",""),IF(COUNTIF('Thaís'!$B$6:$B$300,$A478)&gt;0,"Thaís",""),IF(COUNTIF('Daniel'!$B$6:$B$300,$A478)&gt;0,"Daniel",""),IF(COUNTIF('Fernando'!$B$6:$B$300,$A478)&gt;0,"Fernando",""),IF(COUNTIF('Stephanie'!$B$6:$B$300,$A478)&gt;0,"Stephanie",""),IF(COUNTIF('Fox'!$B$6:$B$300,$A478)&gt;0,"Fox",""),IF(COUNTIF('Bruna'!$B$6:$B$300,$A478)&gt;0,"Bruna",""),IF(COUNTIF('Stella'!$B$6:$B$300,$A478)&gt;0,"Stella",""),IF(COUNTIF('Igor'!$B$6:$B$300,$A478)&gt;0,"Igor","")))</f>
        <v/>
      </c>
      <c r="J478" s="24">
        <f>IF(OR($A478="",(COUNTIF('Clarice'!$B$6:$B$300,$A478)+COUNTIF('Luisa'!$B$6:$B$300,$A478)+COUNTIF('Lui'!$B$6:$B$300,$A478)+COUNTIF('Thaís'!$B$6:$B$300,$A478)+COUNTIF('Daniel'!$B$6:$B$300,$A478)+COUNTIF('Fernando'!$B$6:$B$300,$A478)+COUNTIF('Stephanie'!$B$6:$B$300,$A478)+COUNTIF('Fox'!$B$6:$B$300,$A478)+COUNTIF('Bruna'!$B$6:$B$300,$A478)+COUNTIF('Stella'!$B$6:$B$300,$A478)+COUNTIF('Igor'!$B$6:$B$300,$A478))=0),"",(COUNTIFS('Clarice'!$B$6:$B$300,$A478,'Clarice'!$F$6:$F$300,"Concluído")+COUNTIFS('Luisa'!$B$6:$B$300,$A478,'Luisa'!$F$6:$F$300,"Concluído")+COUNTIFS('Lui'!$B$6:$B$300,$A478,'Lui'!$F$6:$F$300,"Concluído")+COUNTIFS('Thaís'!$B$6:$B$300,$A478,'Thaís'!$F$6:$F$300,"Concluído")+COUNTIFS('Daniel'!$B$6:$B$300,$A478,'Daniel'!$F$6:$F$300,"Concluído")+COUNTIFS('Fernando'!$B$6:$B$300,$A478,'Fernando'!$F$6:$F$300,"Concluído")+COUNTIFS('Stephanie'!$B$6:$B$300,$A478,'Stephanie'!$F$6:$F$300,"Concluído")+COUNTIFS('Fox'!$B$6:$B$300,$A478,'Fox'!$F$6:$F$300,"Concluído")+COUNTIFS('Bruna'!$B$6:$B$300,$A478,'Bruna'!$F$6:$F$300,"Concluído")+COUNTIFS('Stella'!$B$6:$B$300,$A478,'Stella'!$F$6:$F$300,"Concluído")+COUNTIFS('Igor'!$B$6:$B$300,$A478,'Igor'!$F$6:$F$300,"Concluído"))&amp;" / "&amp;(COUNTIF('Clarice'!$B$6:$B$300,$A478)+COUNTIF('Luisa'!$B$6:$B$300,$A478)+COUNTIF('Lui'!$B$6:$B$300,$A478)+COUNTIF('Thaís'!$B$6:$B$300,$A478)+COUNTIF('Daniel'!$B$6:$B$300,$A478)+COUNTIF('Fernando'!$B$6:$B$300,$A478)+COUNTIF('Stephanie'!$B$6:$B$300,$A478)+COUNTIF('Fox'!$B$6:$B$300,$A478)+COUNTIF('Bruna'!$B$6:$B$300,$A478)+COUNTIF('Stella'!$B$6:$B$300,$A478)+COUNTIF('Igor'!$B$6:$B$300,$A478)))</f>
        <v/>
      </c>
      <c r="P478" s="25">
        <f>IF($A478="","",IF(M478&lt;&gt;"",M478,IF(K478&lt;&gt;"",K478,"")))</f>
        <v/>
      </c>
      <c r="Q478" s="25">
        <f>IF($A478="","",IF(N478&lt;&gt;"",N478,IF(L478&lt;&gt;"",L478,"")))</f>
        <v/>
      </c>
      <c r="S478" s="23">
        <f t="array" ref="S478">IF($A478="","",_xlfn.TEXTJOIN(CHAR(10),TRUE,IF('Clarice'!$B$6:$B$300=$A478,"Clarice"&amp;IF('Clarice'!$E$6:$E$300="",""," : "&amp;'Clarice'!$E$6:$E$300)&amp;" ["&amp;'Clarice'!$F$6:$F$300&amp;"]",""),IF('Luisa'!$B$6:$B$300=$A478,"Luisa"&amp;IF('Luisa'!$E$6:$E$300="",""," : "&amp;'Luisa'!$E$6:$E$300)&amp;" ["&amp;'Luisa'!$F$6:$F$300&amp;"]",""),IF('Lui'!$B$6:$B$300=$A478,"Lui"&amp;IF('Lui'!$E$6:$E$300="",""," : "&amp;'Lui'!$E$6:$E$300)&amp;" ["&amp;'Lui'!$F$6:$F$300&amp;"]",""),IF('Thaís'!$B$6:$B$300=$A478,"Thaís"&amp;IF('Thaís'!$E$6:$E$300="",""," : "&amp;'Thaís'!$E$6:$E$300)&amp;" ["&amp;'Thaís'!$F$6:$F$300&amp;"]",""),IF('Daniel'!$B$6:$B$300=$A478,"Daniel"&amp;IF('Daniel'!$E$6:$E$300="",""," : "&amp;'Daniel'!$E$6:$E$300)&amp;" ["&amp;'Daniel'!$F$6:$F$300&amp;"]",""),IF('Fernando'!$B$6:$B$300=$A478,"Fernando"&amp;IF('Fernando'!$E$6:$E$300="",""," : "&amp;'Fernando'!$E$6:$E$300)&amp;" ["&amp;'Fernando'!$F$6:$F$300&amp;"]",""),IF('Stephanie'!$B$6:$B$300=$A478,"Stephanie"&amp;IF('Stephanie'!$E$6:$E$300="",""," : "&amp;'Stephanie'!$E$6:$E$300)&amp;" ["&amp;'Stephanie'!$F$6:$F$300&amp;"]",""),IF('Fox'!$B$6:$B$300=$A478,"Fox"&amp;IF('Fox'!$E$6:$E$300="",""," : "&amp;'Fox'!$E$6:$E$300)&amp;" ["&amp;'Fox'!$F$6:$F$300&amp;"]",""),IF('Bruna'!$B$6:$B$300=$A478,"Bruna"&amp;IF('Bruna'!$E$6:$E$300="",""," : "&amp;'Bruna'!$E$6:$E$300)&amp;" ["&amp;'Bruna'!$F$6:$F$300&amp;"]",""),IF('Stella'!$B$6:$B$300=$A478,"Stella"&amp;IF('Stella'!$E$6:$E$300="",""," : "&amp;'Stella'!$E$6:$E$300)&amp;" ["&amp;'Stella'!$F$6:$F$300&amp;"]",""),IF('Igor'!$B$6:$B$300=$A478,"Igor"&amp;IF('Igor'!$E$6:$E$300="",""," : "&amp;'Igor'!$E$6:$E$300)&amp;" ["&amp;'Igor'!$F$6:$F$300&amp;"]","")))</f>
        <v/>
      </c>
    </row>
    <row r="479">
      <c r="G479" s="23">
        <f>IF($A479="","",_xlfn.TEXTJOIN("; ",TRUE,IF(COUNTIF('Clarice'!$B$6:$B$300,$A479)&gt;0,"Clarice",""),IF(COUNTIF('Luisa'!$B$6:$B$300,$A479)&gt;0,"Luisa",""),IF(COUNTIF('Lui'!$B$6:$B$300,$A479)&gt;0,"Lui",""),IF(COUNTIF('Thaís'!$B$6:$B$300,$A479)&gt;0,"Thaís",""),IF(COUNTIF('Daniel'!$B$6:$B$300,$A479)&gt;0,"Daniel",""),IF(COUNTIF('Fernando'!$B$6:$B$300,$A479)&gt;0,"Fernando",""),IF(COUNTIF('Stephanie'!$B$6:$B$300,$A479)&gt;0,"Stephanie",""),IF(COUNTIF('Fox'!$B$6:$B$300,$A479)&gt;0,"Fox",""),IF(COUNTIF('Bruna'!$B$6:$B$300,$A479)&gt;0,"Bruna",""),IF(COUNTIF('Stella'!$B$6:$B$300,$A479)&gt;0,"Stella",""),IF(COUNTIF('Igor'!$B$6:$B$300,$A479)&gt;0,"Igor","")))</f>
        <v/>
      </c>
      <c r="J479" s="24">
        <f>IF(OR($A479="",(COUNTIF('Clarice'!$B$6:$B$300,$A479)+COUNTIF('Luisa'!$B$6:$B$300,$A479)+COUNTIF('Lui'!$B$6:$B$300,$A479)+COUNTIF('Thaís'!$B$6:$B$300,$A479)+COUNTIF('Daniel'!$B$6:$B$300,$A479)+COUNTIF('Fernando'!$B$6:$B$300,$A479)+COUNTIF('Stephanie'!$B$6:$B$300,$A479)+COUNTIF('Fox'!$B$6:$B$300,$A479)+COUNTIF('Bruna'!$B$6:$B$300,$A479)+COUNTIF('Stella'!$B$6:$B$300,$A479)+COUNTIF('Igor'!$B$6:$B$300,$A479))=0),"",(COUNTIFS('Clarice'!$B$6:$B$300,$A479,'Clarice'!$F$6:$F$300,"Concluído")+COUNTIFS('Luisa'!$B$6:$B$300,$A479,'Luisa'!$F$6:$F$300,"Concluído")+COUNTIFS('Lui'!$B$6:$B$300,$A479,'Lui'!$F$6:$F$300,"Concluído")+COUNTIFS('Thaís'!$B$6:$B$300,$A479,'Thaís'!$F$6:$F$300,"Concluído")+COUNTIFS('Daniel'!$B$6:$B$300,$A479,'Daniel'!$F$6:$F$300,"Concluído")+COUNTIFS('Fernando'!$B$6:$B$300,$A479,'Fernando'!$F$6:$F$300,"Concluído")+COUNTIFS('Stephanie'!$B$6:$B$300,$A479,'Stephanie'!$F$6:$F$300,"Concluído")+COUNTIFS('Fox'!$B$6:$B$300,$A479,'Fox'!$F$6:$F$300,"Concluído")+COUNTIFS('Bruna'!$B$6:$B$300,$A479,'Bruna'!$F$6:$F$300,"Concluído")+COUNTIFS('Stella'!$B$6:$B$300,$A479,'Stella'!$F$6:$F$300,"Concluído")+COUNTIFS('Igor'!$B$6:$B$300,$A479,'Igor'!$F$6:$F$300,"Concluído"))&amp;" / "&amp;(COUNTIF('Clarice'!$B$6:$B$300,$A479)+COUNTIF('Luisa'!$B$6:$B$300,$A479)+COUNTIF('Lui'!$B$6:$B$300,$A479)+COUNTIF('Thaís'!$B$6:$B$300,$A479)+COUNTIF('Daniel'!$B$6:$B$300,$A479)+COUNTIF('Fernando'!$B$6:$B$300,$A479)+COUNTIF('Stephanie'!$B$6:$B$300,$A479)+COUNTIF('Fox'!$B$6:$B$300,$A479)+COUNTIF('Bruna'!$B$6:$B$300,$A479)+COUNTIF('Stella'!$B$6:$B$300,$A479)+COUNTIF('Igor'!$B$6:$B$300,$A479)))</f>
        <v/>
      </c>
      <c r="P479" s="25">
        <f>IF($A479="","",IF(M479&lt;&gt;"",M479,IF(K479&lt;&gt;"",K479,"")))</f>
        <v/>
      </c>
      <c r="Q479" s="25">
        <f>IF($A479="","",IF(N479&lt;&gt;"",N479,IF(L479&lt;&gt;"",L479,"")))</f>
        <v/>
      </c>
      <c r="S479" s="23">
        <f t="array" ref="S479">IF($A479="","",_xlfn.TEXTJOIN(CHAR(10),TRUE,IF('Clarice'!$B$6:$B$300=$A479,"Clarice"&amp;IF('Clarice'!$E$6:$E$300="",""," : "&amp;'Clarice'!$E$6:$E$300)&amp;" ["&amp;'Clarice'!$F$6:$F$300&amp;"]",""),IF('Luisa'!$B$6:$B$300=$A479,"Luisa"&amp;IF('Luisa'!$E$6:$E$300="",""," : "&amp;'Luisa'!$E$6:$E$300)&amp;" ["&amp;'Luisa'!$F$6:$F$300&amp;"]",""),IF('Lui'!$B$6:$B$300=$A479,"Lui"&amp;IF('Lui'!$E$6:$E$300="",""," : "&amp;'Lui'!$E$6:$E$300)&amp;" ["&amp;'Lui'!$F$6:$F$300&amp;"]",""),IF('Thaís'!$B$6:$B$300=$A479,"Thaís"&amp;IF('Thaís'!$E$6:$E$300="",""," : "&amp;'Thaís'!$E$6:$E$300)&amp;" ["&amp;'Thaís'!$F$6:$F$300&amp;"]",""),IF('Daniel'!$B$6:$B$300=$A479,"Daniel"&amp;IF('Daniel'!$E$6:$E$300="",""," : "&amp;'Daniel'!$E$6:$E$300)&amp;" ["&amp;'Daniel'!$F$6:$F$300&amp;"]",""),IF('Fernando'!$B$6:$B$300=$A479,"Fernando"&amp;IF('Fernando'!$E$6:$E$300="",""," : "&amp;'Fernando'!$E$6:$E$300)&amp;" ["&amp;'Fernando'!$F$6:$F$300&amp;"]",""),IF('Stephanie'!$B$6:$B$300=$A479,"Stephanie"&amp;IF('Stephanie'!$E$6:$E$300="",""," : "&amp;'Stephanie'!$E$6:$E$300)&amp;" ["&amp;'Stephanie'!$F$6:$F$300&amp;"]",""),IF('Fox'!$B$6:$B$300=$A479,"Fox"&amp;IF('Fox'!$E$6:$E$300="",""," : "&amp;'Fox'!$E$6:$E$300)&amp;" ["&amp;'Fox'!$F$6:$F$300&amp;"]",""),IF('Bruna'!$B$6:$B$300=$A479,"Bruna"&amp;IF('Bruna'!$E$6:$E$300="",""," : "&amp;'Bruna'!$E$6:$E$300)&amp;" ["&amp;'Bruna'!$F$6:$F$300&amp;"]",""),IF('Stella'!$B$6:$B$300=$A479,"Stella"&amp;IF('Stella'!$E$6:$E$300="",""," : "&amp;'Stella'!$E$6:$E$300)&amp;" ["&amp;'Stella'!$F$6:$F$300&amp;"]",""),IF('Igor'!$B$6:$B$300=$A479,"Igor"&amp;IF('Igor'!$E$6:$E$300="",""," : "&amp;'Igor'!$E$6:$E$300)&amp;" ["&amp;'Igor'!$F$6:$F$300&amp;"]","")))</f>
        <v/>
      </c>
    </row>
    <row r="480">
      <c r="G480" s="23">
        <f>IF($A480="","",_xlfn.TEXTJOIN("; ",TRUE,IF(COUNTIF('Clarice'!$B$6:$B$300,$A480)&gt;0,"Clarice",""),IF(COUNTIF('Luisa'!$B$6:$B$300,$A480)&gt;0,"Luisa",""),IF(COUNTIF('Lui'!$B$6:$B$300,$A480)&gt;0,"Lui",""),IF(COUNTIF('Thaís'!$B$6:$B$300,$A480)&gt;0,"Thaís",""),IF(COUNTIF('Daniel'!$B$6:$B$300,$A480)&gt;0,"Daniel",""),IF(COUNTIF('Fernando'!$B$6:$B$300,$A480)&gt;0,"Fernando",""),IF(COUNTIF('Stephanie'!$B$6:$B$300,$A480)&gt;0,"Stephanie",""),IF(COUNTIF('Fox'!$B$6:$B$300,$A480)&gt;0,"Fox",""),IF(COUNTIF('Bruna'!$B$6:$B$300,$A480)&gt;0,"Bruna",""),IF(COUNTIF('Stella'!$B$6:$B$300,$A480)&gt;0,"Stella",""),IF(COUNTIF('Igor'!$B$6:$B$300,$A480)&gt;0,"Igor","")))</f>
        <v/>
      </c>
      <c r="J480" s="24">
        <f>IF(OR($A480="",(COUNTIF('Clarice'!$B$6:$B$300,$A480)+COUNTIF('Luisa'!$B$6:$B$300,$A480)+COUNTIF('Lui'!$B$6:$B$300,$A480)+COUNTIF('Thaís'!$B$6:$B$300,$A480)+COUNTIF('Daniel'!$B$6:$B$300,$A480)+COUNTIF('Fernando'!$B$6:$B$300,$A480)+COUNTIF('Stephanie'!$B$6:$B$300,$A480)+COUNTIF('Fox'!$B$6:$B$300,$A480)+COUNTIF('Bruna'!$B$6:$B$300,$A480)+COUNTIF('Stella'!$B$6:$B$300,$A480)+COUNTIF('Igor'!$B$6:$B$300,$A480))=0),"",(COUNTIFS('Clarice'!$B$6:$B$300,$A480,'Clarice'!$F$6:$F$300,"Concluído")+COUNTIFS('Luisa'!$B$6:$B$300,$A480,'Luisa'!$F$6:$F$300,"Concluído")+COUNTIFS('Lui'!$B$6:$B$300,$A480,'Lui'!$F$6:$F$300,"Concluído")+COUNTIFS('Thaís'!$B$6:$B$300,$A480,'Thaís'!$F$6:$F$300,"Concluído")+COUNTIFS('Daniel'!$B$6:$B$300,$A480,'Daniel'!$F$6:$F$300,"Concluído")+COUNTIFS('Fernando'!$B$6:$B$300,$A480,'Fernando'!$F$6:$F$300,"Concluído")+COUNTIFS('Stephanie'!$B$6:$B$300,$A480,'Stephanie'!$F$6:$F$300,"Concluído")+COUNTIFS('Fox'!$B$6:$B$300,$A480,'Fox'!$F$6:$F$300,"Concluído")+COUNTIFS('Bruna'!$B$6:$B$300,$A480,'Bruna'!$F$6:$F$300,"Concluído")+COUNTIFS('Stella'!$B$6:$B$300,$A480,'Stella'!$F$6:$F$300,"Concluído")+COUNTIFS('Igor'!$B$6:$B$300,$A480,'Igor'!$F$6:$F$300,"Concluído"))&amp;" / "&amp;(COUNTIF('Clarice'!$B$6:$B$300,$A480)+COUNTIF('Luisa'!$B$6:$B$300,$A480)+COUNTIF('Lui'!$B$6:$B$300,$A480)+COUNTIF('Thaís'!$B$6:$B$300,$A480)+COUNTIF('Daniel'!$B$6:$B$300,$A480)+COUNTIF('Fernando'!$B$6:$B$300,$A480)+COUNTIF('Stephanie'!$B$6:$B$300,$A480)+COUNTIF('Fox'!$B$6:$B$300,$A480)+COUNTIF('Bruna'!$B$6:$B$300,$A480)+COUNTIF('Stella'!$B$6:$B$300,$A480)+COUNTIF('Igor'!$B$6:$B$300,$A480)))</f>
        <v/>
      </c>
      <c r="P480" s="25">
        <f>IF($A480="","",IF(M480&lt;&gt;"",M480,IF(K480&lt;&gt;"",K480,"")))</f>
        <v/>
      </c>
      <c r="Q480" s="25">
        <f>IF($A480="","",IF(N480&lt;&gt;"",N480,IF(L480&lt;&gt;"",L480,"")))</f>
        <v/>
      </c>
      <c r="S480" s="23">
        <f t="array" ref="S480">IF($A480="","",_xlfn.TEXTJOIN(CHAR(10),TRUE,IF('Clarice'!$B$6:$B$300=$A480,"Clarice"&amp;IF('Clarice'!$E$6:$E$300="",""," : "&amp;'Clarice'!$E$6:$E$300)&amp;" ["&amp;'Clarice'!$F$6:$F$300&amp;"]",""),IF('Luisa'!$B$6:$B$300=$A480,"Luisa"&amp;IF('Luisa'!$E$6:$E$300="",""," : "&amp;'Luisa'!$E$6:$E$300)&amp;" ["&amp;'Luisa'!$F$6:$F$300&amp;"]",""),IF('Lui'!$B$6:$B$300=$A480,"Lui"&amp;IF('Lui'!$E$6:$E$300="",""," : "&amp;'Lui'!$E$6:$E$300)&amp;" ["&amp;'Lui'!$F$6:$F$300&amp;"]",""),IF('Thaís'!$B$6:$B$300=$A480,"Thaís"&amp;IF('Thaís'!$E$6:$E$300="",""," : "&amp;'Thaís'!$E$6:$E$300)&amp;" ["&amp;'Thaís'!$F$6:$F$300&amp;"]",""),IF('Daniel'!$B$6:$B$300=$A480,"Daniel"&amp;IF('Daniel'!$E$6:$E$300="",""," : "&amp;'Daniel'!$E$6:$E$300)&amp;" ["&amp;'Daniel'!$F$6:$F$300&amp;"]",""),IF('Fernando'!$B$6:$B$300=$A480,"Fernando"&amp;IF('Fernando'!$E$6:$E$300="",""," : "&amp;'Fernando'!$E$6:$E$300)&amp;" ["&amp;'Fernando'!$F$6:$F$300&amp;"]",""),IF('Stephanie'!$B$6:$B$300=$A480,"Stephanie"&amp;IF('Stephanie'!$E$6:$E$300="",""," : "&amp;'Stephanie'!$E$6:$E$300)&amp;" ["&amp;'Stephanie'!$F$6:$F$300&amp;"]",""),IF('Fox'!$B$6:$B$300=$A480,"Fox"&amp;IF('Fox'!$E$6:$E$300="",""," : "&amp;'Fox'!$E$6:$E$300)&amp;" ["&amp;'Fox'!$F$6:$F$300&amp;"]",""),IF('Bruna'!$B$6:$B$300=$A480,"Bruna"&amp;IF('Bruna'!$E$6:$E$300="",""," : "&amp;'Bruna'!$E$6:$E$300)&amp;" ["&amp;'Bruna'!$F$6:$F$300&amp;"]",""),IF('Stella'!$B$6:$B$300=$A480,"Stella"&amp;IF('Stella'!$E$6:$E$300="",""," : "&amp;'Stella'!$E$6:$E$300)&amp;" ["&amp;'Stella'!$F$6:$F$300&amp;"]",""),IF('Igor'!$B$6:$B$300=$A480,"Igor"&amp;IF('Igor'!$E$6:$E$300="",""," : "&amp;'Igor'!$E$6:$E$300)&amp;" ["&amp;'Igor'!$F$6:$F$300&amp;"]","")))</f>
        <v/>
      </c>
    </row>
    <row r="481">
      <c r="G481" s="23">
        <f>IF($A481="","",_xlfn.TEXTJOIN("; ",TRUE,IF(COUNTIF('Clarice'!$B$6:$B$300,$A481)&gt;0,"Clarice",""),IF(COUNTIF('Luisa'!$B$6:$B$300,$A481)&gt;0,"Luisa",""),IF(COUNTIF('Lui'!$B$6:$B$300,$A481)&gt;0,"Lui",""),IF(COUNTIF('Thaís'!$B$6:$B$300,$A481)&gt;0,"Thaís",""),IF(COUNTIF('Daniel'!$B$6:$B$300,$A481)&gt;0,"Daniel",""),IF(COUNTIF('Fernando'!$B$6:$B$300,$A481)&gt;0,"Fernando",""),IF(COUNTIF('Stephanie'!$B$6:$B$300,$A481)&gt;0,"Stephanie",""),IF(COUNTIF('Fox'!$B$6:$B$300,$A481)&gt;0,"Fox",""),IF(COUNTIF('Bruna'!$B$6:$B$300,$A481)&gt;0,"Bruna",""),IF(COUNTIF('Stella'!$B$6:$B$300,$A481)&gt;0,"Stella",""),IF(COUNTIF('Igor'!$B$6:$B$300,$A481)&gt;0,"Igor","")))</f>
        <v/>
      </c>
      <c r="J481" s="24">
        <f>IF(OR($A481="",(COUNTIF('Clarice'!$B$6:$B$300,$A481)+COUNTIF('Luisa'!$B$6:$B$300,$A481)+COUNTIF('Lui'!$B$6:$B$300,$A481)+COUNTIF('Thaís'!$B$6:$B$300,$A481)+COUNTIF('Daniel'!$B$6:$B$300,$A481)+COUNTIF('Fernando'!$B$6:$B$300,$A481)+COUNTIF('Stephanie'!$B$6:$B$300,$A481)+COUNTIF('Fox'!$B$6:$B$300,$A481)+COUNTIF('Bruna'!$B$6:$B$300,$A481)+COUNTIF('Stella'!$B$6:$B$300,$A481)+COUNTIF('Igor'!$B$6:$B$300,$A481))=0),"",(COUNTIFS('Clarice'!$B$6:$B$300,$A481,'Clarice'!$F$6:$F$300,"Concluído")+COUNTIFS('Luisa'!$B$6:$B$300,$A481,'Luisa'!$F$6:$F$300,"Concluído")+COUNTIFS('Lui'!$B$6:$B$300,$A481,'Lui'!$F$6:$F$300,"Concluído")+COUNTIFS('Thaís'!$B$6:$B$300,$A481,'Thaís'!$F$6:$F$300,"Concluído")+COUNTIFS('Daniel'!$B$6:$B$300,$A481,'Daniel'!$F$6:$F$300,"Concluído")+COUNTIFS('Fernando'!$B$6:$B$300,$A481,'Fernando'!$F$6:$F$300,"Concluído")+COUNTIFS('Stephanie'!$B$6:$B$300,$A481,'Stephanie'!$F$6:$F$300,"Concluído")+COUNTIFS('Fox'!$B$6:$B$300,$A481,'Fox'!$F$6:$F$300,"Concluído")+COUNTIFS('Bruna'!$B$6:$B$300,$A481,'Bruna'!$F$6:$F$300,"Concluído")+COUNTIFS('Stella'!$B$6:$B$300,$A481,'Stella'!$F$6:$F$300,"Concluído")+COUNTIFS('Igor'!$B$6:$B$300,$A481,'Igor'!$F$6:$F$300,"Concluído"))&amp;" / "&amp;(COUNTIF('Clarice'!$B$6:$B$300,$A481)+COUNTIF('Luisa'!$B$6:$B$300,$A481)+COUNTIF('Lui'!$B$6:$B$300,$A481)+COUNTIF('Thaís'!$B$6:$B$300,$A481)+COUNTIF('Daniel'!$B$6:$B$300,$A481)+COUNTIF('Fernando'!$B$6:$B$300,$A481)+COUNTIF('Stephanie'!$B$6:$B$300,$A481)+COUNTIF('Fox'!$B$6:$B$300,$A481)+COUNTIF('Bruna'!$B$6:$B$300,$A481)+COUNTIF('Stella'!$B$6:$B$300,$A481)+COUNTIF('Igor'!$B$6:$B$300,$A481)))</f>
        <v/>
      </c>
      <c r="P481" s="25">
        <f>IF($A481="","",IF(M481&lt;&gt;"",M481,IF(K481&lt;&gt;"",K481,"")))</f>
        <v/>
      </c>
      <c r="Q481" s="25">
        <f>IF($A481="","",IF(N481&lt;&gt;"",N481,IF(L481&lt;&gt;"",L481,"")))</f>
        <v/>
      </c>
      <c r="S481" s="23">
        <f t="array" ref="S481">IF($A481="","",_xlfn.TEXTJOIN(CHAR(10),TRUE,IF('Clarice'!$B$6:$B$300=$A481,"Clarice"&amp;IF('Clarice'!$E$6:$E$300="",""," : "&amp;'Clarice'!$E$6:$E$300)&amp;" ["&amp;'Clarice'!$F$6:$F$300&amp;"]",""),IF('Luisa'!$B$6:$B$300=$A481,"Luisa"&amp;IF('Luisa'!$E$6:$E$300="",""," : "&amp;'Luisa'!$E$6:$E$300)&amp;" ["&amp;'Luisa'!$F$6:$F$300&amp;"]",""),IF('Lui'!$B$6:$B$300=$A481,"Lui"&amp;IF('Lui'!$E$6:$E$300="",""," : "&amp;'Lui'!$E$6:$E$300)&amp;" ["&amp;'Lui'!$F$6:$F$300&amp;"]",""),IF('Thaís'!$B$6:$B$300=$A481,"Thaís"&amp;IF('Thaís'!$E$6:$E$300="",""," : "&amp;'Thaís'!$E$6:$E$300)&amp;" ["&amp;'Thaís'!$F$6:$F$300&amp;"]",""),IF('Daniel'!$B$6:$B$300=$A481,"Daniel"&amp;IF('Daniel'!$E$6:$E$300="",""," : "&amp;'Daniel'!$E$6:$E$300)&amp;" ["&amp;'Daniel'!$F$6:$F$300&amp;"]",""),IF('Fernando'!$B$6:$B$300=$A481,"Fernando"&amp;IF('Fernando'!$E$6:$E$300="",""," : "&amp;'Fernando'!$E$6:$E$300)&amp;" ["&amp;'Fernando'!$F$6:$F$300&amp;"]",""),IF('Stephanie'!$B$6:$B$300=$A481,"Stephanie"&amp;IF('Stephanie'!$E$6:$E$300="",""," : "&amp;'Stephanie'!$E$6:$E$300)&amp;" ["&amp;'Stephanie'!$F$6:$F$300&amp;"]",""),IF('Fox'!$B$6:$B$300=$A481,"Fox"&amp;IF('Fox'!$E$6:$E$300="",""," : "&amp;'Fox'!$E$6:$E$300)&amp;" ["&amp;'Fox'!$F$6:$F$300&amp;"]",""),IF('Bruna'!$B$6:$B$300=$A481,"Bruna"&amp;IF('Bruna'!$E$6:$E$300="",""," : "&amp;'Bruna'!$E$6:$E$300)&amp;" ["&amp;'Bruna'!$F$6:$F$300&amp;"]",""),IF('Stella'!$B$6:$B$300=$A481,"Stella"&amp;IF('Stella'!$E$6:$E$300="",""," : "&amp;'Stella'!$E$6:$E$300)&amp;" ["&amp;'Stella'!$F$6:$F$300&amp;"]",""),IF('Igor'!$B$6:$B$300=$A481,"Igor"&amp;IF('Igor'!$E$6:$E$300="",""," : "&amp;'Igor'!$E$6:$E$300)&amp;" ["&amp;'Igor'!$F$6:$F$300&amp;"]","")))</f>
        <v/>
      </c>
    </row>
    <row r="482">
      <c r="G482" s="23">
        <f>IF($A482="","",_xlfn.TEXTJOIN("; ",TRUE,IF(COUNTIF('Clarice'!$B$6:$B$300,$A482)&gt;0,"Clarice",""),IF(COUNTIF('Luisa'!$B$6:$B$300,$A482)&gt;0,"Luisa",""),IF(COUNTIF('Lui'!$B$6:$B$300,$A482)&gt;0,"Lui",""),IF(COUNTIF('Thaís'!$B$6:$B$300,$A482)&gt;0,"Thaís",""),IF(COUNTIF('Daniel'!$B$6:$B$300,$A482)&gt;0,"Daniel",""),IF(COUNTIF('Fernando'!$B$6:$B$300,$A482)&gt;0,"Fernando",""),IF(COUNTIF('Stephanie'!$B$6:$B$300,$A482)&gt;0,"Stephanie",""),IF(COUNTIF('Fox'!$B$6:$B$300,$A482)&gt;0,"Fox",""),IF(COUNTIF('Bruna'!$B$6:$B$300,$A482)&gt;0,"Bruna",""),IF(COUNTIF('Stella'!$B$6:$B$300,$A482)&gt;0,"Stella",""),IF(COUNTIF('Igor'!$B$6:$B$300,$A482)&gt;0,"Igor","")))</f>
        <v/>
      </c>
      <c r="J482" s="24">
        <f>IF(OR($A482="",(COUNTIF('Clarice'!$B$6:$B$300,$A482)+COUNTIF('Luisa'!$B$6:$B$300,$A482)+COUNTIF('Lui'!$B$6:$B$300,$A482)+COUNTIF('Thaís'!$B$6:$B$300,$A482)+COUNTIF('Daniel'!$B$6:$B$300,$A482)+COUNTIF('Fernando'!$B$6:$B$300,$A482)+COUNTIF('Stephanie'!$B$6:$B$300,$A482)+COUNTIF('Fox'!$B$6:$B$300,$A482)+COUNTIF('Bruna'!$B$6:$B$300,$A482)+COUNTIF('Stella'!$B$6:$B$300,$A482)+COUNTIF('Igor'!$B$6:$B$300,$A482))=0),"",(COUNTIFS('Clarice'!$B$6:$B$300,$A482,'Clarice'!$F$6:$F$300,"Concluído")+COUNTIFS('Luisa'!$B$6:$B$300,$A482,'Luisa'!$F$6:$F$300,"Concluído")+COUNTIFS('Lui'!$B$6:$B$300,$A482,'Lui'!$F$6:$F$300,"Concluído")+COUNTIFS('Thaís'!$B$6:$B$300,$A482,'Thaís'!$F$6:$F$300,"Concluído")+COUNTIFS('Daniel'!$B$6:$B$300,$A482,'Daniel'!$F$6:$F$300,"Concluído")+COUNTIFS('Fernando'!$B$6:$B$300,$A482,'Fernando'!$F$6:$F$300,"Concluído")+COUNTIFS('Stephanie'!$B$6:$B$300,$A482,'Stephanie'!$F$6:$F$300,"Concluído")+COUNTIFS('Fox'!$B$6:$B$300,$A482,'Fox'!$F$6:$F$300,"Concluído")+COUNTIFS('Bruna'!$B$6:$B$300,$A482,'Bruna'!$F$6:$F$300,"Concluído")+COUNTIFS('Stella'!$B$6:$B$300,$A482,'Stella'!$F$6:$F$300,"Concluído")+COUNTIFS('Igor'!$B$6:$B$300,$A482,'Igor'!$F$6:$F$300,"Concluído"))&amp;" / "&amp;(COUNTIF('Clarice'!$B$6:$B$300,$A482)+COUNTIF('Luisa'!$B$6:$B$300,$A482)+COUNTIF('Lui'!$B$6:$B$300,$A482)+COUNTIF('Thaís'!$B$6:$B$300,$A482)+COUNTIF('Daniel'!$B$6:$B$300,$A482)+COUNTIF('Fernando'!$B$6:$B$300,$A482)+COUNTIF('Stephanie'!$B$6:$B$300,$A482)+COUNTIF('Fox'!$B$6:$B$300,$A482)+COUNTIF('Bruna'!$B$6:$B$300,$A482)+COUNTIF('Stella'!$B$6:$B$300,$A482)+COUNTIF('Igor'!$B$6:$B$300,$A482)))</f>
        <v/>
      </c>
      <c r="P482" s="25">
        <f>IF($A482="","",IF(M482&lt;&gt;"",M482,IF(K482&lt;&gt;"",K482,"")))</f>
        <v/>
      </c>
      <c r="Q482" s="25">
        <f>IF($A482="","",IF(N482&lt;&gt;"",N482,IF(L482&lt;&gt;"",L482,"")))</f>
        <v/>
      </c>
      <c r="S482" s="23">
        <f t="array" ref="S482">IF($A482="","",_xlfn.TEXTJOIN(CHAR(10),TRUE,IF('Clarice'!$B$6:$B$300=$A482,"Clarice"&amp;IF('Clarice'!$E$6:$E$300="",""," : "&amp;'Clarice'!$E$6:$E$300)&amp;" ["&amp;'Clarice'!$F$6:$F$300&amp;"]",""),IF('Luisa'!$B$6:$B$300=$A482,"Luisa"&amp;IF('Luisa'!$E$6:$E$300="",""," : "&amp;'Luisa'!$E$6:$E$300)&amp;" ["&amp;'Luisa'!$F$6:$F$300&amp;"]",""),IF('Lui'!$B$6:$B$300=$A482,"Lui"&amp;IF('Lui'!$E$6:$E$300="",""," : "&amp;'Lui'!$E$6:$E$300)&amp;" ["&amp;'Lui'!$F$6:$F$300&amp;"]",""),IF('Thaís'!$B$6:$B$300=$A482,"Thaís"&amp;IF('Thaís'!$E$6:$E$300="",""," : "&amp;'Thaís'!$E$6:$E$300)&amp;" ["&amp;'Thaís'!$F$6:$F$300&amp;"]",""),IF('Daniel'!$B$6:$B$300=$A482,"Daniel"&amp;IF('Daniel'!$E$6:$E$300="",""," : "&amp;'Daniel'!$E$6:$E$300)&amp;" ["&amp;'Daniel'!$F$6:$F$300&amp;"]",""),IF('Fernando'!$B$6:$B$300=$A482,"Fernando"&amp;IF('Fernando'!$E$6:$E$300="",""," : "&amp;'Fernando'!$E$6:$E$300)&amp;" ["&amp;'Fernando'!$F$6:$F$300&amp;"]",""),IF('Stephanie'!$B$6:$B$300=$A482,"Stephanie"&amp;IF('Stephanie'!$E$6:$E$300="",""," : "&amp;'Stephanie'!$E$6:$E$300)&amp;" ["&amp;'Stephanie'!$F$6:$F$300&amp;"]",""),IF('Fox'!$B$6:$B$300=$A482,"Fox"&amp;IF('Fox'!$E$6:$E$300="",""," : "&amp;'Fox'!$E$6:$E$300)&amp;" ["&amp;'Fox'!$F$6:$F$300&amp;"]",""),IF('Bruna'!$B$6:$B$300=$A482,"Bruna"&amp;IF('Bruna'!$E$6:$E$300="",""," : "&amp;'Bruna'!$E$6:$E$300)&amp;" ["&amp;'Bruna'!$F$6:$F$300&amp;"]",""),IF('Stella'!$B$6:$B$300=$A482,"Stella"&amp;IF('Stella'!$E$6:$E$300="",""," : "&amp;'Stella'!$E$6:$E$300)&amp;" ["&amp;'Stella'!$F$6:$F$300&amp;"]",""),IF('Igor'!$B$6:$B$300=$A482,"Igor"&amp;IF('Igor'!$E$6:$E$300="",""," : "&amp;'Igor'!$E$6:$E$300)&amp;" ["&amp;'Igor'!$F$6:$F$300&amp;"]","")))</f>
        <v/>
      </c>
    </row>
    <row r="483">
      <c r="G483" s="23">
        <f>IF($A483="","",_xlfn.TEXTJOIN("; ",TRUE,IF(COUNTIF('Clarice'!$B$6:$B$300,$A483)&gt;0,"Clarice",""),IF(COUNTIF('Luisa'!$B$6:$B$300,$A483)&gt;0,"Luisa",""),IF(COUNTIF('Lui'!$B$6:$B$300,$A483)&gt;0,"Lui",""),IF(COUNTIF('Thaís'!$B$6:$B$300,$A483)&gt;0,"Thaís",""),IF(COUNTIF('Daniel'!$B$6:$B$300,$A483)&gt;0,"Daniel",""),IF(COUNTIF('Fernando'!$B$6:$B$300,$A483)&gt;0,"Fernando",""),IF(COUNTIF('Stephanie'!$B$6:$B$300,$A483)&gt;0,"Stephanie",""),IF(COUNTIF('Fox'!$B$6:$B$300,$A483)&gt;0,"Fox",""),IF(COUNTIF('Bruna'!$B$6:$B$300,$A483)&gt;0,"Bruna",""),IF(COUNTIF('Stella'!$B$6:$B$300,$A483)&gt;0,"Stella",""),IF(COUNTIF('Igor'!$B$6:$B$300,$A483)&gt;0,"Igor","")))</f>
        <v/>
      </c>
      <c r="J483" s="24">
        <f>IF(OR($A483="",(COUNTIF('Clarice'!$B$6:$B$300,$A483)+COUNTIF('Luisa'!$B$6:$B$300,$A483)+COUNTIF('Lui'!$B$6:$B$300,$A483)+COUNTIF('Thaís'!$B$6:$B$300,$A483)+COUNTIF('Daniel'!$B$6:$B$300,$A483)+COUNTIF('Fernando'!$B$6:$B$300,$A483)+COUNTIF('Stephanie'!$B$6:$B$300,$A483)+COUNTIF('Fox'!$B$6:$B$300,$A483)+COUNTIF('Bruna'!$B$6:$B$300,$A483)+COUNTIF('Stella'!$B$6:$B$300,$A483)+COUNTIF('Igor'!$B$6:$B$300,$A483))=0),"",(COUNTIFS('Clarice'!$B$6:$B$300,$A483,'Clarice'!$F$6:$F$300,"Concluído")+COUNTIFS('Luisa'!$B$6:$B$300,$A483,'Luisa'!$F$6:$F$300,"Concluído")+COUNTIFS('Lui'!$B$6:$B$300,$A483,'Lui'!$F$6:$F$300,"Concluído")+COUNTIFS('Thaís'!$B$6:$B$300,$A483,'Thaís'!$F$6:$F$300,"Concluído")+COUNTIFS('Daniel'!$B$6:$B$300,$A483,'Daniel'!$F$6:$F$300,"Concluído")+COUNTIFS('Fernando'!$B$6:$B$300,$A483,'Fernando'!$F$6:$F$300,"Concluído")+COUNTIFS('Stephanie'!$B$6:$B$300,$A483,'Stephanie'!$F$6:$F$300,"Concluído")+COUNTIFS('Fox'!$B$6:$B$300,$A483,'Fox'!$F$6:$F$300,"Concluído")+COUNTIFS('Bruna'!$B$6:$B$300,$A483,'Bruna'!$F$6:$F$300,"Concluído")+COUNTIFS('Stella'!$B$6:$B$300,$A483,'Stella'!$F$6:$F$300,"Concluído")+COUNTIFS('Igor'!$B$6:$B$300,$A483,'Igor'!$F$6:$F$300,"Concluído"))&amp;" / "&amp;(COUNTIF('Clarice'!$B$6:$B$300,$A483)+COUNTIF('Luisa'!$B$6:$B$300,$A483)+COUNTIF('Lui'!$B$6:$B$300,$A483)+COUNTIF('Thaís'!$B$6:$B$300,$A483)+COUNTIF('Daniel'!$B$6:$B$300,$A483)+COUNTIF('Fernando'!$B$6:$B$300,$A483)+COUNTIF('Stephanie'!$B$6:$B$300,$A483)+COUNTIF('Fox'!$B$6:$B$300,$A483)+COUNTIF('Bruna'!$B$6:$B$300,$A483)+COUNTIF('Stella'!$B$6:$B$300,$A483)+COUNTIF('Igor'!$B$6:$B$300,$A483)))</f>
        <v/>
      </c>
      <c r="P483" s="25">
        <f>IF($A483="","",IF(M483&lt;&gt;"",M483,IF(K483&lt;&gt;"",K483,"")))</f>
        <v/>
      </c>
      <c r="Q483" s="25">
        <f>IF($A483="","",IF(N483&lt;&gt;"",N483,IF(L483&lt;&gt;"",L483,"")))</f>
        <v/>
      </c>
      <c r="S483" s="23">
        <f t="array" ref="S483">IF($A483="","",_xlfn.TEXTJOIN(CHAR(10),TRUE,IF('Clarice'!$B$6:$B$300=$A483,"Clarice"&amp;IF('Clarice'!$E$6:$E$300="",""," : "&amp;'Clarice'!$E$6:$E$300)&amp;" ["&amp;'Clarice'!$F$6:$F$300&amp;"]",""),IF('Luisa'!$B$6:$B$300=$A483,"Luisa"&amp;IF('Luisa'!$E$6:$E$300="",""," : "&amp;'Luisa'!$E$6:$E$300)&amp;" ["&amp;'Luisa'!$F$6:$F$300&amp;"]",""),IF('Lui'!$B$6:$B$300=$A483,"Lui"&amp;IF('Lui'!$E$6:$E$300="",""," : "&amp;'Lui'!$E$6:$E$300)&amp;" ["&amp;'Lui'!$F$6:$F$300&amp;"]",""),IF('Thaís'!$B$6:$B$300=$A483,"Thaís"&amp;IF('Thaís'!$E$6:$E$300="",""," : "&amp;'Thaís'!$E$6:$E$300)&amp;" ["&amp;'Thaís'!$F$6:$F$300&amp;"]",""),IF('Daniel'!$B$6:$B$300=$A483,"Daniel"&amp;IF('Daniel'!$E$6:$E$300="",""," : "&amp;'Daniel'!$E$6:$E$300)&amp;" ["&amp;'Daniel'!$F$6:$F$300&amp;"]",""),IF('Fernando'!$B$6:$B$300=$A483,"Fernando"&amp;IF('Fernando'!$E$6:$E$300="",""," : "&amp;'Fernando'!$E$6:$E$300)&amp;" ["&amp;'Fernando'!$F$6:$F$300&amp;"]",""),IF('Stephanie'!$B$6:$B$300=$A483,"Stephanie"&amp;IF('Stephanie'!$E$6:$E$300="",""," : "&amp;'Stephanie'!$E$6:$E$300)&amp;" ["&amp;'Stephanie'!$F$6:$F$300&amp;"]",""),IF('Fox'!$B$6:$B$300=$A483,"Fox"&amp;IF('Fox'!$E$6:$E$300="",""," : "&amp;'Fox'!$E$6:$E$300)&amp;" ["&amp;'Fox'!$F$6:$F$300&amp;"]",""),IF('Bruna'!$B$6:$B$300=$A483,"Bruna"&amp;IF('Bruna'!$E$6:$E$300="",""," : "&amp;'Bruna'!$E$6:$E$300)&amp;" ["&amp;'Bruna'!$F$6:$F$300&amp;"]",""),IF('Stella'!$B$6:$B$300=$A483,"Stella"&amp;IF('Stella'!$E$6:$E$300="",""," : "&amp;'Stella'!$E$6:$E$300)&amp;" ["&amp;'Stella'!$F$6:$F$300&amp;"]",""),IF('Igor'!$B$6:$B$300=$A483,"Igor"&amp;IF('Igor'!$E$6:$E$300="",""," : "&amp;'Igor'!$E$6:$E$300)&amp;" ["&amp;'Igor'!$F$6:$F$300&amp;"]","")))</f>
        <v/>
      </c>
    </row>
    <row r="484">
      <c r="G484" s="23">
        <f>IF($A484="","",_xlfn.TEXTJOIN("; ",TRUE,IF(COUNTIF('Clarice'!$B$6:$B$300,$A484)&gt;0,"Clarice",""),IF(COUNTIF('Luisa'!$B$6:$B$300,$A484)&gt;0,"Luisa",""),IF(COUNTIF('Lui'!$B$6:$B$300,$A484)&gt;0,"Lui",""),IF(COUNTIF('Thaís'!$B$6:$B$300,$A484)&gt;0,"Thaís",""),IF(COUNTIF('Daniel'!$B$6:$B$300,$A484)&gt;0,"Daniel",""),IF(COUNTIF('Fernando'!$B$6:$B$300,$A484)&gt;0,"Fernando",""),IF(COUNTIF('Stephanie'!$B$6:$B$300,$A484)&gt;0,"Stephanie",""),IF(COUNTIF('Fox'!$B$6:$B$300,$A484)&gt;0,"Fox",""),IF(COUNTIF('Bruna'!$B$6:$B$300,$A484)&gt;0,"Bruna",""),IF(COUNTIF('Stella'!$B$6:$B$300,$A484)&gt;0,"Stella",""),IF(COUNTIF('Igor'!$B$6:$B$300,$A484)&gt;0,"Igor","")))</f>
        <v/>
      </c>
      <c r="J484" s="24">
        <f>IF(OR($A484="",(COUNTIF('Clarice'!$B$6:$B$300,$A484)+COUNTIF('Luisa'!$B$6:$B$300,$A484)+COUNTIF('Lui'!$B$6:$B$300,$A484)+COUNTIF('Thaís'!$B$6:$B$300,$A484)+COUNTIF('Daniel'!$B$6:$B$300,$A484)+COUNTIF('Fernando'!$B$6:$B$300,$A484)+COUNTIF('Stephanie'!$B$6:$B$300,$A484)+COUNTIF('Fox'!$B$6:$B$300,$A484)+COUNTIF('Bruna'!$B$6:$B$300,$A484)+COUNTIF('Stella'!$B$6:$B$300,$A484)+COUNTIF('Igor'!$B$6:$B$300,$A484))=0),"",(COUNTIFS('Clarice'!$B$6:$B$300,$A484,'Clarice'!$F$6:$F$300,"Concluído")+COUNTIFS('Luisa'!$B$6:$B$300,$A484,'Luisa'!$F$6:$F$300,"Concluído")+COUNTIFS('Lui'!$B$6:$B$300,$A484,'Lui'!$F$6:$F$300,"Concluído")+COUNTIFS('Thaís'!$B$6:$B$300,$A484,'Thaís'!$F$6:$F$300,"Concluído")+COUNTIFS('Daniel'!$B$6:$B$300,$A484,'Daniel'!$F$6:$F$300,"Concluído")+COUNTIFS('Fernando'!$B$6:$B$300,$A484,'Fernando'!$F$6:$F$300,"Concluído")+COUNTIFS('Stephanie'!$B$6:$B$300,$A484,'Stephanie'!$F$6:$F$300,"Concluído")+COUNTIFS('Fox'!$B$6:$B$300,$A484,'Fox'!$F$6:$F$300,"Concluído")+COUNTIFS('Bruna'!$B$6:$B$300,$A484,'Bruna'!$F$6:$F$300,"Concluído")+COUNTIFS('Stella'!$B$6:$B$300,$A484,'Stella'!$F$6:$F$300,"Concluído")+COUNTIFS('Igor'!$B$6:$B$300,$A484,'Igor'!$F$6:$F$300,"Concluído"))&amp;" / "&amp;(COUNTIF('Clarice'!$B$6:$B$300,$A484)+COUNTIF('Luisa'!$B$6:$B$300,$A484)+COUNTIF('Lui'!$B$6:$B$300,$A484)+COUNTIF('Thaís'!$B$6:$B$300,$A484)+COUNTIF('Daniel'!$B$6:$B$300,$A484)+COUNTIF('Fernando'!$B$6:$B$300,$A484)+COUNTIF('Stephanie'!$B$6:$B$300,$A484)+COUNTIF('Fox'!$B$6:$B$300,$A484)+COUNTIF('Bruna'!$B$6:$B$300,$A484)+COUNTIF('Stella'!$B$6:$B$300,$A484)+COUNTIF('Igor'!$B$6:$B$300,$A484)))</f>
        <v/>
      </c>
      <c r="P484" s="25">
        <f>IF($A484="","",IF(M484&lt;&gt;"",M484,IF(K484&lt;&gt;"",K484,"")))</f>
        <v/>
      </c>
      <c r="Q484" s="25">
        <f>IF($A484="","",IF(N484&lt;&gt;"",N484,IF(L484&lt;&gt;"",L484,"")))</f>
        <v/>
      </c>
      <c r="S484" s="23">
        <f t="array" ref="S484">IF($A484="","",_xlfn.TEXTJOIN(CHAR(10),TRUE,IF('Clarice'!$B$6:$B$300=$A484,"Clarice"&amp;IF('Clarice'!$E$6:$E$300="",""," : "&amp;'Clarice'!$E$6:$E$300)&amp;" ["&amp;'Clarice'!$F$6:$F$300&amp;"]",""),IF('Luisa'!$B$6:$B$300=$A484,"Luisa"&amp;IF('Luisa'!$E$6:$E$300="",""," : "&amp;'Luisa'!$E$6:$E$300)&amp;" ["&amp;'Luisa'!$F$6:$F$300&amp;"]",""),IF('Lui'!$B$6:$B$300=$A484,"Lui"&amp;IF('Lui'!$E$6:$E$300="",""," : "&amp;'Lui'!$E$6:$E$300)&amp;" ["&amp;'Lui'!$F$6:$F$300&amp;"]",""),IF('Thaís'!$B$6:$B$300=$A484,"Thaís"&amp;IF('Thaís'!$E$6:$E$300="",""," : "&amp;'Thaís'!$E$6:$E$300)&amp;" ["&amp;'Thaís'!$F$6:$F$300&amp;"]",""),IF('Daniel'!$B$6:$B$300=$A484,"Daniel"&amp;IF('Daniel'!$E$6:$E$300="",""," : "&amp;'Daniel'!$E$6:$E$300)&amp;" ["&amp;'Daniel'!$F$6:$F$300&amp;"]",""),IF('Fernando'!$B$6:$B$300=$A484,"Fernando"&amp;IF('Fernando'!$E$6:$E$300="",""," : "&amp;'Fernando'!$E$6:$E$300)&amp;" ["&amp;'Fernando'!$F$6:$F$300&amp;"]",""),IF('Stephanie'!$B$6:$B$300=$A484,"Stephanie"&amp;IF('Stephanie'!$E$6:$E$300="",""," : "&amp;'Stephanie'!$E$6:$E$300)&amp;" ["&amp;'Stephanie'!$F$6:$F$300&amp;"]",""),IF('Fox'!$B$6:$B$300=$A484,"Fox"&amp;IF('Fox'!$E$6:$E$300="",""," : "&amp;'Fox'!$E$6:$E$300)&amp;" ["&amp;'Fox'!$F$6:$F$300&amp;"]",""),IF('Bruna'!$B$6:$B$300=$A484,"Bruna"&amp;IF('Bruna'!$E$6:$E$300="",""," : "&amp;'Bruna'!$E$6:$E$300)&amp;" ["&amp;'Bruna'!$F$6:$F$300&amp;"]",""),IF('Stella'!$B$6:$B$300=$A484,"Stella"&amp;IF('Stella'!$E$6:$E$300="",""," : "&amp;'Stella'!$E$6:$E$300)&amp;" ["&amp;'Stella'!$F$6:$F$300&amp;"]",""),IF('Igor'!$B$6:$B$300=$A484,"Igor"&amp;IF('Igor'!$E$6:$E$300="",""," : "&amp;'Igor'!$E$6:$E$300)&amp;" ["&amp;'Igor'!$F$6:$F$300&amp;"]","")))</f>
        <v/>
      </c>
    </row>
    <row r="485">
      <c r="G485" s="23">
        <f>IF($A485="","",_xlfn.TEXTJOIN("; ",TRUE,IF(COUNTIF('Clarice'!$B$6:$B$300,$A485)&gt;0,"Clarice",""),IF(COUNTIF('Luisa'!$B$6:$B$300,$A485)&gt;0,"Luisa",""),IF(COUNTIF('Lui'!$B$6:$B$300,$A485)&gt;0,"Lui",""),IF(COUNTIF('Thaís'!$B$6:$B$300,$A485)&gt;0,"Thaís",""),IF(COUNTIF('Daniel'!$B$6:$B$300,$A485)&gt;0,"Daniel",""),IF(COUNTIF('Fernando'!$B$6:$B$300,$A485)&gt;0,"Fernando",""),IF(COUNTIF('Stephanie'!$B$6:$B$300,$A485)&gt;0,"Stephanie",""),IF(COUNTIF('Fox'!$B$6:$B$300,$A485)&gt;0,"Fox",""),IF(COUNTIF('Bruna'!$B$6:$B$300,$A485)&gt;0,"Bruna",""),IF(COUNTIF('Stella'!$B$6:$B$300,$A485)&gt;0,"Stella",""),IF(COUNTIF('Igor'!$B$6:$B$300,$A485)&gt;0,"Igor","")))</f>
        <v/>
      </c>
      <c r="J485" s="24">
        <f>IF(OR($A485="",(COUNTIF('Clarice'!$B$6:$B$300,$A485)+COUNTIF('Luisa'!$B$6:$B$300,$A485)+COUNTIF('Lui'!$B$6:$B$300,$A485)+COUNTIF('Thaís'!$B$6:$B$300,$A485)+COUNTIF('Daniel'!$B$6:$B$300,$A485)+COUNTIF('Fernando'!$B$6:$B$300,$A485)+COUNTIF('Stephanie'!$B$6:$B$300,$A485)+COUNTIF('Fox'!$B$6:$B$300,$A485)+COUNTIF('Bruna'!$B$6:$B$300,$A485)+COUNTIF('Stella'!$B$6:$B$300,$A485)+COUNTIF('Igor'!$B$6:$B$300,$A485))=0),"",(COUNTIFS('Clarice'!$B$6:$B$300,$A485,'Clarice'!$F$6:$F$300,"Concluído")+COUNTIFS('Luisa'!$B$6:$B$300,$A485,'Luisa'!$F$6:$F$300,"Concluído")+COUNTIFS('Lui'!$B$6:$B$300,$A485,'Lui'!$F$6:$F$300,"Concluído")+COUNTIFS('Thaís'!$B$6:$B$300,$A485,'Thaís'!$F$6:$F$300,"Concluído")+COUNTIFS('Daniel'!$B$6:$B$300,$A485,'Daniel'!$F$6:$F$300,"Concluído")+COUNTIFS('Fernando'!$B$6:$B$300,$A485,'Fernando'!$F$6:$F$300,"Concluído")+COUNTIFS('Stephanie'!$B$6:$B$300,$A485,'Stephanie'!$F$6:$F$300,"Concluído")+COUNTIFS('Fox'!$B$6:$B$300,$A485,'Fox'!$F$6:$F$300,"Concluído")+COUNTIFS('Bruna'!$B$6:$B$300,$A485,'Bruna'!$F$6:$F$300,"Concluído")+COUNTIFS('Stella'!$B$6:$B$300,$A485,'Stella'!$F$6:$F$300,"Concluído")+COUNTIFS('Igor'!$B$6:$B$300,$A485,'Igor'!$F$6:$F$300,"Concluído"))&amp;" / "&amp;(COUNTIF('Clarice'!$B$6:$B$300,$A485)+COUNTIF('Luisa'!$B$6:$B$300,$A485)+COUNTIF('Lui'!$B$6:$B$300,$A485)+COUNTIF('Thaís'!$B$6:$B$300,$A485)+COUNTIF('Daniel'!$B$6:$B$300,$A485)+COUNTIF('Fernando'!$B$6:$B$300,$A485)+COUNTIF('Stephanie'!$B$6:$B$300,$A485)+COUNTIF('Fox'!$B$6:$B$300,$A485)+COUNTIF('Bruna'!$B$6:$B$300,$A485)+COUNTIF('Stella'!$B$6:$B$300,$A485)+COUNTIF('Igor'!$B$6:$B$300,$A485)))</f>
        <v/>
      </c>
      <c r="P485" s="25">
        <f>IF($A485="","",IF(M485&lt;&gt;"",M485,IF(K485&lt;&gt;"",K485,"")))</f>
        <v/>
      </c>
      <c r="Q485" s="25">
        <f>IF($A485="","",IF(N485&lt;&gt;"",N485,IF(L485&lt;&gt;"",L485,"")))</f>
        <v/>
      </c>
      <c r="S485" s="23">
        <f t="array" ref="S485">IF($A485="","",_xlfn.TEXTJOIN(CHAR(10),TRUE,IF('Clarice'!$B$6:$B$300=$A485,"Clarice"&amp;IF('Clarice'!$E$6:$E$300="",""," : "&amp;'Clarice'!$E$6:$E$300)&amp;" ["&amp;'Clarice'!$F$6:$F$300&amp;"]",""),IF('Luisa'!$B$6:$B$300=$A485,"Luisa"&amp;IF('Luisa'!$E$6:$E$300="",""," : "&amp;'Luisa'!$E$6:$E$300)&amp;" ["&amp;'Luisa'!$F$6:$F$300&amp;"]",""),IF('Lui'!$B$6:$B$300=$A485,"Lui"&amp;IF('Lui'!$E$6:$E$300="",""," : "&amp;'Lui'!$E$6:$E$300)&amp;" ["&amp;'Lui'!$F$6:$F$300&amp;"]",""),IF('Thaís'!$B$6:$B$300=$A485,"Thaís"&amp;IF('Thaís'!$E$6:$E$300="",""," : "&amp;'Thaís'!$E$6:$E$300)&amp;" ["&amp;'Thaís'!$F$6:$F$300&amp;"]",""),IF('Daniel'!$B$6:$B$300=$A485,"Daniel"&amp;IF('Daniel'!$E$6:$E$300="",""," : "&amp;'Daniel'!$E$6:$E$300)&amp;" ["&amp;'Daniel'!$F$6:$F$300&amp;"]",""),IF('Fernando'!$B$6:$B$300=$A485,"Fernando"&amp;IF('Fernando'!$E$6:$E$300="",""," : "&amp;'Fernando'!$E$6:$E$300)&amp;" ["&amp;'Fernando'!$F$6:$F$300&amp;"]",""),IF('Stephanie'!$B$6:$B$300=$A485,"Stephanie"&amp;IF('Stephanie'!$E$6:$E$300="",""," : "&amp;'Stephanie'!$E$6:$E$300)&amp;" ["&amp;'Stephanie'!$F$6:$F$300&amp;"]",""),IF('Fox'!$B$6:$B$300=$A485,"Fox"&amp;IF('Fox'!$E$6:$E$300="",""," : "&amp;'Fox'!$E$6:$E$300)&amp;" ["&amp;'Fox'!$F$6:$F$300&amp;"]",""),IF('Bruna'!$B$6:$B$300=$A485,"Bruna"&amp;IF('Bruna'!$E$6:$E$300="",""," : "&amp;'Bruna'!$E$6:$E$300)&amp;" ["&amp;'Bruna'!$F$6:$F$300&amp;"]",""),IF('Stella'!$B$6:$B$300=$A485,"Stella"&amp;IF('Stella'!$E$6:$E$300="",""," : "&amp;'Stella'!$E$6:$E$300)&amp;" ["&amp;'Stella'!$F$6:$F$300&amp;"]",""),IF('Igor'!$B$6:$B$300=$A485,"Igor"&amp;IF('Igor'!$E$6:$E$300="",""," : "&amp;'Igor'!$E$6:$E$300)&amp;" ["&amp;'Igor'!$F$6:$F$300&amp;"]","")))</f>
        <v/>
      </c>
    </row>
    <row r="486">
      <c r="G486" s="23">
        <f>IF($A486="","",_xlfn.TEXTJOIN("; ",TRUE,IF(COUNTIF('Clarice'!$B$6:$B$300,$A486)&gt;0,"Clarice",""),IF(COUNTIF('Luisa'!$B$6:$B$300,$A486)&gt;0,"Luisa",""),IF(COUNTIF('Lui'!$B$6:$B$300,$A486)&gt;0,"Lui",""),IF(COUNTIF('Thaís'!$B$6:$B$300,$A486)&gt;0,"Thaís",""),IF(COUNTIF('Daniel'!$B$6:$B$300,$A486)&gt;0,"Daniel",""),IF(COUNTIF('Fernando'!$B$6:$B$300,$A486)&gt;0,"Fernando",""),IF(COUNTIF('Stephanie'!$B$6:$B$300,$A486)&gt;0,"Stephanie",""),IF(COUNTIF('Fox'!$B$6:$B$300,$A486)&gt;0,"Fox",""),IF(COUNTIF('Bruna'!$B$6:$B$300,$A486)&gt;0,"Bruna",""),IF(COUNTIF('Stella'!$B$6:$B$300,$A486)&gt;0,"Stella",""),IF(COUNTIF('Igor'!$B$6:$B$300,$A486)&gt;0,"Igor","")))</f>
        <v/>
      </c>
      <c r="J486" s="24">
        <f>IF(OR($A486="",(COUNTIF('Clarice'!$B$6:$B$300,$A486)+COUNTIF('Luisa'!$B$6:$B$300,$A486)+COUNTIF('Lui'!$B$6:$B$300,$A486)+COUNTIF('Thaís'!$B$6:$B$300,$A486)+COUNTIF('Daniel'!$B$6:$B$300,$A486)+COUNTIF('Fernando'!$B$6:$B$300,$A486)+COUNTIF('Stephanie'!$B$6:$B$300,$A486)+COUNTIF('Fox'!$B$6:$B$300,$A486)+COUNTIF('Bruna'!$B$6:$B$300,$A486)+COUNTIF('Stella'!$B$6:$B$300,$A486)+COUNTIF('Igor'!$B$6:$B$300,$A486))=0),"",(COUNTIFS('Clarice'!$B$6:$B$300,$A486,'Clarice'!$F$6:$F$300,"Concluído")+COUNTIFS('Luisa'!$B$6:$B$300,$A486,'Luisa'!$F$6:$F$300,"Concluído")+COUNTIFS('Lui'!$B$6:$B$300,$A486,'Lui'!$F$6:$F$300,"Concluído")+COUNTIFS('Thaís'!$B$6:$B$300,$A486,'Thaís'!$F$6:$F$300,"Concluído")+COUNTIFS('Daniel'!$B$6:$B$300,$A486,'Daniel'!$F$6:$F$300,"Concluído")+COUNTIFS('Fernando'!$B$6:$B$300,$A486,'Fernando'!$F$6:$F$300,"Concluído")+COUNTIFS('Stephanie'!$B$6:$B$300,$A486,'Stephanie'!$F$6:$F$300,"Concluído")+COUNTIFS('Fox'!$B$6:$B$300,$A486,'Fox'!$F$6:$F$300,"Concluído")+COUNTIFS('Bruna'!$B$6:$B$300,$A486,'Bruna'!$F$6:$F$300,"Concluído")+COUNTIFS('Stella'!$B$6:$B$300,$A486,'Stella'!$F$6:$F$300,"Concluído")+COUNTIFS('Igor'!$B$6:$B$300,$A486,'Igor'!$F$6:$F$300,"Concluído"))&amp;" / "&amp;(COUNTIF('Clarice'!$B$6:$B$300,$A486)+COUNTIF('Luisa'!$B$6:$B$300,$A486)+COUNTIF('Lui'!$B$6:$B$300,$A486)+COUNTIF('Thaís'!$B$6:$B$300,$A486)+COUNTIF('Daniel'!$B$6:$B$300,$A486)+COUNTIF('Fernando'!$B$6:$B$300,$A486)+COUNTIF('Stephanie'!$B$6:$B$300,$A486)+COUNTIF('Fox'!$B$6:$B$300,$A486)+COUNTIF('Bruna'!$B$6:$B$300,$A486)+COUNTIF('Stella'!$B$6:$B$300,$A486)+COUNTIF('Igor'!$B$6:$B$300,$A486)))</f>
        <v/>
      </c>
      <c r="P486" s="25">
        <f>IF($A486="","",IF(M486&lt;&gt;"",M486,IF(K486&lt;&gt;"",K486,"")))</f>
        <v/>
      </c>
      <c r="Q486" s="25">
        <f>IF($A486="","",IF(N486&lt;&gt;"",N486,IF(L486&lt;&gt;"",L486,"")))</f>
        <v/>
      </c>
      <c r="S486" s="23">
        <f t="array" ref="S486">IF($A486="","",_xlfn.TEXTJOIN(CHAR(10),TRUE,IF('Clarice'!$B$6:$B$300=$A486,"Clarice"&amp;IF('Clarice'!$E$6:$E$300="",""," : "&amp;'Clarice'!$E$6:$E$300)&amp;" ["&amp;'Clarice'!$F$6:$F$300&amp;"]",""),IF('Luisa'!$B$6:$B$300=$A486,"Luisa"&amp;IF('Luisa'!$E$6:$E$300="",""," : "&amp;'Luisa'!$E$6:$E$300)&amp;" ["&amp;'Luisa'!$F$6:$F$300&amp;"]",""),IF('Lui'!$B$6:$B$300=$A486,"Lui"&amp;IF('Lui'!$E$6:$E$300="",""," : "&amp;'Lui'!$E$6:$E$300)&amp;" ["&amp;'Lui'!$F$6:$F$300&amp;"]",""),IF('Thaís'!$B$6:$B$300=$A486,"Thaís"&amp;IF('Thaís'!$E$6:$E$300="",""," : "&amp;'Thaís'!$E$6:$E$300)&amp;" ["&amp;'Thaís'!$F$6:$F$300&amp;"]",""),IF('Daniel'!$B$6:$B$300=$A486,"Daniel"&amp;IF('Daniel'!$E$6:$E$300="",""," : "&amp;'Daniel'!$E$6:$E$300)&amp;" ["&amp;'Daniel'!$F$6:$F$300&amp;"]",""),IF('Fernando'!$B$6:$B$300=$A486,"Fernando"&amp;IF('Fernando'!$E$6:$E$300="",""," : "&amp;'Fernando'!$E$6:$E$300)&amp;" ["&amp;'Fernando'!$F$6:$F$300&amp;"]",""),IF('Stephanie'!$B$6:$B$300=$A486,"Stephanie"&amp;IF('Stephanie'!$E$6:$E$300="",""," : "&amp;'Stephanie'!$E$6:$E$300)&amp;" ["&amp;'Stephanie'!$F$6:$F$300&amp;"]",""),IF('Fox'!$B$6:$B$300=$A486,"Fox"&amp;IF('Fox'!$E$6:$E$300="",""," : "&amp;'Fox'!$E$6:$E$300)&amp;" ["&amp;'Fox'!$F$6:$F$300&amp;"]",""),IF('Bruna'!$B$6:$B$300=$A486,"Bruna"&amp;IF('Bruna'!$E$6:$E$300="",""," : "&amp;'Bruna'!$E$6:$E$300)&amp;" ["&amp;'Bruna'!$F$6:$F$300&amp;"]",""),IF('Stella'!$B$6:$B$300=$A486,"Stella"&amp;IF('Stella'!$E$6:$E$300="",""," : "&amp;'Stella'!$E$6:$E$300)&amp;" ["&amp;'Stella'!$F$6:$F$300&amp;"]",""),IF('Igor'!$B$6:$B$300=$A486,"Igor"&amp;IF('Igor'!$E$6:$E$300="",""," : "&amp;'Igor'!$E$6:$E$300)&amp;" ["&amp;'Igor'!$F$6:$F$300&amp;"]","")))</f>
        <v/>
      </c>
    </row>
    <row r="487">
      <c r="G487" s="23">
        <f>IF($A487="","",_xlfn.TEXTJOIN("; ",TRUE,IF(COUNTIF('Clarice'!$B$6:$B$300,$A487)&gt;0,"Clarice",""),IF(COUNTIF('Luisa'!$B$6:$B$300,$A487)&gt;0,"Luisa",""),IF(COUNTIF('Lui'!$B$6:$B$300,$A487)&gt;0,"Lui",""),IF(COUNTIF('Thaís'!$B$6:$B$300,$A487)&gt;0,"Thaís",""),IF(COUNTIF('Daniel'!$B$6:$B$300,$A487)&gt;0,"Daniel",""),IF(COUNTIF('Fernando'!$B$6:$B$300,$A487)&gt;0,"Fernando",""),IF(COUNTIF('Stephanie'!$B$6:$B$300,$A487)&gt;0,"Stephanie",""),IF(COUNTIF('Fox'!$B$6:$B$300,$A487)&gt;0,"Fox",""),IF(COUNTIF('Bruna'!$B$6:$B$300,$A487)&gt;0,"Bruna",""),IF(COUNTIF('Stella'!$B$6:$B$300,$A487)&gt;0,"Stella",""),IF(COUNTIF('Igor'!$B$6:$B$300,$A487)&gt;0,"Igor","")))</f>
        <v/>
      </c>
      <c r="J487" s="24">
        <f>IF(OR($A487="",(COUNTIF('Clarice'!$B$6:$B$300,$A487)+COUNTIF('Luisa'!$B$6:$B$300,$A487)+COUNTIF('Lui'!$B$6:$B$300,$A487)+COUNTIF('Thaís'!$B$6:$B$300,$A487)+COUNTIF('Daniel'!$B$6:$B$300,$A487)+COUNTIF('Fernando'!$B$6:$B$300,$A487)+COUNTIF('Stephanie'!$B$6:$B$300,$A487)+COUNTIF('Fox'!$B$6:$B$300,$A487)+COUNTIF('Bruna'!$B$6:$B$300,$A487)+COUNTIF('Stella'!$B$6:$B$300,$A487)+COUNTIF('Igor'!$B$6:$B$300,$A487))=0),"",(COUNTIFS('Clarice'!$B$6:$B$300,$A487,'Clarice'!$F$6:$F$300,"Concluído")+COUNTIFS('Luisa'!$B$6:$B$300,$A487,'Luisa'!$F$6:$F$300,"Concluído")+COUNTIFS('Lui'!$B$6:$B$300,$A487,'Lui'!$F$6:$F$300,"Concluído")+COUNTIFS('Thaís'!$B$6:$B$300,$A487,'Thaís'!$F$6:$F$300,"Concluído")+COUNTIFS('Daniel'!$B$6:$B$300,$A487,'Daniel'!$F$6:$F$300,"Concluído")+COUNTIFS('Fernando'!$B$6:$B$300,$A487,'Fernando'!$F$6:$F$300,"Concluído")+COUNTIFS('Stephanie'!$B$6:$B$300,$A487,'Stephanie'!$F$6:$F$300,"Concluído")+COUNTIFS('Fox'!$B$6:$B$300,$A487,'Fox'!$F$6:$F$300,"Concluído")+COUNTIFS('Bruna'!$B$6:$B$300,$A487,'Bruna'!$F$6:$F$300,"Concluído")+COUNTIFS('Stella'!$B$6:$B$300,$A487,'Stella'!$F$6:$F$300,"Concluído")+COUNTIFS('Igor'!$B$6:$B$300,$A487,'Igor'!$F$6:$F$300,"Concluído"))&amp;" / "&amp;(COUNTIF('Clarice'!$B$6:$B$300,$A487)+COUNTIF('Luisa'!$B$6:$B$300,$A487)+COUNTIF('Lui'!$B$6:$B$300,$A487)+COUNTIF('Thaís'!$B$6:$B$300,$A487)+COUNTIF('Daniel'!$B$6:$B$300,$A487)+COUNTIF('Fernando'!$B$6:$B$300,$A487)+COUNTIF('Stephanie'!$B$6:$B$300,$A487)+COUNTIF('Fox'!$B$6:$B$300,$A487)+COUNTIF('Bruna'!$B$6:$B$300,$A487)+COUNTIF('Stella'!$B$6:$B$300,$A487)+COUNTIF('Igor'!$B$6:$B$300,$A487)))</f>
        <v/>
      </c>
      <c r="P487" s="25">
        <f>IF($A487="","",IF(M487&lt;&gt;"",M487,IF(K487&lt;&gt;"",K487,"")))</f>
        <v/>
      </c>
      <c r="Q487" s="25">
        <f>IF($A487="","",IF(N487&lt;&gt;"",N487,IF(L487&lt;&gt;"",L487,"")))</f>
        <v/>
      </c>
      <c r="S487" s="23">
        <f t="array" ref="S487">IF($A487="","",_xlfn.TEXTJOIN(CHAR(10),TRUE,IF('Clarice'!$B$6:$B$300=$A487,"Clarice"&amp;IF('Clarice'!$E$6:$E$300="",""," : "&amp;'Clarice'!$E$6:$E$300)&amp;" ["&amp;'Clarice'!$F$6:$F$300&amp;"]",""),IF('Luisa'!$B$6:$B$300=$A487,"Luisa"&amp;IF('Luisa'!$E$6:$E$300="",""," : "&amp;'Luisa'!$E$6:$E$300)&amp;" ["&amp;'Luisa'!$F$6:$F$300&amp;"]",""),IF('Lui'!$B$6:$B$300=$A487,"Lui"&amp;IF('Lui'!$E$6:$E$300="",""," : "&amp;'Lui'!$E$6:$E$300)&amp;" ["&amp;'Lui'!$F$6:$F$300&amp;"]",""),IF('Thaís'!$B$6:$B$300=$A487,"Thaís"&amp;IF('Thaís'!$E$6:$E$300="",""," : "&amp;'Thaís'!$E$6:$E$300)&amp;" ["&amp;'Thaís'!$F$6:$F$300&amp;"]",""),IF('Daniel'!$B$6:$B$300=$A487,"Daniel"&amp;IF('Daniel'!$E$6:$E$300="",""," : "&amp;'Daniel'!$E$6:$E$300)&amp;" ["&amp;'Daniel'!$F$6:$F$300&amp;"]",""),IF('Fernando'!$B$6:$B$300=$A487,"Fernando"&amp;IF('Fernando'!$E$6:$E$300="",""," : "&amp;'Fernando'!$E$6:$E$300)&amp;" ["&amp;'Fernando'!$F$6:$F$300&amp;"]",""),IF('Stephanie'!$B$6:$B$300=$A487,"Stephanie"&amp;IF('Stephanie'!$E$6:$E$300="",""," : "&amp;'Stephanie'!$E$6:$E$300)&amp;" ["&amp;'Stephanie'!$F$6:$F$300&amp;"]",""),IF('Fox'!$B$6:$B$300=$A487,"Fox"&amp;IF('Fox'!$E$6:$E$300="",""," : "&amp;'Fox'!$E$6:$E$300)&amp;" ["&amp;'Fox'!$F$6:$F$300&amp;"]",""),IF('Bruna'!$B$6:$B$300=$A487,"Bruna"&amp;IF('Bruna'!$E$6:$E$300="",""," : "&amp;'Bruna'!$E$6:$E$300)&amp;" ["&amp;'Bruna'!$F$6:$F$300&amp;"]",""),IF('Stella'!$B$6:$B$300=$A487,"Stella"&amp;IF('Stella'!$E$6:$E$300="",""," : "&amp;'Stella'!$E$6:$E$300)&amp;" ["&amp;'Stella'!$F$6:$F$300&amp;"]",""),IF('Igor'!$B$6:$B$300=$A487,"Igor"&amp;IF('Igor'!$E$6:$E$300="",""," : "&amp;'Igor'!$E$6:$E$300)&amp;" ["&amp;'Igor'!$F$6:$F$300&amp;"]","")))</f>
        <v/>
      </c>
    </row>
    <row r="488">
      <c r="G488" s="23">
        <f>IF($A488="","",_xlfn.TEXTJOIN("; ",TRUE,IF(COUNTIF('Clarice'!$B$6:$B$300,$A488)&gt;0,"Clarice",""),IF(COUNTIF('Luisa'!$B$6:$B$300,$A488)&gt;0,"Luisa",""),IF(COUNTIF('Lui'!$B$6:$B$300,$A488)&gt;0,"Lui",""),IF(COUNTIF('Thaís'!$B$6:$B$300,$A488)&gt;0,"Thaís",""),IF(COUNTIF('Daniel'!$B$6:$B$300,$A488)&gt;0,"Daniel",""),IF(COUNTIF('Fernando'!$B$6:$B$300,$A488)&gt;0,"Fernando",""),IF(COUNTIF('Stephanie'!$B$6:$B$300,$A488)&gt;0,"Stephanie",""),IF(COUNTIF('Fox'!$B$6:$B$300,$A488)&gt;0,"Fox",""),IF(COUNTIF('Bruna'!$B$6:$B$300,$A488)&gt;0,"Bruna",""),IF(COUNTIF('Stella'!$B$6:$B$300,$A488)&gt;0,"Stella",""),IF(COUNTIF('Igor'!$B$6:$B$300,$A488)&gt;0,"Igor","")))</f>
        <v/>
      </c>
      <c r="J488" s="24">
        <f>IF(OR($A488="",(COUNTIF('Clarice'!$B$6:$B$300,$A488)+COUNTIF('Luisa'!$B$6:$B$300,$A488)+COUNTIF('Lui'!$B$6:$B$300,$A488)+COUNTIF('Thaís'!$B$6:$B$300,$A488)+COUNTIF('Daniel'!$B$6:$B$300,$A488)+COUNTIF('Fernando'!$B$6:$B$300,$A488)+COUNTIF('Stephanie'!$B$6:$B$300,$A488)+COUNTIF('Fox'!$B$6:$B$300,$A488)+COUNTIF('Bruna'!$B$6:$B$300,$A488)+COUNTIF('Stella'!$B$6:$B$300,$A488)+COUNTIF('Igor'!$B$6:$B$300,$A488))=0),"",(COUNTIFS('Clarice'!$B$6:$B$300,$A488,'Clarice'!$F$6:$F$300,"Concluído")+COUNTIFS('Luisa'!$B$6:$B$300,$A488,'Luisa'!$F$6:$F$300,"Concluído")+COUNTIFS('Lui'!$B$6:$B$300,$A488,'Lui'!$F$6:$F$300,"Concluído")+COUNTIFS('Thaís'!$B$6:$B$300,$A488,'Thaís'!$F$6:$F$300,"Concluído")+COUNTIFS('Daniel'!$B$6:$B$300,$A488,'Daniel'!$F$6:$F$300,"Concluído")+COUNTIFS('Fernando'!$B$6:$B$300,$A488,'Fernando'!$F$6:$F$300,"Concluído")+COUNTIFS('Stephanie'!$B$6:$B$300,$A488,'Stephanie'!$F$6:$F$300,"Concluído")+COUNTIFS('Fox'!$B$6:$B$300,$A488,'Fox'!$F$6:$F$300,"Concluído")+COUNTIFS('Bruna'!$B$6:$B$300,$A488,'Bruna'!$F$6:$F$300,"Concluído")+COUNTIFS('Stella'!$B$6:$B$300,$A488,'Stella'!$F$6:$F$300,"Concluído")+COUNTIFS('Igor'!$B$6:$B$300,$A488,'Igor'!$F$6:$F$300,"Concluído"))&amp;" / "&amp;(COUNTIF('Clarice'!$B$6:$B$300,$A488)+COUNTIF('Luisa'!$B$6:$B$300,$A488)+COUNTIF('Lui'!$B$6:$B$300,$A488)+COUNTIF('Thaís'!$B$6:$B$300,$A488)+COUNTIF('Daniel'!$B$6:$B$300,$A488)+COUNTIF('Fernando'!$B$6:$B$300,$A488)+COUNTIF('Stephanie'!$B$6:$B$300,$A488)+COUNTIF('Fox'!$B$6:$B$300,$A488)+COUNTIF('Bruna'!$B$6:$B$300,$A488)+COUNTIF('Stella'!$B$6:$B$300,$A488)+COUNTIF('Igor'!$B$6:$B$300,$A488)))</f>
        <v/>
      </c>
      <c r="P488" s="25">
        <f>IF($A488="","",IF(M488&lt;&gt;"",M488,IF(K488&lt;&gt;"",K488,"")))</f>
        <v/>
      </c>
      <c r="Q488" s="25">
        <f>IF($A488="","",IF(N488&lt;&gt;"",N488,IF(L488&lt;&gt;"",L488,"")))</f>
        <v/>
      </c>
      <c r="S488" s="23">
        <f t="array" ref="S488">IF($A488="","",_xlfn.TEXTJOIN(CHAR(10),TRUE,IF('Clarice'!$B$6:$B$300=$A488,"Clarice"&amp;IF('Clarice'!$E$6:$E$300="",""," : "&amp;'Clarice'!$E$6:$E$300)&amp;" ["&amp;'Clarice'!$F$6:$F$300&amp;"]",""),IF('Luisa'!$B$6:$B$300=$A488,"Luisa"&amp;IF('Luisa'!$E$6:$E$300="",""," : "&amp;'Luisa'!$E$6:$E$300)&amp;" ["&amp;'Luisa'!$F$6:$F$300&amp;"]",""),IF('Lui'!$B$6:$B$300=$A488,"Lui"&amp;IF('Lui'!$E$6:$E$300="",""," : "&amp;'Lui'!$E$6:$E$300)&amp;" ["&amp;'Lui'!$F$6:$F$300&amp;"]",""),IF('Thaís'!$B$6:$B$300=$A488,"Thaís"&amp;IF('Thaís'!$E$6:$E$300="",""," : "&amp;'Thaís'!$E$6:$E$300)&amp;" ["&amp;'Thaís'!$F$6:$F$300&amp;"]",""),IF('Daniel'!$B$6:$B$300=$A488,"Daniel"&amp;IF('Daniel'!$E$6:$E$300="",""," : "&amp;'Daniel'!$E$6:$E$300)&amp;" ["&amp;'Daniel'!$F$6:$F$300&amp;"]",""),IF('Fernando'!$B$6:$B$300=$A488,"Fernando"&amp;IF('Fernando'!$E$6:$E$300="",""," : "&amp;'Fernando'!$E$6:$E$300)&amp;" ["&amp;'Fernando'!$F$6:$F$300&amp;"]",""),IF('Stephanie'!$B$6:$B$300=$A488,"Stephanie"&amp;IF('Stephanie'!$E$6:$E$300="",""," : "&amp;'Stephanie'!$E$6:$E$300)&amp;" ["&amp;'Stephanie'!$F$6:$F$300&amp;"]",""),IF('Fox'!$B$6:$B$300=$A488,"Fox"&amp;IF('Fox'!$E$6:$E$300="",""," : "&amp;'Fox'!$E$6:$E$300)&amp;" ["&amp;'Fox'!$F$6:$F$300&amp;"]",""),IF('Bruna'!$B$6:$B$300=$A488,"Bruna"&amp;IF('Bruna'!$E$6:$E$300="",""," : "&amp;'Bruna'!$E$6:$E$300)&amp;" ["&amp;'Bruna'!$F$6:$F$300&amp;"]",""),IF('Stella'!$B$6:$B$300=$A488,"Stella"&amp;IF('Stella'!$E$6:$E$300="",""," : "&amp;'Stella'!$E$6:$E$300)&amp;" ["&amp;'Stella'!$F$6:$F$300&amp;"]",""),IF('Igor'!$B$6:$B$300=$A488,"Igor"&amp;IF('Igor'!$E$6:$E$300="",""," : "&amp;'Igor'!$E$6:$E$300)&amp;" ["&amp;'Igor'!$F$6:$F$300&amp;"]","")))</f>
        <v/>
      </c>
    </row>
    <row r="489">
      <c r="G489" s="23">
        <f>IF($A489="","",_xlfn.TEXTJOIN("; ",TRUE,IF(COUNTIF('Clarice'!$B$6:$B$300,$A489)&gt;0,"Clarice",""),IF(COUNTIF('Luisa'!$B$6:$B$300,$A489)&gt;0,"Luisa",""),IF(COUNTIF('Lui'!$B$6:$B$300,$A489)&gt;0,"Lui",""),IF(COUNTIF('Thaís'!$B$6:$B$300,$A489)&gt;0,"Thaís",""),IF(COUNTIF('Daniel'!$B$6:$B$300,$A489)&gt;0,"Daniel",""),IF(COUNTIF('Fernando'!$B$6:$B$300,$A489)&gt;0,"Fernando",""),IF(COUNTIF('Stephanie'!$B$6:$B$300,$A489)&gt;0,"Stephanie",""),IF(COUNTIF('Fox'!$B$6:$B$300,$A489)&gt;0,"Fox",""),IF(COUNTIF('Bruna'!$B$6:$B$300,$A489)&gt;0,"Bruna",""),IF(COUNTIF('Stella'!$B$6:$B$300,$A489)&gt;0,"Stella",""),IF(COUNTIF('Igor'!$B$6:$B$300,$A489)&gt;0,"Igor","")))</f>
        <v/>
      </c>
      <c r="J489" s="24">
        <f>IF(OR($A489="",(COUNTIF('Clarice'!$B$6:$B$300,$A489)+COUNTIF('Luisa'!$B$6:$B$300,$A489)+COUNTIF('Lui'!$B$6:$B$300,$A489)+COUNTIF('Thaís'!$B$6:$B$300,$A489)+COUNTIF('Daniel'!$B$6:$B$300,$A489)+COUNTIF('Fernando'!$B$6:$B$300,$A489)+COUNTIF('Stephanie'!$B$6:$B$300,$A489)+COUNTIF('Fox'!$B$6:$B$300,$A489)+COUNTIF('Bruna'!$B$6:$B$300,$A489)+COUNTIF('Stella'!$B$6:$B$300,$A489)+COUNTIF('Igor'!$B$6:$B$300,$A489))=0),"",(COUNTIFS('Clarice'!$B$6:$B$300,$A489,'Clarice'!$F$6:$F$300,"Concluído")+COUNTIFS('Luisa'!$B$6:$B$300,$A489,'Luisa'!$F$6:$F$300,"Concluído")+COUNTIFS('Lui'!$B$6:$B$300,$A489,'Lui'!$F$6:$F$300,"Concluído")+COUNTIFS('Thaís'!$B$6:$B$300,$A489,'Thaís'!$F$6:$F$300,"Concluído")+COUNTIFS('Daniel'!$B$6:$B$300,$A489,'Daniel'!$F$6:$F$300,"Concluído")+COUNTIFS('Fernando'!$B$6:$B$300,$A489,'Fernando'!$F$6:$F$300,"Concluído")+COUNTIFS('Stephanie'!$B$6:$B$300,$A489,'Stephanie'!$F$6:$F$300,"Concluído")+COUNTIFS('Fox'!$B$6:$B$300,$A489,'Fox'!$F$6:$F$300,"Concluído")+COUNTIFS('Bruna'!$B$6:$B$300,$A489,'Bruna'!$F$6:$F$300,"Concluído")+COUNTIFS('Stella'!$B$6:$B$300,$A489,'Stella'!$F$6:$F$300,"Concluído")+COUNTIFS('Igor'!$B$6:$B$300,$A489,'Igor'!$F$6:$F$300,"Concluído"))&amp;" / "&amp;(COUNTIF('Clarice'!$B$6:$B$300,$A489)+COUNTIF('Luisa'!$B$6:$B$300,$A489)+COUNTIF('Lui'!$B$6:$B$300,$A489)+COUNTIF('Thaís'!$B$6:$B$300,$A489)+COUNTIF('Daniel'!$B$6:$B$300,$A489)+COUNTIF('Fernando'!$B$6:$B$300,$A489)+COUNTIF('Stephanie'!$B$6:$B$300,$A489)+COUNTIF('Fox'!$B$6:$B$300,$A489)+COUNTIF('Bruna'!$B$6:$B$300,$A489)+COUNTIF('Stella'!$B$6:$B$300,$A489)+COUNTIF('Igor'!$B$6:$B$300,$A489)))</f>
        <v/>
      </c>
      <c r="P489" s="25">
        <f>IF($A489="","",IF(M489&lt;&gt;"",M489,IF(K489&lt;&gt;"",K489,"")))</f>
        <v/>
      </c>
      <c r="Q489" s="25">
        <f>IF($A489="","",IF(N489&lt;&gt;"",N489,IF(L489&lt;&gt;"",L489,"")))</f>
        <v/>
      </c>
      <c r="S489" s="23">
        <f t="array" ref="S489">IF($A489="","",_xlfn.TEXTJOIN(CHAR(10),TRUE,IF('Clarice'!$B$6:$B$300=$A489,"Clarice"&amp;IF('Clarice'!$E$6:$E$300="",""," : "&amp;'Clarice'!$E$6:$E$300)&amp;" ["&amp;'Clarice'!$F$6:$F$300&amp;"]",""),IF('Luisa'!$B$6:$B$300=$A489,"Luisa"&amp;IF('Luisa'!$E$6:$E$300="",""," : "&amp;'Luisa'!$E$6:$E$300)&amp;" ["&amp;'Luisa'!$F$6:$F$300&amp;"]",""),IF('Lui'!$B$6:$B$300=$A489,"Lui"&amp;IF('Lui'!$E$6:$E$300="",""," : "&amp;'Lui'!$E$6:$E$300)&amp;" ["&amp;'Lui'!$F$6:$F$300&amp;"]",""),IF('Thaís'!$B$6:$B$300=$A489,"Thaís"&amp;IF('Thaís'!$E$6:$E$300="",""," : "&amp;'Thaís'!$E$6:$E$300)&amp;" ["&amp;'Thaís'!$F$6:$F$300&amp;"]",""),IF('Daniel'!$B$6:$B$300=$A489,"Daniel"&amp;IF('Daniel'!$E$6:$E$300="",""," : "&amp;'Daniel'!$E$6:$E$300)&amp;" ["&amp;'Daniel'!$F$6:$F$300&amp;"]",""),IF('Fernando'!$B$6:$B$300=$A489,"Fernando"&amp;IF('Fernando'!$E$6:$E$300="",""," : "&amp;'Fernando'!$E$6:$E$300)&amp;" ["&amp;'Fernando'!$F$6:$F$300&amp;"]",""),IF('Stephanie'!$B$6:$B$300=$A489,"Stephanie"&amp;IF('Stephanie'!$E$6:$E$300="",""," : "&amp;'Stephanie'!$E$6:$E$300)&amp;" ["&amp;'Stephanie'!$F$6:$F$300&amp;"]",""),IF('Fox'!$B$6:$B$300=$A489,"Fox"&amp;IF('Fox'!$E$6:$E$300="",""," : "&amp;'Fox'!$E$6:$E$300)&amp;" ["&amp;'Fox'!$F$6:$F$300&amp;"]",""),IF('Bruna'!$B$6:$B$300=$A489,"Bruna"&amp;IF('Bruna'!$E$6:$E$300="",""," : "&amp;'Bruna'!$E$6:$E$300)&amp;" ["&amp;'Bruna'!$F$6:$F$300&amp;"]",""),IF('Stella'!$B$6:$B$300=$A489,"Stella"&amp;IF('Stella'!$E$6:$E$300="",""," : "&amp;'Stella'!$E$6:$E$300)&amp;" ["&amp;'Stella'!$F$6:$F$300&amp;"]",""),IF('Igor'!$B$6:$B$300=$A489,"Igor"&amp;IF('Igor'!$E$6:$E$300="",""," : "&amp;'Igor'!$E$6:$E$300)&amp;" ["&amp;'Igor'!$F$6:$F$300&amp;"]","")))</f>
        <v/>
      </c>
    </row>
    <row r="490">
      <c r="G490" s="23">
        <f>IF($A490="","",_xlfn.TEXTJOIN("; ",TRUE,IF(COUNTIF('Clarice'!$B$6:$B$300,$A490)&gt;0,"Clarice",""),IF(COUNTIF('Luisa'!$B$6:$B$300,$A490)&gt;0,"Luisa",""),IF(COUNTIF('Lui'!$B$6:$B$300,$A490)&gt;0,"Lui",""),IF(COUNTIF('Thaís'!$B$6:$B$300,$A490)&gt;0,"Thaís",""),IF(COUNTIF('Daniel'!$B$6:$B$300,$A490)&gt;0,"Daniel",""),IF(COUNTIF('Fernando'!$B$6:$B$300,$A490)&gt;0,"Fernando",""),IF(COUNTIF('Stephanie'!$B$6:$B$300,$A490)&gt;0,"Stephanie",""),IF(COUNTIF('Fox'!$B$6:$B$300,$A490)&gt;0,"Fox",""),IF(COUNTIF('Bruna'!$B$6:$B$300,$A490)&gt;0,"Bruna",""),IF(COUNTIF('Stella'!$B$6:$B$300,$A490)&gt;0,"Stella",""),IF(COUNTIF('Igor'!$B$6:$B$300,$A490)&gt;0,"Igor","")))</f>
        <v/>
      </c>
      <c r="J490" s="24">
        <f>IF(OR($A490="",(COUNTIF('Clarice'!$B$6:$B$300,$A490)+COUNTIF('Luisa'!$B$6:$B$300,$A490)+COUNTIF('Lui'!$B$6:$B$300,$A490)+COUNTIF('Thaís'!$B$6:$B$300,$A490)+COUNTIF('Daniel'!$B$6:$B$300,$A490)+COUNTIF('Fernando'!$B$6:$B$300,$A490)+COUNTIF('Stephanie'!$B$6:$B$300,$A490)+COUNTIF('Fox'!$B$6:$B$300,$A490)+COUNTIF('Bruna'!$B$6:$B$300,$A490)+COUNTIF('Stella'!$B$6:$B$300,$A490)+COUNTIF('Igor'!$B$6:$B$300,$A490))=0),"",(COUNTIFS('Clarice'!$B$6:$B$300,$A490,'Clarice'!$F$6:$F$300,"Concluído")+COUNTIFS('Luisa'!$B$6:$B$300,$A490,'Luisa'!$F$6:$F$300,"Concluído")+COUNTIFS('Lui'!$B$6:$B$300,$A490,'Lui'!$F$6:$F$300,"Concluído")+COUNTIFS('Thaís'!$B$6:$B$300,$A490,'Thaís'!$F$6:$F$300,"Concluído")+COUNTIFS('Daniel'!$B$6:$B$300,$A490,'Daniel'!$F$6:$F$300,"Concluído")+COUNTIFS('Fernando'!$B$6:$B$300,$A490,'Fernando'!$F$6:$F$300,"Concluído")+COUNTIFS('Stephanie'!$B$6:$B$300,$A490,'Stephanie'!$F$6:$F$300,"Concluído")+COUNTIFS('Fox'!$B$6:$B$300,$A490,'Fox'!$F$6:$F$300,"Concluído")+COUNTIFS('Bruna'!$B$6:$B$300,$A490,'Bruna'!$F$6:$F$300,"Concluído")+COUNTIFS('Stella'!$B$6:$B$300,$A490,'Stella'!$F$6:$F$300,"Concluído")+COUNTIFS('Igor'!$B$6:$B$300,$A490,'Igor'!$F$6:$F$300,"Concluído"))&amp;" / "&amp;(COUNTIF('Clarice'!$B$6:$B$300,$A490)+COUNTIF('Luisa'!$B$6:$B$300,$A490)+COUNTIF('Lui'!$B$6:$B$300,$A490)+COUNTIF('Thaís'!$B$6:$B$300,$A490)+COUNTIF('Daniel'!$B$6:$B$300,$A490)+COUNTIF('Fernando'!$B$6:$B$300,$A490)+COUNTIF('Stephanie'!$B$6:$B$300,$A490)+COUNTIF('Fox'!$B$6:$B$300,$A490)+COUNTIF('Bruna'!$B$6:$B$300,$A490)+COUNTIF('Stella'!$B$6:$B$300,$A490)+COUNTIF('Igor'!$B$6:$B$300,$A490)))</f>
        <v/>
      </c>
      <c r="P490" s="25">
        <f>IF($A490="","",IF(M490&lt;&gt;"",M490,IF(K490&lt;&gt;"",K490,"")))</f>
        <v/>
      </c>
      <c r="Q490" s="25">
        <f>IF($A490="","",IF(N490&lt;&gt;"",N490,IF(L490&lt;&gt;"",L490,"")))</f>
        <v/>
      </c>
      <c r="S490" s="23">
        <f t="array" ref="S490">IF($A490="","",_xlfn.TEXTJOIN(CHAR(10),TRUE,IF('Clarice'!$B$6:$B$300=$A490,"Clarice"&amp;IF('Clarice'!$E$6:$E$300="",""," : "&amp;'Clarice'!$E$6:$E$300)&amp;" ["&amp;'Clarice'!$F$6:$F$300&amp;"]",""),IF('Luisa'!$B$6:$B$300=$A490,"Luisa"&amp;IF('Luisa'!$E$6:$E$300="",""," : "&amp;'Luisa'!$E$6:$E$300)&amp;" ["&amp;'Luisa'!$F$6:$F$300&amp;"]",""),IF('Lui'!$B$6:$B$300=$A490,"Lui"&amp;IF('Lui'!$E$6:$E$300="",""," : "&amp;'Lui'!$E$6:$E$300)&amp;" ["&amp;'Lui'!$F$6:$F$300&amp;"]",""),IF('Thaís'!$B$6:$B$300=$A490,"Thaís"&amp;IF('Thaís'!$E$6:$E$300="",""," : "&amp;'Thaís'!$E$6:$E$300)&amp;" ["&amp;'Thaís'!$F$6:$F$300&amp;"]",""),IF('Daniel'!$B$6:$B$300=$A490,"Daniel"&amp;IF('Daniel'!$E$6:$E$300="",""," : "&amp;'Daniel'!$E$6:$E$300)&amp;" ["&amp;'Daniel'!$F$6:$F$300&amp;"]",""),IF('Fernando'!$B$6:$B$300=$A490,"Fernando"&amp;IF('Fernando'!$E$6:$E$300="",""," : "&amp;'Fernando'!$E$6:$E$300)&amp;" ["&amp;'Fernando'!$F$6:$F$300&amp;"]",""),IF('Stephanie'!$B$6:$B$300=$A490,"Stephanie"&amp;IF('Stephanie'!$E$6:$E$300="",""," : "&amp;'Stephanie'!$E$6:$E$300)&amp;" ["&amp;'Stephanie'!$F$6:$F$300&amp;"]",""),IF('Fox'!$B$6:$B$300=$A490,"Fox"&amp;IF('Fox'!$E$6:$E$300="",""," : "&amp;'Fox'!$E$6:$E$300)&amp;" ["&amp;'Fox'!$F$6:$F$300&amp;"]",""),IF('Bruna'!$B$6:$B$300=$A490,"Bruna"&amp;IF('Bruna'!$E$6:$E$300="",""," : "&amp;'Bruna'!$E$6:$E$300)&amp;" ["&amp;'Bruna'!$F$6:$F$300&amp;"]",""),IF('Stella'!$B$6:$B$300=$A490,"Stella"&amp;IF('Stella'!$E$6:$E$300="",""," : "&amp;'Stella'!$E$6:$E$300)&amp;" ["&amp;'Stella'!$F$6:$F$300&amp;"]",""),IF('Igor'!$B$6:$B$300=$A490,"Igor"&amp;IF('Igor'!$E$6:$E$300="",""," : "&amp;'Igor'!$E$6:$E$300)&amp;" ["&amp;'Igor'!$F$6:$F$300&amp;"]","")))</f>
        <v/>
      </c>
    </row>
    <row r="491">
      <c r="G491" s="23">
        <f>IF($A491="","",_xlfn.TEXTJOIN("; ",TRUE,IF(COUNTIF('Clarice'!$B$6:$B$300,$A491)&gt;0,"Clarice",""),IF(COUNTIF('Luisa'!$B$6:$B$300,$A491)&gt;0,"Luisa",""),IF(COUNTIF('Lui'!$B$6:$B$300,$A491)&gt;0,"Lui",""),IF(COUNTIF('Thaís'!$B$6:$B$300,$A491)&gt;0,"Thaís",""),IF(COUNTIF('Daniel'!$B$6:$B$300,$A491)&gt;0,"Daniel",""),IF(COUNTIF('Fernando'!$B$6:$B$300,$A491)&gt;0,"Fernando",""),IF(COUNTIF('Stephanie'!$B$6:$B$300,$A491)&gt;0,"Stephanie",""),IF(COUNTIF('Fox'!$B$6:$B$300,$A491)&gt;0,"Fox",""),IF(COUNTIF('Bruna'!$B$6:$B$300,$A491)&gt;0,"Bruna",""),IF(COUNTIF('Stella'!$B$6:$B$300,$A491)&gt;0,"Stella",""),IF(COUNTIF('Igor'!$B$6:$B$300,$A491)&gt;0,"Igor","")))</f>
        <v/>
      </c>
      <c r="J491" s="24">
        <f>IF(OR($A491="",(COUNTIF('Clarice'!$B$6:$B$300,$A491)+COUNTIF('Luisa'!$B$6:$B$300,$A491)+COUNTIF('Lui'!$B$6:$B$300,$A491)+COUNTIF('Thaís'!$B$6:$B$300,$A491)+COUNTIF('Daniel'!$B$6:$B$300,$A491)+COUNTIF('Fernando'!$B$6:$B$300,$A491)+COUNTIF('Stephanie'!$B$6:$B$300,$A491)+COUNTIF('Fox'!$B$6:$B$300,$A491)+COUNTIF('Bruna'!$B$6:$B$300,$A491)+COUNTIF('Stella'!$B$6:$B$300,$A491)+COUNTIF('Igor'!$B$6:$B$300,$A491))=0),"",(COUNTIFS('Clarice'!$B$6:$B$300,$A491,'Clarice'!$F$6:$F$300,"Concluído")+COUNTIFS('Luisa'!$B$6:$B$300,$A491,'Luisa'!$F$6:$F$300,"Concluído")+COUNTIFS('Lui'!$B$6:$B$300,$A491,'Lui'!$F$6:$F$300,"Concluído")+COUNTIFS('Thaís'!$B$6:$B$300,$A491,'Thaís'!$F$6:$F$300,"Concluído")+COUNTIFS('Daniel'!$B$6:$B$300,$A491,'Daniel'!$F$6:$F$300,"Concluído")+COUNTIFS('Fernando'!$B$6:$B$300,$A491,'Fernando'!$F$6:$F$300,"Concluído")+COUNTIFS('Stephanie'!$B$6:$B$300,$A491,'Stephanie'!$F$6:$F$300,"Concluído")+COUNTIFS('Fox'!$B$6:$B$300,$A491,'Fox'!$F$6:$F$300,"Concluído")+COUNTIFS('Bruna'!$B$6:$B$300,$A491,'Bruna'!$F$6:$F$300,"Concluído")+COUNTIFS('Stella'!$B$6:$B$300,$A491,'Stella'!$F$6:$F$300,"Concluído")+COUNTIFS('Igor'!$B$6:$B$300,$A491,'Igor'!$F$6:$F$300,"Concluído"))&amp;" / "&amp;(COUNTIF('Clarice'!$B$6:$B$300,$A491)+COUNTIF('Luisa'!$B$6:$B$300,$A491)+COUNTIF('Lui'!$B$6:$B$300,$A491)+COUNTIF('Thaís'!$B$6:$B$300,$A491)+COUNTIF('Daniel'!$B$6:$B$300,$A491)+COUNTIF('Fernando'!$B$6:$B$300,$A491)+COUNTIF('Stephanie'!$B$6:$B$300,$A491)+COUNTIF('Fox'!$B$6:$B$300,$A491)+COUNTIF('Bruna'!$B$6:$B$300,$A491)+COUNTIF('Stella'!$B$6:$B$300,$A491)+COUNTIF('Igor'!$B$6:$B$300,$A491)))</f>
        <v/>
      </c>
      <c r="P491" s="25">
        <f>IF($A491="","",IF(M491&lt;&gt;"",M491,IF(K491&lt;&gt;"",K491,"")))</f>
        <v/>
      </c>
      <c r="Q491" s="25">
        <f>IF($A491="","",IF(N491&lt;&gt;"",N491,IF(L491&lt;&gt;"",L491,"")))</f>
        <v/>
      </c>
      <c r="S491" s="23">
        <f t="array" ref="S491">IF($A491="","",_xlfn.TEXTJOIN(CHAR(10),TRUE,IF('Clarice'!$B$6:$B$300=$A491,"Clarice"&amp;IF('Clarice'!$E$6:$E$300="",""," : "&amp;'Clarice'!$E$6:$E$300)&amp;" ["&amp;'Clarice'!$F$6:$F$300&amp;"]",""),IF('Luisa'!$B$6:$B$300=$A491,"Luisa"&amp;IF('Luisa'!$E$6:$E$300="",""," : "&amp;'Luisa'!$E$6:$E$300)&amp;" ["&amp;'Luisa'!$F$6:$F$300&amp;"]",""),IF('Lui'!$B$6:$B$300=$A491,"Lui"&amp;IF('Lui'!$E$6:$E$300="",""," : "&amp;'Lui'!$E$6:$E$300)&amp;" ["&amp;'Lui'!$F$6:$F$300&amp;"]",""),IF('Thaís'!$B$6:$B$300=$A491,"Thaís"&amp;IF('Thaís'!$E$6:$E$300="",""," : "&amp;'Thaís'!$E$6:$E$300)&amp;" ["&amp;'Thaís'!$F$6:$F$300&amp;"]",""),IF('Daniel'!$B$6:$B$300=$A491,"Daniel"&amp;IF('Daniel'!$E$6:$E$300="",""," : "&amp;'Daniel'!$E$6:$E$300)&amp;" ["&amp;'Daniel'!$F$6:$F$300&amp;"]",""),IF('Fernando'!$B$6:$B$300=$A491,"Fernando"&amp;IF('Fernando'!$E$6:$E$300="",""," : "&amp;'Fernando'!$E$6:$E$300)&amp;" ["&amp;'Fernando'!$F$6:$F$300&amp;"]",""),IF('Stephanie'!$B$6:$B$300=$A491,"Stephanie"&amp;IF('Stephanie'!$E$6:$E$300="",""," : "&amp;'Stephanie'!$E$6:$E$300)&amp;" ["&amp;'Stephanie'!$F$6:$F$300&amp;"]",""),IF('Fox'!$B$6:$B$300=$A491,"Fox"&amp;IF('Fox'!$E$6:$E$300="",""," : "&amp;'Fox'!$E$6:$E$300)&amp;" ["&amp;'Fox'!$F$6:$F$300&amp;"]",""),IF('Bruna'!$B$6:$B$300=$A491,"Bruna"&amp;IF('Bruna'!$E$6:$E$300="",""," : "&amp;'Bruna'!$E$6:$E$300)&amp;" ["&amp;'Bruna'!$F$6:$F$300&amp;"]",""),IF('Stella'!$B$6:$B$300=$A491,"Stella"&amp;IF('Stella'!$E$6:$E$300="",""," : "&amp;'Stella'!$E$6:$E$300)&amp;" ["&amp;'Stella'!$F$6:$F$300&amp;"]",""),IF('Igor'!$B$6:$B$300=$A491,"Igor"&amp;IF('Igor'!$E$6:$E$300="",""," : "&amp;'Igor'!$E$6:$E$300)&amp;" ["&amp;'Igor'!$F$6:$F$300&amp;"]","")))</f>
        <v/>
      </c>
    </row>
    <row r="492">
      <c r="G492" s="23">
        <f>IF($A492="","",_xlfn.TEXTJOIN("; ",TRUE,IF(COUNTIF('Clarice'!$B$6:$B$300,$A492)&gt;0,"Clarice",""),IF(COUNTIF('Luisa'!$B$6:$B$300,$A492)&gt;0,"Luisa",""),IF(COUNTIF('Lui'!$B$6:$B$300,$A492)&gt;0,"Lui",""),IF(COUNTIF('Thaís'!$B$6:$B$300,$A492)&gt;0,"Thaís",""),IF(COUNTIF('Daniel'!$B$6:$B$300,$A492)&gt;0,"Daniel",""),IF(COUNTIF('Fernando'!$B$6:$B$300,$A492)&gt;0,"Fernando",""),IF(COUNTIF('Stephanie'!$B$6:$B$300,$A492)&gt;0,"Stephanie",""),IF(COUNTIF('Fox'!$B$6:$B$300,$A492)&gt;0,"Fox",""),IF(COUNTIF('Bruna'!$B$6:$B$300,$A492)&gt;0,"Bruna",""),IF(COUNTIF('Stella'!$B$6:$B$300,$A492)&gt;0,"Stella",""),IF(COUNTIF('Igor'!$B$6:$B$300,$A492)&gt;0,"Igor","")))</f>
        <v/>
      </c>
      <c r="J492" s="24">
        <f>IF(OR($A492="",(COUNTIF('Clarice'!$B$6:$B$300,$A492)+COUNTIF('Luisa'!$B$6:$B$300,$A492)+COUNTIF('Lui'!$B$6:$B$300,$A492)+COUNTIF('Thaís'!$B$6:$B$300,$A492)+COUNTIF('Daniel'!$B$6:$B$300,$A492)+COUNTIF('Fernando'!$B$6:$B$300,$A492)+COUNTIF('Stephanie'!$B$6:$B$300,$A492)+COUNTIF('Fox'!$B$6:$B$300,$A492)+COUNTIF('Bruna'!$B$6:$B$300,$A492)+COUNTIF('Stella'!$B$6:$B$300,$A492)+COUNTIF('Igor'!$B$6:$B$300,$A492))=0),"",(COUNTIFS('Clarice'!$B$6:$B$300,$A492,'Clarice'!$F$6:$F$300,"Concluído")+COUNTIFS('Luisa'!$B$6:$B$300,$A492,'Luisa'!$F$6:$F$300,"Concluído")+COUNTIFS('Lui'!$B$6:$B$300,$A492,'Lui'!$F$6:$F$300,"Concluído")+COUNTIFS('Thaís'!$B$6:$B$300,$A492,'Thaís'!$F$6:$F$300,"Concluído")+COUNTIFS('Daniel'!$B$6:$B$300,$A492,'Daniel'!$F$6:$F$300,"Concluído")+COUNTIFS('Fernando'!$B$6:$B$300,$A492,'Fernando'!$F$6:$F$300,"Concluído")+COUNTIFS('Stephanie'!$B$6:$B$300,$A492,'Stephanie'!$F$6:$F$300,"Concluído")+COUNTIFS('Fox'!$B$6:$B$300,$A492,'Fox'!$F$6:$F$300,"Concluído")+COUNTIFS('Bruna'!$B$6:$B$300,$A492,'Bruna'!$F$6:$F$300,"Concluído")+COUNTIFS('Stella'!$B$6:$B$300,$A492,'Stella'!$F$6:$F$300,"Concluído")+COUNTIFS('Igor'!$B$6:$B$300,$A492,'Igor'!$F$6:$F$300,"Concluído"))&amp;" / "&amp;(COUNTIF('Clarice'!$B$6:$B$300,$A492)+COUNTIF('Luisa'!$B$6:$B$300,$A492)+COUNTIF('Lui'!$B$6:$B$300,$A492)+COUNTIF('Thaís'!$B$6:$B$300,$A492)+COUNTIF('Daniel'!$B$6:$B$300,$A492)+COUNTIF('Fernando'!$B$6:$B$300,$A492)+COUNTIF('Stephanie'!$B$6:$B$300,$A492)+COUNTIF('Fox'!$B$6:$B$300,$A492)+COUNTIF('Bruna'!$B$6:$B$300,$A492)+COUNTIF('Stella'!$B$6:$B$300,$A492)+COUNTIF('Igor'!$B$6:$B$300,$A492)))</f>
        <v/>
      </c>
      <c r="P492" s="25">
        <f>IF($A492="","",IF(M492&lt;&gt;"",M492,IF(K492&lt;&gt;"",K492,"")))</f>
        <v/>
      </c>
      <c r="Q492" s="25">
        <f>IF($A492="","",IF(N492&lt;&gt;"",N492,IF(L492&lt;&gt;"",L492,"")))</f>
        <v/>
      </c>
      <c r="S492" s="23">
        <f t="array" ref="S492">IF($A492="","",_xlfn.TEXTJOIN(CHAR(10),TRUE,IF('Clarice'!$B$6:$B$300=$A492,"Clarice"&amp;IF('Clarice'!$E$6:$E$300="",""," : "&amp;'Clarice'!$E$6:$E$300)&amp;" ["&amp;'Clarice'!$F$6:$F$300&amp;"]",""),IF('Luisa'!$B$6:$B$300=$A492,"Luisa"&amp;IF('Luisa'!$E$6:$E$300="",""," : "&amp;'Luisa'!$E$6:$E$300)&amp;" ["&amp;'Luisa'!$F$6:$F$300&amp;"]",""),IF('Lui'!$B$6:$B$300=$A492,"Lui"&amp;IF('Lui'!$E$6:$E$300="",""," : "&amp;'Lui'!$E$6:$E$300)&amp;" ["&amp;'Lui'!$F$6:$F$300&amp;"]",""),IF('Thaís'!$B$6:$B$300=$A492,"Thaís"&amp;IF('Thaís'!$E$6:$E$300="",""," : "&amp;'Thaís'!$E$6:$E$300)&amp;" ["&amp;'Thaís'!$F$6:$F$300&amp;"]",""),IF('Daniel'!$B$6:$B$300=$A492,"Daniel"&amp;IF('Daniel'!$E$6:$E$300="",""," : "&amp;'Daniel'!$E$6:$E$300)&amp;" ["&amp;'Daniel'!$F$6:$F$300&amp;"]",""),IF('Fernando'!$B$6:$B$300=$A492,"Fernando"&amp;IF('Fernando'!$E$6:$E$300="",""," : "&amp;'Fernando'!$E$6:$E$300)&amp;" ["&amp;'Fernando'!$F$6:$F$300&amp;"]",""),IF('Stephanie'!$B$6:$B$300=$A492,"Stephanie"&amp;IF('Stephanie'!$E$6:$E$300="",""," : "&amp;'Stephanie'!$E$6:$E$300)&amp;" ["&amp;'Stephanie'!$F$6:$F$300&amp;"]",""),IF('Fox'!$B$6:$B$300=$A492,"Fox"&amp;IF('Fox'!$E$6:$E$300="",""," : "&amp;'Fox'!$E$6:$E$300)&amp;" ["&amp;'Fox'!$F$6:$F$300&amp;"]",""),IF('Bruna'!$B$6:$B$300=$A492,"Bruna"&amp;IF('Bruna'!$E$6:$E$300="",""," : "&amp;'Bruna'!$E$6:$E$300)&amp;" ["&amp;'Bruna'!$F$6:$F$300&amp;"]",""),IF('Stella'!$B$6:$B$300=$A492,"Stella"&amp;IF('Stella'!$E$6:$E$300="",""," : "&amp;'Stella'!$E$6:$E$300)&amp;" ["&amp;'Stella'!$F$6:$F$300&amp;"]",""),IF('Igor'!$B$6:$B$300=$A492,"Igor"&amp;IF('Igor'!$E$6:$E$300="",""," : "&amp;'Igor'!$E$6:$E$300)&amp;" ["&amp;'Igor'!$F$6:$F$300&amp;"]","")))</f>
        <v/>
      </c>
    </row>
    <row r="493">
      <c r="G493" s="23">
        <f>IF($A493="","",_xlfn.TEXTJOIN("; ",TRUE,IF(COUNTIF('Clarice'!$B$6:$B$300,$A493)&gt;0,"Clarice",""),IF(COUNTIF('Luisa'!$B$6:$B$300,$A493)&gt;0,"Luisa",""),IF(COUNTIF('Lui'!$B$6:$B$300,$A493)&gt;0,"Lui",""),IF(COUNTIF('Thaís'!$B$6:$B$300,$A493)&gt;0,"Thaís",""),IF(COUNTIF('Daniel'!$B$6:$B$300,$A493)&gt;0,"Daniel",""),IF(COUNTIF('Fernando'!$B$6:$B$300,$A493)&gt;0,"Fernando",""),IF(COUNTIF('Stephanie'!$B$6:$B$300,$A493)&gt;0,"Stephanie",""),IF(COUNTIF('Fox'!$B$6:$B$300,$A493)&gt;0,"Fox",""),IF(COUNTIF('Bruna'!$B$6:$B$300,$A493)&gt;0,"Bruna",""),IF(COUNTIF('Stella'!$B$6:$B$300,$A493)&gt;0,"Stella",""),IF(COUNTIF('Igor'!$B$6:$B$300,$A493)&gt;0,"Igor","")))</f>
        <v/>
      </c>
      <c r="J493" s="24">
        <f>IF(OR($A493="",(COUNTIF('Clarice'!$B$6:$B$300,$A493)+COUNTIF('Luisa'!$B$6:$B$300,$A493)+COUNTIF('Lui'!$B$6:$B$300,$A493)+COUNTIF('Thaís'!$B$6:$B$300,$A493)+COUNTIF('Daniel'!$B$6:$B$300,$A493)+COUNTIF('Fernando'!$B$6:$B$300,$A493)+COUNTIF('Stephanie'!$B$6:$B$300,$A493)+COUNTIF('Fox'!$B$6:$B$300,$A493)+COUNTIF('Bruna'!$B$6:$B$300,$A493)+COUNTIF('Stella'!$B$6:$B$300,$A493)+COUNTIF('Igor'!$B$6:$B$300,$A493))=0),"",(COUNTIFS('Clarice'!$B$6:$B$300,$A493,'Clarice'!$F$6:$F$300,"Concluído")+COUNTIFS('Luisa'!$B$6:$B$300,$A493,'Luisa'!$F$6:$F$300,"Concluído")+COUNTIFS('Lui'!$B$6:$B$300,$A493,'Lui'!$F$6:$F$300,"Concluído")+COUNTIFS('Thaís'!$B$6:$B$300,$A493,'Thaís'!$F$6:$F$300,"Concluído")+COUNTIFS('Daniel'!$B$6:$B$300,$A493,'Daniel'!$F$6:$F$300,"Concluído")+COUNTIFS('Fernando'!$B$6:$B$300,$A493,'Fernando'!$F$6:$F$300,"Concluído")+COUNTIFS('Stephanie'!$B$6:$B$300,$A493,'Stephanie'!$F$6:$F$300,"Concluído")+COUNTIFS('Fox'!$B$6:$B$300,$A493,'Fox'!$F$6:$F$300,"Concluído")+COUNTIFS('Bruna'!$B$6:$B$300,$A493,'Bruna'!$F$6:$F$300,"Concluído")+COUNTIFS('Stella'!$B$6:$B$300,$A493,'Stella'!$F$6:$F$300,"Concluído")+COUNTIFS('Igor'!$B$6:$B$300,$A493,'Igor'!$F$6:$F$300,"Concluído"))&amp;" / "&amp;(COUNTIF('Clarice'!$B$6:$B$300,$A493)+COUNTIF('Luisa'!$B$6:$B$300,$A493)+COUNTIF('Lui'!$B$6:$B$300,$A493)+COUNTIF('Thaís'!$B$6:$B$300,$A493)+COUNTIF('Daniel'!$B$6:$B$300,$A493)+COUNTIF('Fernando'!$B$6:$B$300,$A493)+COUNTIF('Stephanie'!$B$6:$B$300,$A493)+COUNTIF('Fox'!$B$6:$B$300,$A493)+COUNTIF('Bruna'!$B$6:$B$300,$A493)+COUNTIF('Stella'!$B$6:$B$300,$A493)+COUNTIF('Igor'!$B$6:$B$300,$A493)))</f>
        <v/>
      </c>
      <c r="P493" s="25">
        <f>IF($A493="","",IF(M493&lt;&gt;"",M493,IF(K493&lt;&gt;"",K493,"")))</f>
        <v/>
      </c>
      <c r="Q493" s="25">
        <f>IF($A493="","",IF(N493&lt;&gt;"",N493,IF(L493&lt;&gt;"",L493,"")))</f>
        <v/>
      </c>
      <c r="S493" s="23">
        <f t="array" ref="S493">IF($A493="","",_xlfn.TEXTJOIN(CHAR(10),TRUE,IF('Clarice'!$B$6:$B$300=$A493,"Clarice"&amp;IF('Clarice'!$E$6:$E$300="",""," : "&amp;'Clarice'!$E$6:$E$300)&amp;" ["&amp;'Clarice'!$F$6:$F$300&amp;"]",""),IF('Luisa'!$B$6:$B$300=$A493,"Luisa"&amp;IF('Luisa'!$E$6:$E$300="",""," : "&amp;'Luisa'!$E$6:$E$300)&amp;" ["&amp;'Luisa'!$F$6:$F$300&amp;"]",""),IF('Lui'!$B$6:$B$300=$A493,"Lui"&amp;IF('Lui'!$E$6:$E$300="",""," : "&amp;'Lui'!$E$6:$E$300)&amp;" ["&amp;'Lui'!$F$6:$F$300&amp;"]",""),IF('Thaís'!$B$6:$B$300=$A493,"Thaís"&amp;IF('Thaís'!$E$6:$E$300="",""," : "&amp;'Thaís'!$E$6:$E$300)&amp;" ["&amp;'Thaís'!$F$6:$F$300&amp;"]",""),IF('Daniel'!$B$6:$B$300=$A493,"Daniel"&amp;IF('Daniel'!$E$6:$E$300="",""," : "&amp;'Daniel'!$E$6:$E$300)&amp;" ["&amp;'Daniel'!$F$6:$F$300&amp;"]",""),IF('Fernando'!$B$6:$B$300=$A493,"Fernando"&amp;IF('Fernando'!$E$6:$E$300="",""," : "&amp;'Fernando'!$E$6:$E$300)&amp;" ["&amp;'Fernando'!$F$6:$F$300&amp;"]",""),IF('Stephanie'!$B$6:$B$300=$A493,"Stephanie"&amp;IF('Stephanie'!$E$6:$E$300="",""," : "&amp;'Stephanie'!$E$6:$E$300)&amp;" ["&amp;'Stephanie'!$F$6:$F$300&amp;"]",""),IF('Fox'!$B$6:$B$300=$A493,"Fox"&amp;IF('Fox'!$E$6:$E$300="",""," : "&amp;'Fox'!$E$6:$E$300)&amp;" ["&amp;'Fox'!$F$6:$F$300&amp;"]",""),IF('Bruna'!$B$6:$B$300=$A493,"Bruna"&amp;IF('Bruna'!$E$6:$E$300="",""," : "&amp;'Bruna'!$E$6:$E$300)&amp;" ["&amp;'Bruna'!$F$6:$F$300&amp;"]",""),IF('Stella'!$B$6:$B$300=$A493,"Stella"&amp;IF('Stella'!$E$6:$E$300="",""," : "&amp;'Stella'!$E$6:$E$300)&amp;" ["&amp;'Stella'!$F$6:$F$300&amp;"]",""),IF('Igor'!$B$6:$B$300=$A493,"Igor"&amp;IF('Igor'!$E$6:$E$300="",""," : "&amp;'Igor'!$E$6:$E$300)&amp;" ["&amp;'Igor'!$F$6:$F$300&amp;"]","")))</f>
        <v/>
      </c>
    </row>
    <row r="494">
      <c r="G494" s="23">
        <f>IF($A494="","",_xlfn.TEXTJOIN("; ",TRUE,IF(COUNTIF('Clarice'!$B$6:$B$300,$A494)&gt;0,"Clarice",""),IF(COUNTIF('Luisa'!$B$6:$B$300,$A494)&gt;0,"Luisa",""),IF(COUNTIF('Lui'!$B$6:$B$300,$A494)&gt;0,"Lui",""),IF(COUNTIF('Thaís'!$B$6:$B$300,$A494)&gt;0,"Thaís",""),IF(COUNTIF('Daniel'!$B$6:$B$300,$A494)&gt;0,"Daniel",""),IF(COUNTIF('Fernando'!$B$6:$B$300,$A494)&gt;0,"Fernando",""),IF(COUNTIF('Stephanie'!$B$6:$B$300,$A494)&gt;0,"Stephanie",""),IF(COUNTIF('Fox'!$B$6:$B$300,$A494)&gt;0,"Fox",""),IF(COUNTIF('Bruna'!$B$6:$B$300,$A494)&gt;0,"Bruna",""),IF(COUNTIF('Stella'!$B$6:$B$300,$A494)&gt;0,"Stella",""),IF(COUNTIF('Igor'!$B$6:$B$300,$A494)&gt;0,"Igor","")))</f>
        <v/>
      </c>
      <c r="J494" s="24">
        <f>IF(OR($A494="",(COUNTIF('Clarice'!$B$6:$B$300,$A494)+COUNTIF('Luisa'!$B$6:$B$300,$A494)+COUNTIF('Lui'!$B$6:$B$300,$A494)+COUNTIF('Thaís'!$B$6:$B$300,$A494)+COUNTIF('Daniel'!$B$6:$B$300,$A494)+COUNTIF('Fernando'!$B$6:$B$300,$A494)+COUNTIF('Stephanie'!$B$6:$B$300,$A494)+COUNTIF('Fox'!$B$6:$B$300,$A494)+COUNTIF('Bruna'!$B$6:$B$300,$A494)+COUNTIF('Stella'!$B$6:$B$300,$A494)+COUNTIF('Igor'!$B$6:$B$300,$A494))=0),"",(COUNTIFS('Clarice'!$B$6:$B$300,$A494,'Clarice'!$F$6:$F$300,"Concluído")+COUNTIFS('Luisa'!$B$6:$B$300,$A494,'Luisa'!$F$6:$F$300,"Concluído")+COUNTIFS('Lui'!$B$6:$B$300,$A494,'Lui'!$F$6:$F$300,"Concluído")+COUNTIFS('Thaís'!$B$6:$B$300,$A494,'Thaís'!$F$6:$F$300,"Concluído")+COUNTIFS('Daniel'!$B$6:$B$300,$A494,'Daniel'!$F$6:$F$300,"Concluído")+COUNTIFS('Fernando'!$B$6:$B$300,$A494,'Fernando'!$F$6:$F$300,"Concluído")+COUNTIFS('Stephanie'!$B$6:$B$300,$A494,'Stephanie'!$F$6:$F$300,"Concluído")+COUNTIFS('Fox'!$B$6:$B$300,$A494,'Fox'!$F$6:$F$300,"Concluído")+COUNTIFS('Bruna'!$B$6:$B$300,$A494,'Bruna'!$F$6:$F$300,"Concluído")+COUNTIFS('Stella'!$B$6:$B$300,$A494,'Stella'!$F$6:$F$300,"Concluído")+COUNTIFS('Igor'!$B$6:$B$300,$A494,'Igor'!$F$6:$F$300,"Concluído"))&amp;" / "&amp;(COUNTIF('Clarice'!$B$6:$B$300,$A494)+COUNTIF('Luisa'!$B$6:$B$300,$A494)+COUNTIF('Lui'!$B$6:$B$300,$A494)+COUNTIF('Thaís'!$B$6:$B$300,$A494)+COUNTIF('Daniel'!$B$6:$B$300,$A494)+COUNTIF('Fernando'!$B$6:$B$300,$A494)+COUNTIF('Stephanie'!$B$6:$B$300,$A494)+COUNTIF('Fox'!$B$6:$B$300,$A494)+COUNTIF('Bruna'!$B$6:$B$300,$A494)+COUNTIF('Stella'!$B$6:$B$300,$A494)+COUNTIF('Igor'!$B$6:$B$300,$A494)))</f>
        <v/>
      </c>
      <c r="P494" s="25">
        <f>IF($A494="","",IF(M494&lt;&gt;"",M494,IF(K494&lt;&gt;"",K494,"")))</f>
        <v/>
      </c>
      <c r="Q494" s="25">
        <f>IF($A494="","",IF(N494&lt;&gt;"",N494,IF(L494&lt;&gt;"",L494,"")))</f>
        <v/>
      </c>
      <c r="S494" s="23">
        <f t="array" ref="S494">IF($A494="","",_xlfn.TEXTJOIN(CHAR(10),TRUE,IF('Clarice'!$B$6:$B$300=$A494,"Clarice"&amp;IF('Clarice'!$E$6:$E$300="",""," : "&amp;'Clarice'!$E$6:$E$300)&amp;" ["&amp;'Clarice'!$F$6:$F$300&amp;"]",""),IF('Luisa'!$B$6:$B$300=$A494,"Luisa"&amp;IF('Luisa'!$E$6:$E$300="",""," : "&amp;'Luisa'!$E$6:$E$300)&amp;" ["&amp;'Luisa'!$F$6:$F$300&amp;"]",""),IF('Lui'!$B$6:$B$300=$A494,"Lui"&amp;IF('Lui'!$E$6:$E$300="",""," : "&amp;'Lui'!$E$6:$E$300)&amp;" ["&amp;'Lui'!$F$6:$F$300&amp;"]",""),IF('Thaís'!$B$6:$B$300=$A494,"Thaís"&amp;IF('Thaís'!$E$6:$E$300="",""," : "&amp;'Thaís'!$E$6:$E$300)&amp;" ["&amp;'Thaís'!$F$6:$F$300&amp;"]",""),IF('Daniel'!$B$6:$B$300=$A494,"Daniel"&amp;IF('Daniel'!$E$6:$E$300="",""," : "&amp;'Daniel'!$E$6:$E$300)&amp;" ["&amp;'Daniel'!$F$6:$F$300&amp;"]",""),IF('Fernando'!$B$6:$B$300=$A494,"Fernando"&amp;IF('Fernando'!$E$6:$E$300="",""," : "&amp;'Fernando'!$E$6:$E$300)&amp;" ["&amp;'Fernando'!$F$6:$F$300&amp;"]",""),IF('Stephanie'!$B$6:$B$300=$A494,"Stephanie"&amp;IF('Stephanie'!$E$6:$E$300="",""," : "&amp;'Stephanie'!$E$6:$E$300)&amp;" ["&amp;'Stephanie'!$F$6:$F$300&amp;"]",""),IF('Fox'!$B$6:$B$300=$A494,"Fox"&amp;IF('Fox'!$E$6:$E$300="",""," : "&amp;'Fox'!$E$6:$E$300)&amp;" ["&amp;'Fox'!$F$6:$F$300&amp;"]",""),IF('Bruna'!$B$6:$B$300=$A494,"Bruna"&amp;IF('Bruna'!$E$6:$E$300="",""," : "&amp;'Bruna'!$E$6:$E$300)&amp;" ["&amp;'Bruna'!$F$6:$F$300&amp;"]",""),IF('Stella'!$B$6:$B$300=$A494,"Stella"&amp;IF('Stella'!$E$6:$E$300="",""," : "&amp;'Stella'!$E$6:$E$300)&amp;" ["&amp;'Stella'!$F$6:$F$300&amp;"]",""),IF('Igor'!$B$6:$B$300=$A494,"Igor"&amp;IF('Igor'!$E$6:$E$300="",""," : "&amp;'Igor'!$E$6:$E$300)&amp;" ["&amp;'Igor'!$F$6:$F$300&amp;"]","")))</f>
        <v/>
      </c>
    </row>
    <row r="495">
      <c r="G495" s="23">
        <f>IF($A495="","",_xlfn.TEXTJOIN("; ",TRUE,IF(COUNTIF('Clarice'!$B$6:$B$300,$A495)&gt;0,"Clarice",""),IF(COUNTIF('Luisa'!$B$6:$B$300,$A495)&gt;0,"Luisa",""),IF(COUNTIF('Lui'!$B$6:$B$300,$A495)&gt;0,"Lui",""),IF(COUNTIF('Thaís'!$B$6:$B$300,$A495)&gt;0,"Thaís",""),IF(COUNTIF('Daniel'!$B$6:$B$300,$A495)&gt;0,"Daniel",""),IF(COUNTIF('Fernando'!$B$6:$B$300,$A495)&gt;0,"Fernando",""),IF(COUNTIF('Stephanie'!$B$6:$B$300,$A495)&gt;0,"Stephanie",""),IF(COUNTIF('Fox'!$B$6:$B$300,$A495)&gt;0,"Fox",""),IF(COUNTIF('Bruna'!$B$6:$B$300,$A495)&gt;0,"Bruna",""),IF(COUNTIF('Stella'!$B$6:$B$300,$A495)&gt;0,"Stella",""),IF(COUNTIF('Igor'!$B$6:$B$300,$A495)&gt;0,"Igor","")))</f>
        <v/>
      </c>
      <c r="J495" s="24">
        <f>IF(OR($A495="",(COUNTIF('Clarice'!$B$6:$B$300,$A495)+COUNTIF('Luisa'!$B$6:$B$300,$A495)+COUNTIF('Lui'!$B$6:$B$300,$A495)+COUNTIF('Thaís'!$B$6:$B$300,$A495)+COUNTIF('Daniel'!$B$6:$B$300,$A495)+COUNTIF('Fernando'!$B$6:$B$300,$A495)+COUNTIF('Stephanie'!$B$6:$B$300,$A495)+COUNTIF('Fox'!$B$6:$B$300,$A495)+COUNTIF('Bruna'!$B$6:$B$300,$A495)+COUNTIF('Stella'!$B$6:$B$300,$A495)+COUNTIF('Igor'!$B$6:$B$300,$A495))=0),"",(COUNTIFS('Clarice'!$B$6:$B$300,$A495,'Clarice'!$F$6:$F$300,"Concluído")+COUNTIFS('Luisa'!$B$6:$B$300,$A495,'Luisa'!$F$6:$F$300,"Concluído")+COUNTIFS('Lui'!$B$6:$B$300,$A495,'Lui'!$F$6:$F$300,"Concluído")+COUNTIFS('Thaís'!$B$6:$B$300,$A495,'Thaís'!$F$6:$F$300,"Concluído")+COUNTIFS('Daniel'!$B$6:$B$300,$A495,'Daniel'!$F$6:$F$300,"Concluído")+COUNTIFS('Fernando'!$B$6:$B$300,$A495,'Fernando'!$F$6:$F$300,"Concluído")+COUNTIFS('Stephanie'!$B$6:$B$300,$A495,'Stephanie'!$F$6:$F$300,"Concluído")+COUNTIFS('Fox'!$B$6:$B$300,$A495,'Fox'!$F$6:$F$300,"Concluído")+COUNTIFS('Bruna'!$B$6:$B$300,$A495,'Bruna'!$F$6:$F$300,"Concluído")+COUNTIFS('Stella'!$B$6:$B$300,$A495,'Stella'!$F$6:$F$300,"Concluído")+COUNTIFS('Igor'!$B$6:$B$300,$A495,'Igor'!$F$6:$F$300,"Concluído"))&amp;" / "&amp;(COUNTIF('Clarice'!$B$6:$B$300,$A495)+COUNTIF('Luisa'!$B$6:$B$300,$A495)+COUNTIF('Lui'!$B$6:$B$300,$A495)+COUNTIF('Thaís'!$B$6:$B$300,$A495)+COUNTIF('Daniel'!$B$6:$B$300,$A495)+COUNTIF('Fernando'!$B$6:$B$300,$A495)+COUNTIF('Stephanie'!$B$6:$B$300,$A495)+COUNTIF('Fox'!$B$6:$B$300,$A495)+COUNTIF('Bruna'!$B$6:$B$300,$A495)+COUNTIF('Stella'!$B$6:$B$300,$A495)+COUNTIF('Igor'!$B$6:$B$300,$A495)))</f>
        <v/>
      </c>
      <c r="P495" s="25">
        <f>IF($A495="","",IF(M495&lt;&gt;"",M495,IF(K495&lt;&gt;"",K495,"")))</f>
        <v/>
      </c>
      <c r="Q495" s="25">
        <f>IF($A495="","",IF(N495&lt;&gt;"",N495,IF(L495&lt;&gt;"",L495,"")))</f>
        <v/>
      </c>
      <c r="S495" s="23">
        <f t="array" ref="S495">IF($A495="","",_xlfn.TEXTJOIN(CHAR(10),TRUE,IF('Clarice'!$B$6:$B$300=$A495,"Clarice"&amp;IF('Clarice'!$E$6:$E$300="",""," : "&amp;'Clarice'!$E$6:$E$300)&amp;" ["&amp;'Clarice'!$F$6:$F$300&amp;"]",""),IF('Luisa'!$B$6:$B$300=$A495,"Luisa"&amp;IF('Luisa'!$E$6:$E$300="",""," : "&amp;'Luisa'!$E$6:$E$300)&amp;" ["&amp;'Luisa'!$F$6:$F$300&amp;"]",""),IF('Lui'!$B$6:$B$300=$A495,"Lui"&amp;IF('Lui'!$E$6:$E$300="",""," : "&amp;'Lui'!$E$6:$E$300)&amp;" ["&amp;'Lui'!$F$6:$F$300&amp;"]",""),IF('Thaís'!$B$6:$B$300=$A495,"Thaís"&amp;IF('Thaís'!$E$6:$E$300="",""," : "&amp;'Thaís'!$E$6:$E$300)&amp;" ["&amp;'Thaís'!$F$6:$F$300&amp;"]",""),IF('Daniel'!$B$6:$B$300=$A495,"Daniel"&amp;IF('Daniel'!$E$6:$E$300="",""," : "&amp;'Daniel'!$E$6:$E$300)&amp;" ["&amp;'Daniel'!$F$6:$F$300&amp;"]",""),IF('Fernando'!$B$6:$B$300=$A495,"Fernando"&amp;IF('Fernando'!$E$6:$E$300="",""," : "&amp;'Fernando'!$E$6:$E$300)&amp;" ["&amp;'Fernando'!$F$6:$F$300&amp;"]",""),IF('Stephanie'!$B$6:$B$300=$A495,"Stephanie"&amp;IF('Stephanie'!$E$6:$E$300="",""," : "&amp;'Stephanie'!$E$6:$E$300)&amp;" ["&amp;'Stephanie'!$F$6:$F$300&amp;"]",""),IF('Fox'!$B$6:$B$300=$A495,"Fox"&amp;IF('Fox'!$E$6:$E$300="",""," : "&amp;'Fox'!$E$6:$E$300)&amp;" ["&amp;'Fox'!$F$6:$F$300&amp;"]",""),IF('Bruna'!$B$6:$B$300=$A495,"Bruna"&amp;IF('Bruna'!$E$6:$E$300="",""," : "&amp;'Bruna'!$E$6:$E$300)&amp;" ["&amp;'Bruna'!$F$6:$F$300&amp;"]",""),IF('Stella'!$B$6:$B$300=$A495,"Stella"&amp;IF('Stella'!$E$6:$E$300="",""," : "&amp;'Stella'!$E$6:$E$300)&amp;" ["&amp;'Stella'!$F$6:$F$300&amp;"]",""),IF('Igor'!$B$6:$B$300=$A495,"Igor"&amp;IF('Igor'!$E$6:$E$300="",""," : "&amp;'Igor'!$E$6:$E$300)&amp;" ["&amp;'Igor'!$F$6:$F$300&amp;"]","")))</f>
        <v/>
      </c>
    </row>
    <row r="496">
      <c r="G496" s="23">
        <f>IF($A496="","",_xlfn.TEXTJOIN("; ",TRUE,IF(COUNTIF('Clarice'!$B$6:$B$300,$A496)&gt;0,"Clarice",""),IF(COUNTIF('Luisa'!$B$6:$B$300,$A496)&gt;0,"Luisa",""),IF(COUNTIF('Lui'!$B$6:$B$300,$A496)&gt;0,"Lui",""),IF(COUNTIF('Thaís'!$B$6:$B$300,$A496)&gt;0,"Thaís",""),IF(COUNTIF('Daniel'!$B$6:$B$300,$A496)&gt;0,"Daniel",""),IF(COUNTIF('Fernando'!$B$6:$B$300,$A496)&gt;0,"Fernando",""),IF(COUNTIF('Stephanie'!$B$6:$B$300,$A496)&gt;0,"Stephanie",""),IF(COUNTIF('Fox'!$B$6:$B$300,$A496)&gt;0,"Fox",""),IF(COUNTIF('Bruna'!$B$6:$B$300,$A496)&gt;0,"Bruna",""),IF(COUNTIF('Stella'!$B$6:$B$300,$A496)&gt;0,"Stella",""),IF(COUNTIF('Igor'!$B$6:$B$300,$A496)&gt;0,"Igor","")))</f>
        <v/>
      </c>
      <c r="J496" s="24">
        <f>IF(OR($A496="",(COUNTIF('Clarice'!$B$6:$B$300,$A496)+COUNTIF('Luisa'!$B$6:$B$300,$A496)+COUNTIF('Lui'!$B$6:$B$300,$A496)+COUNTIF('Thaís'!$B$6:$B$300,$A496)+COUNTIF('Daniel'!$B$6:$B$300,$A496)+COUNTIF('Fernando'!$B$6:$B$300,$A496)+COUNTIF('Stephanie'!$B$6:$B$300,$A496)+COUNTIF('Fox'!$B$6:$B$300,$A496)+COUNTIF('Bruna'!$B$6:$B$300,$A496)+COUNTIF('Stella'!$B$6:$B$300,$A496)+COUNTIF('Igor'!$B$6:$B$300,$A496))=0),"",(COUNTIFS('Clarice'!$B$6:$B$300,$A496,'Clarice'!$F$6:$F$300,"Concluído")+COUNTIFS('Luisa'!$B$6:$B$300,$A496,'Luisa'!$F$6:$F$300,"Concluído")+COUNTIFS('Lui'!$B$6:$B$300,$A496,'Lui'!$F$6:$F$300,"Concluído")+COUNTIFS('Thaís'!$B$6:$B$300,$A496,'Thaís'!$F$6:$F$300,"Concluído")+COUNTIFS('Daniel'!$B$6:$B$300,$A496,'Daniel'!$F$6:$F$300,"Concluído")+COUNTIFS('Fernando'!$B$6:$B$300,$A496,'Fernando'!$F$6:$F$300,"Concluído")+COUNTIFS('Stephanie'!$B$6:$B$300,$A496,'Stephanie'!$F$6:$F$300,"Concluído")+COUNTIFS('Fox'!$B$6:$B$300,$A496,'Fox'!$F$6:$F$300,"Concluído")+COUNTIFS('Bruna'!$B$6:$B$300,$A496,'Bruna'!$F$6:$F$300,"Concluído")+COUNTIFS('Stella'!$B$6:$B$300,$A496,'Stella'!$F$6:$F$300,"Concluído")+COUNTIFS('Igor'!$B$6:$B$300,$A496,'Igor'!$F$6:$F$300,"Concluído"))&amp;" / "&amp;(COUNTIF('Clarice'!$B$6:$B$300,$A496)+COUNTIF('Luisa'!$B$6:$B$300,$A496)+COUNTIF('Lui'!$B$6:$B$300,$A496)+COUNTIF('Thaís'!$B$6:$B$300,$A496)+COUNTIF('Daniel'!$B$6:$B$300,$A496)+COUNTIF('Fernando'!$B$6:$B$300,$A496)+COUNTIF('Stephanie'!$B$6:$B$300,$A496)+COUNTIF('Fox'!$B$6:$B$300,$A496)+COUNTIF('Bruna'!$B$6:$B$300,$A496)+COUNTIF('Stella'!$B$6:$B$300,$A496)+COUNTIF('Igor'!$B$6:$B$300,$A496)))</f>
        <v/>
      </c>
      <c r="P496" s="25">
        <f>IF($A496="","",IF(M496&lt;&gt;"",M496,IF(K496&lt;&gt;"",K496,"")))</f>
        <v/>
      </c>
      <c r="Q496" s="25">
        <f>IF($A496="","",IF(N496&lt;&gt;"",N496,IF(L496&lt;&gt;"",L496,"")))</f>
        <v/>
      </c>
      <c r="S496" s="23">
        <f t="array" ref="S496">IF($A496="","",_xlfn.TEXTJOIN(CHAR(10),TRUE,IF('Clarice'!$B$6:$B$300=$A496,"Clarice"&amp;IF('Clarice'!$E$6:$E$300="",""," : "&amp;'Clarice'!$E$6:$E$300)&amp;" ["&amp;'Clarice'!$F$6:$F$300&amp;"]",""),IF('Luisa'!$B$6:$B$300=$A496,"Luisa"&amp;IF('Luisa'!$E$6:$E$300="",""," : "&amp;'Luisa'!$E$6:$E$300)&amp;" ["&amp;'Luisa'!$F$6:$F$300&amp;"]",""),IF('Lui'!$B$6:$B$300=$A496,"Lui"&amp;IF('Lui'!$E$6:$E$300="",""," : "&amp;'Lui'!$E$6:$E$300)&amp;" ["&amp;'Lui'!$F$6:$F$300&amp;"]",""),IF('Thaís'!$B$6:$B$300=$A496,"Thaís"&amp;IF('Thaís'!$E$6:$E$300="",""," : "&amp;'Thaís'!$E$6:$E$300)&amp;" ["&amp;'Thaís'!$F$6:$F$300&amp;"]",""),IF('Daniel'!$B$6:$B$300=$A496,"Daniel"&amp;IF('Daniel'!$E$6:$E$300="",""," : "&amp;'Daniel'!$E$6:$E$300)&amp;" ["&amp;'Daniel'!$F$6:$F$300&amp;"]",""),IF('Fernando'!$B$6:$B$300=$A496,"Fernando"&amp;IF('Fernando'!$E$6:$E$300="",""," : "&amp;'Fernando'!$E$6:$E$300)&amp;" ["&amp;'Fernando'!$F$6:$F$300&amp;"]",""),IF('Stephanie'!$B$6:$B$300=$A496,"Stephanie"&amp;IF('Stephanie'!$E$6:$E$300="",""," : "&amp;'Stephanie'!$E$6:$E$300)&amp;" ["&amp;'Stephanie'!$F$6:$F$300&amp;"]",""),IF('Fox'!$B$6:$B$300=$A496,"Fox"&amp;IF('Fox'!$E$6:$E$300="",""," : "&amp;'Fox'!$E$6:$E$300)&amp;" ["&amp;'Fox'!$F$6:$F$300&amp;"]",""),IF('Bruna'!$B$6:$B$300=$A496,"Bruna"&amp;IF('Bruna'!$E$6:$E$300="",""," : "&amp;'Bruna'!$E$6:$E$300)&amp;" ["&amp;'Bruna'!$F$6:$F$300&amp;"]",""),IF('Stella'!$B$6:$B$300=$A496,"Stella"&amp;IF('Stella'!$E$6:$E$300="",""," : "&amp;'Stella'!$E$6:$E$300)&amp;" ["&amp;'Stella'!$F$6:$F$300&amp;"]",""),IF('Igor'!$B$6:$B$300=$A496,"Igor"&amp;IF('Igor'!$E$6:$E$300="",""," : "&amp;'Igor'!$E$6:$E$300)&amp;" ["&amp;'Igor'!$F$6:$F$300&amp;"]","")))</f>
        <v/>
      </c>
    </row>
    <row r="497">
      <c r="G497" s="23">
        <f>IF($A497="","",_xlfn.TEXTJOIN("; ",TRUE,IF(COUNTIF('Clarice'!$B$6:$B$300,$A497)&gt;0,"Clarice",""),IF(COUNTIF('Luisa'!$B$6:$B$300,$A497)&gt;0,"Luisa",""),IF(COUNTIF('Lui'!$B$6:$B$300,$A497)&gt;0,"Lui",""),IF(COUNTIF('Thaís'!$B$6:$B$300,$A497)&gt;0,"Thaís",""),IF(COUNTIF('Daniel'!$B$6:$B$300,$A497)&gt;0,"Daniel",""),IF(COUNTIF('Fernando'!$B$6:$B$300,$A497)&gt;0,"Fernando",""),IF(COUNTIF('Stephanie'!$B$6:$B$300,$A497)&gt;0,"Stephanie",""),IF(COUNTIF('Fox'!$B$6:$B$300,$A497)&gt;0,"Fox",""),IF(COUNTIF('Bruna'!$B$6:$B$300,$A497)&gt;0,"Bruna",""),IF(COUNTIF('Stella'!$B$6:$B$300,$A497)&gt;0,"Stella",""),IF(COUNTIF('Igor'!$B$6:$B$300,$A497)&gt;0,"Igor","")))</f>
        <v/>
      </c>
      <c r="J497" s="24">
        <f>IF(OR($A497="",(COUNTIF('Clarice'!$B$6:$B$300,$A497)+COUNTIF('Luisa'!$B$6:$B$300,$A497)+COUNTIF('Lui'!$B$6:$B$300,$A497)+COUNTIF('Thaís'!$B$6:$B$300,$A497)+COUNTIF('Daniel'!$B$6:$B$300,$A497)+COUNTIF('Fernando'!$B$6:$B$300,$A497)+COUNTIF('Stephanie'!$B$6:$B$300,$A497)+COUNTIF('Fox'!$B$6:$B$300,$A497)+COUNTIF('Bruna'!$B$6:$B$300,$A497)+COUNTIF('Stella'!$B$6:$B$300,$A497)+COUNTIF('Igor'!$B$6:$B$300,$A497))=0),"",(COUNTIFS('Clarice'!$B$6:$B$300,$A497,'Clarice'!$F$6:$F$300,"Concluído")+COUNTIFS('Luisa'!$B$6:$B$300,$A497,'Luisa'!$F$6:$F$300,"Concluído")+COUNTIFS('Lui'!$B$6:$B$300,$A497,'Lui'!$F$6:$F$300,"Concluído")+COUNTIFS('Thaís'!$B$6:$B$300,$A497,'Thaís'!$F$6:$F$300,"Concluído")+COUNTIFS('Daniel'!$B$6:$B$300,$A497,'Daniel'!$F$6:$F$300,"Concluído")+COUNTIFS('Fernando'!$B$6:$B$300,$A497,'Fernando'!$F$6:$F$300,"Concluído")+COUNTIFS('Stephanie'!$B$6:$B$300,$A497,'Stephanie'!$F$6:$F$300,"Concluído")+COUNTIFS('Fox'!$B$6:$B$300,$A497,'Fox'!$F$6:$F$300,"Concluído")+COUNTIFS('Bruna'!$B$6:$B$300,$A497,'Bruna'!$F$6:$F$300,"Concluído")+COUNTIFS('Stella'!$B$6:$B$300,$A497,'Stella'!$F$6:$F$300,"Concluído")+COUNTIFS('Igor'!$B$6:$B$300,$A497,'Igor'!$F$6:$F$300,"Concluído"))&amp;" / "&amp;(COUNTIF('Clarice'!$B$6:$B$300,$A497)+COUNTIF('Luisa'!$B$6:$B$300,$A497)+COUNTIF('Lui'!$B$6:$B$300,$A497)+COUNTIF('Thaís'!$B$6:$B$300,$A497)+COUNTIF('Daniel'!$B$6:$B$300,$A497)+COUNTIF('Fernando'!$B$6:$B$300,$A497)+COUNTIF('Stephanie'!$B$6:$B$300,$A497)+COUNTIF('Fox'!$B$6:$B$300,$A497)+COUNTIF('Bruna'!$B$6:$B$300,$A497)+COUNTIF('Stella'!$B$6:$B$300,$A497)+COUNTIF('Igor'!$B$6:$B$300,$A497)))</f>
        <v/>
      </c>
      <c r="P497" s="25">
        <f>IF($A497="","",IF(M497&lt;&gt;"",M497,IF(K497&lt;&gt;"",K497,"")))</f>
        <v/>
      </c>
      <c r="Q497" s="25">
        <f>IF($A497="","",IF(N497&lt;&gt;"",N497,IF(L497&lt;&gt;"",L497,"")))</f>
        <v/>
      </c>
      <c r="S497" s="23">
        <f t="array" ref="S497">IF($A497="","",_xlfn.TEXTJOIN(CHAR(10),TRUE,IF('Clarice'!$B$6:$B$300=$A497,"Clarice"&amp;IF('Clarice'!$E$6:$E$300="",""," : "&amp;'Clarice'!$E$6:$E$300)&amp;" ["&amp;'Clarice'!$F$6:$F$300&amp;"]",""),IF('Luisa'!$B$6:$B$300=$A497,"Luisa"&amp;IF('Luisa'!$E$6:$E$300="",""," : "&amp;'Luisa'!$E$6:$E$300)&amp;" ["&amp;'Luisa'!$F$6:$F$300&amp;"]",""),IF('Lui'!$B$6:$B$300=$A497,"Lui"&amp;IF('Lui'!$E$6:$E$300="",""," : "&amp;'Lui'!$E$6:$E$300)&amp;" ["&amp;'Lui'!$F$6:$F$300&amp;"]",""),IF('Thaís'!$B$6:$B$300=$A497,"Thaís"&amp;IF('Thaís'!$E$6:$E$300="",""," : "&amp;'Thaís'!$E$6:$E$300)&amp;" ["&amp;'Thaís'!$F$6:$F$300&amp;"]",""),IF('Daniel'!$B$6:$B$300=$A497,"Daniel"&amp;IF('Daniel'!$E$6:$E$300="",""," : "&amp;'Daniel'!$E$6:$E$300)&amp;" ["&amp;'Daniel'!$F$6:$F$300&amp;"]",""),IF('Fernando'!$B$6:$B$300=$A497,"Fernando"&amp;IF('Fernando'!$E$6:$E$300="",""," : "&amp;'Fernando'!$E$6:$E$300)&amp;" ["&amp;'Fernando'!$F$6:$F$300&amp;"]",""),IF('Stephanie'!$B$6:$B$300=$A497,"Stephanie"&amp;IF('Stephanie'!$E$6:$E$300="",""," : "&amp;'Stephanie'!$E$6:$E$300)&amp;" ["&amp;'Stephanie'!$F$6:$F$300&amp;"]",""),IF('Fox'!$B$6:$B$300=$A497,"Fox"&amp;IF('Fox'!$E$6:$E$300="",""," : "&amp;'Fox'!$E$6:$E$300)&amp;" ["&amp;'Fox'!$F$6:$F$300&amp;"]",""),IF('Bruna'!$B$6:$B$300=$A497,"Bruna"&amp;IF('Bruna'!$E$6:$E$300="",""," : "&amp;'Bruna'!$E$6:$E$300)&amp;" ["&amp;'Bruna'!$F$6:$F$300&amp;"]",""),IF('Stella'!$B$6:$B$300=$A497,"Stella"&amp;IF('Stella'!$E$6:$E$300="",""," : "&amp;'Stella'!$E$6:$E$300)&amp;" ["&amp;'Stella'!$F$6:$F$300&amp;"]",""),IF('Igor'!$B$6:$B$300=$A497,"Igor"&amp;IF('Igor'!$E$6:$E$300="",""," : "&amp;'Igor'!$E$6:$E$300)&amp;" ["&amp;'Igor'!$F$6:$F$300&amp;"]","")))</f>
        <v/>
      </c>
    </row>
    <row r="498">
      <c r="G498" s="23">
        <f>IF($A498="","",_xlfn.TEXTJOIN("; ",TRUE,IF(COUNTIF('Clarice'!$B$6:$B$300,$A498)&gt;0,"Clarice",""),IF(COUNTIF('Luisa'!$B$6:$B$300,$A498)&gt;0,"Luisa",""),IF(COUNTIF('Lui'!$B$6:$B$300,$A498)&gt;0,"Lui",""),IF(COUNTIF('Thaís'!$B$6:$B$300,$A498)&gt;0,"Thaís",""),IF(COUNTIF('Daniel'!$B$6:$B$300,$A498)&gt;0,"Daniel",""),IF(COUNTIF('Fernando'!$B$6:$B$300,$A498)&gt;0,"Fernando",""),IF(COUNTIF('Stephanie'!$B$6:$B$300,$A498)&gt;0,"Stephanie",""),IF(COUNTIF('Fox'!$B$6:$B$300,$A498)&gt;0,"Fox",""),IF(COUNTIF('Bruna'!$B$6:$B$300,$A498)&gt;0,"Bruna",""),IF(COUNTIF('Stella'!$B$6:$B$300,$A498)&gt;0,"Stella",""),IF(COUNTIF('Igor'!$B$6:$B$300,$A498)&gt;0,"Igor","")))</f>
        <v/>
      </c>
      <c r="J498" s="24">
        <f>IF(OR($A498="",(COUNTIF('Clarice'!$B$6:$B$300,$A498)+COUNTIF('Luisa'!$B$6:$B$300,$A498)+COUNTIF('Lui'!$B$6:$B$300,$A498)+COUNTIF('Thaís'!$B$6:$B$300,$A498)+COUNTIF('Daniel'!$B$6:$B$300,$A498)+COUNTIF('Fernando'!$B$6:$B$300,$A498)+COUNTIF('Stephanie'!$B$6:$B$300,$A498)+COUNTIF('Fox'!$B$6:$B$300,$A498)+COUNTIF('Bruna'!$B$6:$B$300,$A498)+COUNTIF('Stella'!$B$6:$B$300,$A498)+COUNTIF('Igor'!$B$6:$B$300,$A498))=0),"",(COUNTIFS('Clarice'!$B$6:$B$300,$A498,'Clarice'!$F$6:$F$300,"Concluído")+COUNTIFS('Luisa'!$B$6:$B$300,$A498,'Luisa'!$F$6:$F$300,"Concluído")+COUNTIFS('Lui'!$B$6:$B$300,$A498,'Lui'!$F$6:$F$300,"Concluído")+COUNTIFS('Thaís'!$B$6:$B$300,$A498,'Thaís'!$F$6:$F$300,"Concluído")+COUNTIFS('Daniel'!$B$6:$B$300,$A498,'Daniel'!$F$6:$F$300,"Concluído")+COUNTIFS('Fernando'!$B$6:$B$300,$A498,'Fernando'!$F$6:$F$300,"Concluído")+COUNTIFS('Stephanie'!$B$6:$B$300,$A498,'Stephanie'!$F$6:$F$300,"Concluído")+COUNTIFS('Fox'!$B$6:$B$300,$A498,'Fox'!$F$6:$F$300,"Concluído")+COUNTIFS('Bruna'!$B$6:$B$300,$A498,'Bruna'!$F$6:$F$300,"Concluído")+COUNTIFS('Stella'!$B$6:$B$300,$A498,'Stella'!$F$6:$F$300,"Concluído")+COUNTIFS('Igor'!$B$6:$B$300,$A498,'Igor'!$F$6:$F$300,"Concluído"))&amp;" / "&amp;(COUNTIF('Clarice'!$B$6:$B$300,$A498)+COUNTIF('Luisa'!$B$6:$B$300,$A498)+COUNTIF('Lui'!$B$6:$B$300,$A498)+COUNTIF('Thaís'!$B$6:$B$300,$A498)+COUNTIF('Daniel'!$B$6:$B$300,$A498)+COUNTIF('Fernando'!$B$6:$B$300,$A498)+COUNTIF('Stephanie'!$B$6:$B$300,$A498)+COUNTIF('Fox'!$B$6:$B$300,$A498)+COUNTIF('Bruna'!$B$6:$B$300,$A498)+COUNTIF('Stella'!$B$6:$B$300,$A498)+COUNTIF('Igor'!$B$6:$B$300,$A498)))</f>
        <v/>
      </c>
      <c r="P498" s="25">
        <f>IF($A498="","",IF(M498&lt;&gt;"",M498,IF(K498&lt;&gt;"",K498,"")))</f>
        <v/>
      </c>
      <c r="Q498" s="25">
        <f>IF($A498="","",IF(N498&lt;&gt;"",N498,IF(L498&lt;&gt;"",L498,"")))</f>
        <v/>
      </c>
      <c r="S498" s="23">
        <f t="array" ref="S498">IF($A498="","",_xlfn.TEXTJOIN(CHAR(10),TRUE,IF('Clarice'!$B$6:$B$300=$A498,"Clarice"&amp;IF('Clarice'!$E$6:$E$300="",""," : "&amp;'Clarice'!$E$6:$E$300)&amp;" ["&amp;'Clarice'!$F$6:$F$300&amp;"]",""),IF('Luisa'!$B$6:$B$300=$A498,"Luisa"&amp;IF('Luisa'!$E$6:$E$300="",""," : "&amp;'Luisa'!$E$6:$E$300)&amp;" ["&amp;'Luisa'!$F$6:$F$300&amp;"]",""),IF('Lui'!$B$6:$B$300=$A498,"Lui"&amp;IF('Lui'!$E$6:$E$300="",""," : "&amp;'Lui'!$E$6:$E$300)&amp;" ["&amp;'Lui'!$F$6:$F$300&amp;"]",""),IF('Thaís'!$B$6:$B$300=$A498,"Thaís"&amp;IF('Thaís'!$E$6:$E$300="",""," : "&amp;'Thaís'!$E$6:$E$300)&amp;" ["&amp;'Thaís'!$F$6:$F$300&amp;"]",""),IF('Daniel'!$B$6:$B$300=$A498,"Daniel"&amp;IF('Daniel'!$E$6:$E$300="",""," : "&amp;'Daniel'!$E$6:$E$300)&amp;" ["&amp;'Daniel'!$F$6:$F$300&amp;"]",""),IF('Fernando'!$B$6:$B$300=$A498,"Fernando"&amp;IF('Fernando'!$E$6:$E$300="",""," : "&amp;'Fernando'!$E$6:$E$300)&amp;" ["&amp;'Fernando'!$F$6:$F$300&amp;"]",""),IF('Stephanie'!$B$6:$B$300=$A498,"Stephanie"&amp;IF('Stephanie'!$E$6:$E$300="",""," : "&amp;'Stephanie'!$E$6:$E$300)&amp;" ["&amp;'Stephanie'!$F$6:$F$300&amp;"]",""),IF('Fox'!$B$6:$B$300=$A498,"Fox"&amp;IF('Fox'!$E$6:$E$300="",""," : "&amp;'Fox'!$E$6:$E$300)&amp;" ["&amp;'Fox'!$F$6:$F$300&amp;"]",""),IF('Bruna'!$B$6:$B$300=$A498,"Bruna"&amp;IF('Bruna'!$E$6:$E$300="",""," : "&amp;'Bruna'!$E$6:$E$300)&amp;" ["&amp;'Bruna'!$F$6:$F$300&amp;"]",""),IF('Stella'!$B$6:$B$300=$A498,"Stella"&amp;IF('Stella'!$E$6:$E$300="",""," : "&amp;'Stella'!$E$6:$E$300)&amp;" ["&amp;'Stella'!$F$6:$F$300&amp;"]",""),IF('Igor'!$B$6:$B$300=$A498,"Igor"&amp;IF('Igor'!$E$6:$E$300="",""," : "&amp;'Igor'!$E$6:$E$300)&amp;" ["&amp;'Igor'!$F$6:$F$300&amp;"]","")))</f>
        <v/>
      </c>
    </row>
    <row r="499">
      <c r="G499" s="23">
        <f>IF($A499="","",_xlfn.TEXTJOIN("; ",TRUE,IF(COUNTIF('Clarice'!$B$6:$B$300,$A499)&gt;0,"Clarice",""),IF(COUNTIF('Luisa'!$B$6:$B$300,$A499)&gt;0,"Luisa",""),IF(COUNTIF('Lui'!$B$6:$B$300,$A499)&gt;0,"Lui",""),IF(COUNTIF('Thaís'!$B$6:$B$300,$A499)&gt;0,"Thaís",""),IF(COUNTIF('Daniel'!$B$6:$B$300,$A499)&gt;0,"Daniel",""),IF(COUNTIF('Fernando'!$B$6:$B$300,$A499)&gt;0,"Fernando",""),IF(COUNTIF('Stephanie'!$B$6:$B$300,$A499)&gt;0,"Stephanie",""),IF(COUNTIF('Fox'!$B$6:$B$300,$A499)&gt;0,"Fox",""),IF(COUNTIF('Bruna'!$B$6:$B$300,$A499)&gt;0,"Bruna",""),IF(COUNTIF('Stella'!$B$6:$B$300,$A499)&gt;0,"Stella",""),IF(COUNTIF('Igor'!$B$6:$B$300,$A499)&gt;0,"Igor","")))</f>
        <v/>
      </c>
      <c r="J499" s="24">
        <f>IF(OR($A499="",(COUNTIF('Clarice'!$B$6:$B$300,$A499)+COUNTIF('Luisa'!$B$6:$B$300,$A499)+COUNTIF('Lui'!$B$6:$B$300,$A499)+COUNTIF('Thaís'!$B$6:$B$300,$A499)+COUNTIF('Daniel'!$B$6:$B$300,$A499)+COUNTIF('Fernando'!$B$6:$B$300,$A499)+COUNTIF('Stephanie'!$B$6:$B$300,$A499)+COUNTIF('Fox'!$B$6:$B$300,$A499)+COUNTIF('Bruna'!$B$6:$B$300,$A499)+COUNTIF('Stella'!$B$6:$B$300,$A499)+COUNTIF('Igor'!$B$6:$B$300,$A499))=0),"",(COUNTIFS('Clarice'!$B$6:$B$300,$A499,'Clarice'!$F$6:$F$300,"Concluído")+COUNTIFS('Luisa'!$B$6:$B$300,$A499,'Luisa'!$F$6:$F$300,"Concluído")+COUNTIFS('Lui'!$B$6:$B$300,$A499,'Lui'!$F$6:$F$300,"Concluído")+COUNTIFS('Thaís'!$B$6:$B$300,$A499,'Thaís'!$F$6:$F$300,"Concluído")+COUNTIFS('Daniel'!$B$6:$B$300,$A499,'Daniel'!$F$6:$F$300,"Concluído")+COUNTIFS('Fernando'!$B$6:$B$300,$A499,'Fernando'!$F$6:$F$300,"Concluído")+COUNTIFS('Stephanie'!$B$6:$B$300,$A499,'Stephanie'!$F$6:$F$300,"Concluído")+COUNTIFS('Fox'!$B$6:$B$300,$A499,'Fox'!$F$6:$F$300,"Concluído")+COUNTIFS('Bruna'!$B$6:$B$300,$A499,'Bruna'!$F$6:$F$300,"Concluído")+COUNTIFS('Stella'!$B$6:$B$300,$A499,'Stella'!$F$6:$F$300,"Concluído")+COUNTIFS('Igor'!$B$6:$B$300,$A499,'Igor'!$F$6:$F$300,"Concluído"))&amp;" / "&amp;(COUNTIF('Clarice'!$B$6:$B$300,$A499)+COUNTIF('Luisa'!$B$6:$B$300,$A499)+COUNTIF('Lui'!$B$6:$B$300,$A499)+COUNTIF('Thaís'!$B$6:$B$300,$A499)+COUNTIF('Daniel'!$B$6:$B$300,$A499)+COUNTIF('Fernando'!$B$6:$B$300,$A499)+COUNTIF('Stephanie'!$B$6:$B$300,$A499)+COUNTIF('Fox'!$B$6:$B$300,$A499)+COUNTIF('Bruna'!$B$6:$B$300,$A499)+COUNTIF('Stella'!$B$6:$B$300,$A499)+COUNTIF('Igor'!$B$6:$B$300,$A499)))</f>
        <v/>
      </c>
      <c r="P499" s="25">
        <f>IF($A499="","",IF(M499&lt;&gt;"",M499,IF(K499&lt;&gt;"",K499,"")))</f>
        <v/>
      </c>
      <c r="Q499" s="25">
        <f>IF($A499="","",IF(N499&lt;&gt;"",N499,IF(L499&lt;&gt;"",L499,"")))</f>
        <v/>
      </c>
      <c r="S499" s="23">
        <f t="array" ref="S499">IF($A499="","",_xlfn.TEXTJOIN(CHAR(10),TRUE,IF('Clarice'!$B$6:$B$300=$A499,"Clarice"&amp;IF('Clarice'!$E$6:$E$300="",""," : "&amp;'Clarice'!$E$6:$E$300)&amp;" ["&amp;'Clarice'!$F$6:$F$300&amp;"]",""),IF('Luisa'!$B$6:$B$300=$A499,"Luisa"&amp;IF('Luisa'!$E$6:$E$300="",""," : "&amp;'Luisa'!$E$6:$E$300)&amp;" ["&amp;'Luisa'!$F$6:$F$300&amp;"]",""),IF('Lui'!$B$6:$B$300=$A499,"Lui"&amp;IF('Lui'!$E$6:$E$300="",""," : "&amp;'Lui'!$E$6:$E$300)&amp;" ["&amp;'Lui'!$F$6:$F$300&amp;"]",""),IF('Thaís'!$B$6:$B$300=$A499,"Thaís"&amp;IF('Thaís'!$E$6:$E$300="",""," : "&amp;'Thaís'!$E$6:$E$300)&amp;" ["&amp;'Thaís'!$F$6:$F$300&amp;"]",""),IF('Daniel'!$B$6:$B$300=$A499,"Daniel"&amp;IF('Daniel'!$E$6:$E$300="",""," : "&amp;'Daniel'!$E$6:$E$300)&amp;" ["&amp;'Daniel'!$F$6:$F$300&amp;"]",""),IF('Fernando'!$B$6:$B$300=$A499,"Fernando"&amp;IF('Fernando'!$E$6:$E$300="",""," : "&amp;'Fernando'!$E$6:$E$300)&amp;" ["&amp;'Fernando'!$F$6:$F$300&amp;"]",""),IF('Stephanie'!$B$6:$B$300=$A499,"Stephanie"&amp;IF('Stephanie'!$E$6:$E$300="",""," : "&amp;'Stephanie'!$E$6:$E$300)&amp;" ["&amp;'Stephanie'!$F$6:$F$300&amp;"]",""),IF('Fox'!$B$6:$B$300=$A499,"Fox"&amp;IF('Fox'!$E$6:$E$300="",""," : "&amp;'Fox'!$E$6:$E$300)&amp;" ["&amp;'Fox'!$F$6:$F$300&amp;"]",""),IF('Bruna'!$B$6:$B$300=$A499,"Bruna"&amp;IF('Bruna'!$E$6:$E$300="",""," : "&amp;'Bruna'!$E$6:$E$300)&amp;" ["&amp;'Bruna'!$F$6:$F$300&amp;"]",""),IF('Stella'!$B$6:$B$300=$A499,"Stella"&amp;IF('Stella'!$E$6:$E$300="",""," : "&amp;'Stella'!$E$6:$E$300)&amp;" ["&amp;'Stella'!$F$6:$F$300&amp;"]",""),IF('Igor'!$B$6:$B$300=$A499,"Igor"&amp;IF('Igor'!$E$6:$E$300="",""," : "&amp;'Igor'!$E$6:$E$300)&amp;" ["&amp;'Igor'!$F$6:$F$300&amp;"]","")))</f>
        <v/>
      </c>
    </row>
    <row r="500">
      <c r="G500" s="23">
        <f>IF($A500="","",_xlfn.TEXTJOIN("; ",TRUE,IF(COUNTIF('Clarice'!$B$6:$B$300,$A500)&gt;0,"Clarice",""),IF(COUNTIF('Luisa'!$B$6:$B$300,$A500)&gt;0,"Luisa",""),IF(COUNTIF('Lui'!$B$6:$B$300,$A500)&gt;0,"Lui",""),IF(COUNTIF('Thaís'!$B$6:$B$300,$A500)&gt;0,"Thaís",""),IF(COUNTIF('Daniel'!$B$6:$B$300,$A500)&gt;0,"Daniel",""),IF(COUNTIF('Fernando'!$B$6:$B$300,$A500)&gt;0,"Fernando",""),IF(COUNTIF('Stephanie'!$B$6:$B$300,$A500)&gt;0,"Stephanie",""),IF(COUNTIF('Fox'!$B$6:$B$300,$A500)&gt;0,"Fox",""),IF(COUNTIF('Bruna'!$B$6:$B$300,$A500)&gt;0,"Bruna",""),IF(COUNTIF('Stella'!$B$6:$B$300,$A500)&gt;0,"Stella",""),IF(COUNTIF('Igor'!$B$6:$B$300,$A500)&gt;0,"Igor","")))</f>
        <v/>
      </c>
      <c r="J500" s="24">
        <f>IF(OR($A500="",(COUNTIF('Clarice'!$B$6:$B$300,$A500)+COUNTIF('Luisa'!$B$6:$B$300,$A500)+COUNTIF('Lui'!$B$6:$B$300,$A500)+COUNTIF('Thaís'!$B$6:$B$300,$A500)+COUNTIF('Daniel'!$B$6:$B$300,$A500)+COUNTIF('Fernando'!$B$6:$B$300,$A500)+COUNTIF('Stephanie'!$B$6:$B$300,$A500)+COUNTIF('Fox'!$B$6:$B$300,$A500)+COUNTIF('Bruna'!$B$6:$B$300,$A500)+COUNTIF('Stella'!$B$6:$B$300,$A500)+COUNTIF('Igor'!$B$6:$B$300,$A500))=0),"",(COUNTIFS('Clarice'!$B$6:$B$300,$A500,'Clarice'!$F$6:$F$300,"Concluído")+COUNTIFS('Luisa'!$B$6:$B$300,$A500,'Luisa'!$F$6:$F$300,"Concluído")+COUNTIFS('Lui'!$B$6:$B$300,$A500,'Lui'!$F$6:$F$300,"Concluído")+COUNTIFS('Thaís'!$B$6:$B$300,$A500,'Thaís'!$F$6:$F$300,"Concluído")+COUNTIFS('Daniel'!$B$6:$B$300,$A500,'Daniel'!$F$6:$F$300,"Concluído")+COUNTIFS('Fernando'!$B$6:$B$300,$A500,'Fernando'!$F$6:$F$300,"Concluído")+COUNTIFS('Stephanie'!$B$6:$B$300,$A500,'Stephanie'!$F$6:$F$300,"Concluído")+COUNTIFS('Fox'!$B$6:$B$300,$A500,'Fox'!$F$6:$F$300,"Concluído")+COUNTIFS('Bruna'!$B$6:$B$300,$A500,'Bruna'!$F$6:$F$300,"Concluído")+COUNTIFS('Stella'!$B$6:$B$300,$A500,'Stella'!$F$6:$F$300,"Concluído")+COUNTIFS('Igor'!$B$6:$B$300,$A500,'Igor'!$F$6:$F$300,"Concluído"))&amp;" / "&amp;(COUNTIF('Clarice'!$B$6:$B$300,$A500)+COUNTIF('Luisa'!$B$6:$B$300,$A500)+COUNTIF('Lui'!$B$6:$B$300,$A500)+COUNTIF('Thaís'!$B$6:$B$300,$A500)+COUNTIF('Daniel'!$B$6:$B$300,$A500)+COUNTIF('Fernando'!$B$6:$B$300,$A500)+COUNTIF('Stephanie'!$B$6:$B$300,$A500)+COUNTIF('Fox'!$B$6:$B$300,$A500)+COUNTIF('Bruna'!$B$6:$B$300,$A500)+COUNTIF('Stella'!$B$6:$B$300,$A500)+COUNTIF('Igor'!$B$6:$B$300,$A500)))</f>
        <v/>
      </c>
      <c r="P500" s="25">
        <f>IF($A500="","",IF(M500&lt;&gt;"",M500,IF(K500&lt;&gt;"",K500,"")))</f>
        <v/>
      </c>
      <c r="Q500" s="25">
        <f>IF($A500="","",IF(N500&lt;&gt;"",N500,IF(L500&lt;&gt;"",L500,"")))</f>
        <v/>
      </c>
      <c r="S500" s="23">
        <f t="array" ref="S500">IF($A500="","",_xlfn.TEXTJOIN(CHAR(10),TRUE,IF('Clarice'!$B$6:$B$300=$A500,"Clarice"&amp;IF('Clarice'!$E$6:$E$300="",""," : "&amp;'Clarice'!$E$6:$E$300)&amp;" ["&amp;'Clarice'!$F$6:$F$300&amp;"]",""),IF('Luisa'!$B$6:$B$300=$A500,"Luisa"&amp;IF('Luisa'!$E$6:$E$300="",""," : "&amp;'Luisa'!$E$6:$E$300)&amp;" ["&amp;'Luisa'!$F$6:$F$300&amp;"]",""),IF('Lui'!$B$6:$B$300=$A500,"Lui"&amp;IF('Lui'!$E$6:$E$300="",""," : "&amp;'Lui'!$E$6:$E$300)&amp;" ["&amp;'Lui'!$F$6:$F$300&amp;"]",""),IF('Thaís'!$B$6:$B$300=$A500,"Thaís"&amp;IF('Thaís'!$E$6:$E$300="",""," : "&amp;'Thaís'!$E$6:$E$300)&amp;" ["&amp;'Thaís'!$F$6:$F$300&amp;"]",""),IF('Daniel'!$B$6:$B$300=$A500,"Daniel"&amp;IF('Daniel'!$E$6:$E$300="",""," : "&amp;'Daniel'!$E$6:$E$300)&amp;" ["&amp;'Daniel'!$F$6:$F$300&amp;"]",""),IF('Fernando'!$B$6:$B$300=$A500,"Fernando"&amp;IF('Fernando'!$E$6:$E$300="",""," : "&amp;'Fernando'!$E$6:$E$300)&amp;" ["&amp;'Fernando'!$F$6:$F$300&amp;"]",""),IF('Stephanie'!$B$6:$B$300=$A500,"Stephanie"&amp;IF('Stephanie'!$E$6:$E$300="",""," : "&amp;'Stephanie'!$E$6:$E$300)&amp;" ["&amp;'Stephanie'!$F$6:$F$300&amp;"]",""),IF('Fox'!$B$6:$B$300=$A500,"Fox"&amp;IF('Fox'!$E$6:$E$300="",""," : "&amp;'Fox'!$E$6:$E$300)&amp;" ["&amp;'Fox'!$F$6:$F$300&amp;"]",""),IF('Bruna'!$B$6:$B$300=$A500,"Bruna"&amp;IF('Bruna'!$E$6:$E$300="",""," : "&amp;'Bruna'!$E$6:$E$300)&amp;" ["&amp;'Bruna'!$F$6:$F$300&amp;"]",""),IF('Stella'!$B$6:$B$300=$A500,"Stella"&amp;IF('Stella'!$E$6:$E$300="",""," : "&amp;'Stella'!$E$6:$E$300)&amp;" ["&amp;'Stella'!$F$6:$F$300&amp;"]",""),IF('Igor'!$B$6:$B$300=$A500,"Igor"&amp;IF('Igor'!$E$6:$E$300="",""," : "&amp;'Igor'!$E$6:$E$300)&amp;" ["&amp;'Igor'!$F$6:$F$300&amp;"]","")))</f>
        <v/>
      </c>
    </row>
    <row r="501">
      <c r="G501" s="23">
        <f>IF($A501="","",_xlfn.TEXTJOIN("; ",TRUE,IF(COUNTIF('Clarice'!$B$6:$B$300,$A501)&gt;0,"Clarice",""),IF(COUNTIF('Luisa'!$B$6:$B$300,$A501)&gt;0,"Luisa",""),IF(COUNTIF('Lui'!$B$6:$B$300,$A501)&gt;0,"Lui",""),IF(COUNTIF('Thaís'!$B$6:$B$300,$A501)&gt;0,"Thaís",""),IF(COUNTIF('Daniel'!$B$6:$B$300,$A501)&gt;0,"Daniel",""),IF(COUNTIF('Fernando'!$B$6:$B$300,$A501)&gt;0,"Fernando",""),IF(COUNTIF('Stephanie'!$B$6:$B$300,$A501)&gt;0,"Stephanie",""),IF(COUNTIF('Fox'!$B$6:$B$300,$A501)&gt;0,"Fox",""),IF(COUNTIF('Bruna'!$B$6:$B$300,$A501)&gt;0,"Bruna",""),IF(COUNTIF('Stella'!$B$6:$B$300,$A501)&gt;0,"Stella",""),IF(COUNTIF('Igor'!$B$6:$B$300,$A501)&gt;0,"Igor","")))</f>
        <v/>
      </c>
      <c r="J501" s="24">
        <f>IF(OR($A501="",(COUNTIF('Clarice'!$B$6:$B$300,$A501)+COUNTIF('Luisa'!$B$6:$B$300,$A501)+COUNTIF('Lui'!$B$6:$B$300,$A501)+COUNTIF('Thaís'!$B$6:$B$300,$A501)+COUNTIF('Daniel'!$B$6:$B$300,$A501)+COUNTIF('Fernando'!$B$6:$B$300,$A501)+COUNTIF('Stephanie'!$B$6:$B$300,$A501)+COUNTIF('Fox'!$B$6:$B$300,$A501)+COUNTIF('Bruna'!$B$6:$B$300,$A501)+COUNTIF('Stella'!$B$6:$B$300,$A501)+COUNTIF('Igor'!$B$6:$B$300,$A501))=0),"",(COUNTIFS('Clarice'!$B$6:$B$300,$A501,'Clarice'!$F$6:$F$300,"Concluído")+COUNTIFS('Luisa'!$B$6:$B$300,$A501,'Luisa'!$F$6:$F$300,"Concluído")+COUNTIFS('Lui'!$B$6:$B$300,$A501,'Lui'!$F$6:$F$300,"Concluído")+COUNTIFS('Thaís'!$B$6:$B$300,$A501,'Thaís'!$F$6:$F$300,"Concluído")+COUNTIFS('Daniel'!$B$6:$B$300,$A501,'Daniel'!$F$6:$F$300,"Concluído")+COUNTIFS('Fernando'!$B$6:$B$300,$A501,'Fernando'!$F$6:$F$300,"Concluído")+COUNTIFS('Stephanie'!$B$6:$B$300,$A501,'Stephanie'!$F$6:$F$300,"Concluído")+COUNTIFS('Fox'!$B$6:$B$300,$A501,'Fox'!$F$6:$F$300,"Concluído")+COUNTIFS('Bruna'!$B$6:$B$300,$A501,'Bruna'!$F$6:$F$300,"Concluído")+COUNTIFS('Stella'!$B$6:$B$300,$A501,'Stella'!$F$6:$F$300,"Concluído")+COUNTIFS('Igor'!$B$6:$B$300,$A501,'Igor'!$F$6:$F$300,"Concluído"))&amp;" / "&amp;(COUNTIF('Clarice'!$B$6:$B$300,$A501)+COUNTIF('Luisa'!$B$6:$B$300,$A501)+COUNTIF('Lui'!$B$6:$B$300,$A501)+COUNTIF('Thaís'!$B$6:$B$300,$A501)+COUNTIF('Daniel'!$B$6:$B$300,$A501)+COUNTIF('Fernando'!$B$6:$B$300,$A501)+COUNTIF('Stephanie'!$B$6:$B$300,$A501)+COUNTIF('Fox'!$B$6:$B$300,$A501)+COUNTIF('Bruna'!$B$6:$B$300,$A501)+COUNTIF('Stella'!$B$6:$B$300,$A501)+COUNTIF('Igor'!$B$6:$B$300,$A501)))</f>
        <v/>
      </c>
      <c r="P501" s="25">
        <f>IF($A501="","",IF(M501&lt;&gt;"",M501,IF(K501&lt;&gt;"",K501,"")))</f>
        <v/>
      </c>
      <c r="Q501" s="25">
        <f>IF($A501="","",IF(N501&lt;&gt;"",N501,IF(L501&lt;&gt;"",L501,"")))</f>
        <v/>
      </c>
      <c r="S501" s="23">
        <f t="array" ref="S501">IF($A501="","",_xlfn.TEXTJOIN(CHAR(10),TRUE,IF('Clarice'!$B$6:$B$300=$A501,"Clarice"&amp;IF('Clarice'!$E$6:$E$300="",""," : "&amp;'Clarice'!$E$6:$E$300)&amp;" ["&amp;'Clarice'!$F$6:$F$300&amp;"]",""),IF('Luisa'!$B$6:$B$300=$A501,"Luisa"&amp;IF('Luisa'!$E$6:$E$300="",""," : "&amp;'Luisa'!$E$6:$E$300)&amp;" ["&amp;'Luisa'!$F$6:$F$300&amp;"]",""),IF('Lui'!$B$6:$B$300=$A501,"Lui"&amp;IF('Lui'!$E$6:$E$300="",""," : "&amp;'Lui'!$E$6:$E$300)&amp;" ["&amp;'Lui'!$F$6:$F$300&amp;"]",""),IF('Thaís'!$B$6:$B$300=$A501,"Thaís"&amp;IF('Thaís'!$E$6:$E$300="",""," : "&amp;'Thaís'!$E$6:$E$300)&amp;" ["&amp;'Thaís'!$F$6:$F$300&amp;"]",""),IF('Daniel'!$B$6:$B$300=$A501,"Daniel"&amp;IF('Daniel'!$E$6:$E$300="",""," : "&amp;'Daniel'!$E$6:$E$300)&amp;" ["&amp;'Daniel'!$F$6:$F$300&amp;"]",""),IF('Fernando'!$B$6:$B$300=$A501,"Fernando"&amp;IF('Fernando'!$E$6:$E$300="",""," : "&amp;'Fernando'!$E$6:$E$300)&amp;" ["&amp;'Fernando'!$F$6:$F$300&amp;"]",""),IF('Stephanie'!$B$6:$B$300=$A501,"Stephanie"&amp;IF('Stephanie'!$E$6:$E$300="",""," : "&amp;'Stephanie'!$E$6:$E$300)&amp;" ["&amp;'Stephanie'!$F$6:$F$300&amp;"]",""),IF('Fox'!$B$6:$B$300=$A501,"Fox"&amp;IF('Fox'!$E$6:$E$300="",""," : "&amp;'Fox'!$E$6:$E$300)&amp;" ["&amp;'Fox'!$F$6:$F$300&amp;"]",""),IF('Bruna'!$B$6:$B$300=$A501,"Bruna"&amp;IF('Bruna'!$E$6:$E$300="",""," : "&amp;'Bruna'!$E$6:$E$300)&amp;" ["&amp;'Bruna'!$F$6:$F$300&amp;"]",""),IF('Stella'!$B$6:$B$300=$A501,"Stella"&amp;IF('Stella'!$E$6:$E$300="",""," : "&amp;'Stella'!$E$6:$E$300)&amp;" ["&amp;'Stella'!$F$6:$F$300&amp;"]",""),IF('Igor'!$B$6:$B$300=$A501,"Igor"&amp;IF('Igor'!$E$6:$E$300="",""," : "&amp;'Igor'!$E$6:$E$300)&amp;" ["&amp;'Igor'!$F$6:$F$300&amp;"]","")))</f>
        <v/>
      </c>
    </row>
    <row r="502">
      <c r="G502" s="23">
        <f>IF($A502="","",_xlfn.TEXTJOIN("; ",TRUE,IF(COUNTIF('Clarice'!$B$6:$B$300,$A502)&gt;0,"Clarice",""),IF(COUNTIF('Luisa'!$B$6:$B$300,$A502)&gt;0,"Luisa",""),IF(COUNTIF('Lui'!$B$6:$B$300,$A502)&gt;0,"Lui",""),IF(COUNTIF('Thaís'!$B$6:$B$300,$A502)&gt;0,"Thaís",""),IF(COUNTIF('Daniel'!$B$6:$B$300,$A502)&gt;0,"Daniel",""),IF(COUNTIF('Fernando'!$B$6:$B$300,$A502)&gt;0,"Fernando",""),IF(COUNTIF('Stephanie'!$B$6:$B$300,$A502)&gt;0,"Stephanie",""),IF(COUNTIF('Fox'!$B$6:$B$300,$A502)&gt;0,"Fox",""),IF(COUNTIF('Bruna'!$B$6:$B$300,$A502)&gt;0,"Bruna",""),IF(COUNTIF('Stella'!$B$6:$B$300,$A502)&gt;0,"Stella",""),IF(COUNTIF('Igor'!$B$6:$B$300,$A502)&gt;0,"Igor","")))</f>
        <v/>
      </c>
      <c r="J502" s="24">
        <f>IF(OR($A502="",(COUNTIF('Clarice'!$B$6:$B$300,$A502)+COUNTIF('Luisa'!$B$6:$B$300,$A502)+COUNTIF('Lui'!$B$6:$B$300,$A502)+COUNTIF('Thaís'!$B$6:$B$300,$A502)+COUNTIF('Daniel'!$B$6:$B$300,$A502)+COUNTIF('Fernando'!$B$6:$B$300,$A502)+COUNTIF('Stephanie'!$B$6:$B$300,$A502)+COUNTIF('Fox'!$B$6:$B$300,$A502)+COUNTIF('Bruna'!$B$6:$B$300,$A502)+COUNTIF('Stella'!$B$6:$B$300,$A502)+COUNTIF('Igor'!$B$6:$B$300,$A502))=0),"",(COUNTIFS('Clarice'!$B$6:$B$300,$A502,'Clarice'!$F$6:$F$300,"Concluído")+COUNTIFS('Luisa'!$B$6:$B$300,$A502,'Luisa'!$F$6:$F$300,"Concluído")+COUNTIFS('Lui'!$B$6:$B$300,$A502,'Lui'!$F$6:$F$300,"Concluído")+COUNTIFS('Thaís'!$B$6:$B$300,$A502,'Thaís'!$F$6:$F$300,"Concluído")+COUNTIFS('Daniel'!$B$6:$B$300,$A502,'Daniel'!$F$6:$F$300,"Concluído")+COUNTIFS('Fernando'!$B$6:$B$300,$A502,'Fernando'!$F$6:$F$300,"Concluído")+COUNTIFS('Stephanie'!$B$6:$B$300,$A502,'Stephanie'!$F$6:$F$300,"Concluído")+COUNTIFS('Fox'!$B$6:$B$300,$A502,'Fox'!$F$6:$F$300,"Concluído")+COUNTIFS('Bruna'!$B$6:$B$300,$A502,'Bruna'!$F$6:$F$300,"Concluído")+COUNTIFS('Stella'!$B$6:$B$300,$A502,'Stella'!$F$6:$F$300,"Concluído")+COUNTIFS('Igor'!$B$6:$B$300,$A502,'Igor'!$F$6:$F$300,"Concluído"))&amp;" / "&amp;(COUNTIF('Clarice'!$B$6:$B$300,$A502)+COUNTIF('Luisa'!$B$6:$B$300,$A502)+COUNTIF('Lui'!$B$6:$B$300,$A502)+COUNTIF('Thaís'!$B$6:$B$300,$A502)+COUNTIF('Daniel'!$B$6:$B$300,$A502)+COUNTIF('Fernando'!$B$6:$B$300,$A502)+COUNTIF('Stephanie'!$B$6:$B$300,$A502)+COUNTIF('Fox'!$B$6:$B$300,$A502)+COUNTIF('Bruna'!$B$6:$B$300,$A502)+COUNTIF('Stella'!$B$6:$B$300,$A502)+COUNTIF('Igor'!$B$6:$B$300,$A502)))</f>
        <v/>
      </c>
      <c r="P502" s="25">
        <f>IF($A502="","",IF(M502&lt;&gt;"",M502,IF(K502&lt;&gt;"",K502,"")))</f>
        <v/>
      </c>
      <c r="Q502" s="25">
        <f>IF($A502="","",IF(N502&lt;&gt;"",N502,IF(L502&lt;&gt;"",L502,"")))</f>
        <v/>
      </c>
      <c r="S502" s="23">
        <f t="array" ref="S502">IF($A502="","",_xlfn.TEXTJOIN(CHAR(10),TRUE,IF('Clarice'!$B$6:$B$300=$A502,"Clarice"&amp;IF('Clarice'!$E$6:$E$300="",""," : "&amp;'Clarice'!$E$6:$E$300)&amp;" ["&amp;'Clarice'!$F$6:$F$300&amp;"]",""),IF('Luisa'!$B$6:$B$300=$A502,"Luisa"&amp;IF('Luisa'!$E$6:$E$300="",""," : "&amp;'Luisa'!$E$6:$E$300)&amp;" ["&amp;'Luisa'!$F$6:$F$300&amp;"]",""),IF('Lui'!$B$6:$B$300=$A502,"Lui"&amp;IF('Lui'!$E$6:$E$300="",""," : "&amp;'Lui'!$E$6:$E$300)&amp;" ["&amp;'Lui'!$F$6:$F$300&amp;"]",""),IF('Thaís'!$B$6:$B$300=$A502,"Thaís"&amp;IF('Thaís'!$E$6:$E$300="",""," : "&amp;'Thaís'!$E$6:$E$300)&amp;" ["&amp;'Thaís'!$F$6:$F$300&amp;"]",""),IF('Daniel'!$B$6:$B$300=$A502,"Daniel"&amp;IF('Daniel'!$E$6:$E$300="",""," : "&amp;'Daniel'!$E$6:$E$300)&amp;" ["&amp;'Daniel'!$F$6:$F$300&amp;"]",""),IF('Fernando'!$B$6:$B$300=$A502,"Fernando"&amp;IF('Fernando'!$E$6:$E$300="",""," : "&amp;'Fernando'!$E$6:$E$300)&amp;" ["&amp;'Fernando'!$F$6:$F$300&amp;"]",""),IF('Stephanie'!$B$6:$B$300=$A502,"Stephanie"&amp;IF('Stephanie'!$E$6:$E$300="",""," : "&amp;'Stephanie'!$E$6:$E$300)&amp;" ["&amp;'Stephanie'!$F$6:$F$300&amp;"]",""),IF('Fox'!$B$6:$B$300=$A502,"Fox"&amp;IF('Fox'!$E$6:$E$300="",""," : "&amp;'Fox'!$E$6:$E$300)&amp;" ["&amp;'Fox'!$F$6:$F$300&amp;"]",""),IF('Bruna'!$B$6:$B$300=$A502,"Bruna"&amp;IF('Bruna'!$E$6:$E$300="",""," : "&amp;'Bruna'!$E$6:$E$300)&amp;" ["&amp;'Bruna'!$F$6:$F$300&amp;"]",""),IF('Stella'!$B$6:$B$300=$A502,"Stella"&amp;IF('Stella'!$E$6:$E$300="",""," : "&amp;'Stella'!$E$6:$E$300)&amp;" ["&amp;'Stella'!$F$6:$F$300&amp;"]",""),IF('Igor'!$B$6:$B$300=$A502,"Igor"&amp;IF('Igor'!$E$6:$E$300="",""," : "&amp;'Igor'!$E$6:$E$300)&amp;" ["&amp;'Igor'!$F$6:$F$300&amp;"]","")))</f>
        <v/>
      </c>
    </row>
    <row r="503">
      <c r="G503" s="23">
        <f>IF($A503="","",_xlfn.TEXTJOIN("; ",TRUE,IF(COUNTIF('Clarice'!$B$6:$B$300,$A503)&gt;0,"Clarice",""),IF(COUNTIF('Luisa'!$B$6:$B$300,$A503)&gt;0,"Luisa",""),IF(COUNTIF('Lui'!$B$6:$B$300,$A503)&gt;0,"Lui",""),IF(COUNTIF('Thaís'!$B$6:$B$300,$A503)&gt;0,"Thaís",""),IF(COUNTIF('Daniel'!$B$6:$B$300,$A503)&gt;0,"Daniel",""),IF(COUNTIF('Fernando'!$B$6:$B$300,$A503)&gt;0,"Fernando",""),IF(COUNTIF('Stephanie'!$B$6:$B$300,$A503)&gt;0,"Stephanie",""),IF(COUNTIF('Fox'!$B$6:$B$300,$A503)&gt;0,"Fox",""),IF(COUNTIF('Bruna'!$B$6:$B$300,$A503)&gt;0,"Bruna",""),IF(COUNTIF('Stella'!$B$6:$B$300,$A503)&gt;0,"Stella",""),IF(COUNTIF('Igor'!$B$6:$B$300,$A503)&gt;0,"Igor","")))</f>
        <v/>
      </c>
      <c r="J503" s="24">
        <f>IF(OR($A503="",(COUNTIF('Clarice'!$B$6:$B$300,$A503)+COUNTIF('Luisa'!$B$6:$B$300,$A503)+COUNTIF('Lui'!$B$6:$B$300,$A503)+COUNTIF('Thaís'!$B$6:$B$300,$A503)+COUNTIF('Daniel'!$B$6:$B$300,$A503)+COUNTIF('Fernando'!$B$6:$B$300,$A503)+COUNTIF('Stephanie'!$B$6:$B$300,$A503)+COUNTIF('Fox'!$B$6:$B$300,$A503)+COUNTIF('Bruna'!$B$6:$B$300,$A503)+COUNTIF('Stella'!$B$6:$B$300,$A503)+COUNTIF('Igor'!$B$6:$B$300,$A503))=0),"",(COUNTIFS('Clarice'!$B$6:$B$300,$A503,'Clarice'!$F$6:$F$300,"Concluído")+COUNTIFS('Luisa'!$B$6:$B$300,$A503,'Luisa'!$F$6:$F$300,"Concluído")+COUNTIFS('Lui'!$B$6:$B$300,$A503,'Lui'!$F$6:$F$300,"Concluído")+COUNTIFS('Thaís'!$B$6:$B$300,$A503,'Thaís'!$F$6:$F$300,"Concluído")+COUNTIFS('Daniel'!$B$6:$B$300,$A503,'Daniel'!$F$6:$F$300,"Concluído")+COUNTIFS('Fernando'!$B$6:$B$300,$A503,'Fernando'!$F$6:$F$300,"Concluído")+COUNTIFS('Stephanie'!$B$6:$B$300,$A503,'Stephanie'!$F$6:$F$300,"Concluído")+COUNTIFS('Fox'!$B$6:$B$300,$A503,'Fox'!$F$6:$F$300,"Concluído")+COUNTIFS('Bruna'!$B$6:$B$300,$A503,'Bruna'!$F$6:$F$300,"Concluído")+COUNTIFS('Stella'!$B$6:$B$300,$A503,'Stella'!$F$6:$F$300,"Concluído")+COUNTIFS('Igor'!$B$6:$B$300,$A503,'Igor'!$F$6:$F$300,"Concluído"))&amp;" / "&amp;(COUNTIF('Clarice'!$B$6:$B$300,$A503)+COUNTIF('Luisa'!$B$6:$B$300,$A503)+COUNTIF('Lui'!$B$6:$B$300,$A503)+COUNTIF('Thaís'!$B$6:$B$300,$A503)+COUNTIF('Daniel'!$B$6:$B$300,$A503)+COUNTIF('Fernando'!$B$6:$B$300,$A503)+COUNTIF('Stephanie'!$B$6:$B$300,$A503)+COUNTIF('Fox'!$B$6:$B$300,$A503)+COUNTIF('Bruna'!$B$6:$B$300,$A503)+COUNTIF('Stella'!$B$6:$B$300,$A503)+COUNTIF('Igor'!$B$6:$B$300,$A503)))</f>
        <v/>
      </c>
      <c r="P503" s="25">
        <f>IF($A503="","",IF(M503&lt;&gt;"",M503,IF(K503&lt;&gt;"",K503,"")))</f>
        <v/>
      </c>
      <c r="Q503" s="25">
        <f>IF($A503="","",IF(N503&lt;&gt;"",N503,IF(L503&lt;&gt;"",L503,"")))</f>
        <v/>
      </c>
      <c r="S503" s="23">
        <f t="array" ref="S503">IF($A503="","",_xlfn.TEXTJOIN(CHAR(10),TRUE,IF('Clarice'!$B$6:$B$300=$A503,"Clarice"&amp;IF('Clarice'!$E$6:$E$300="",""," : "&amp;'Clarice'!$E$6:$E$300)&amp;" ["&amp;'Clarice'!$F$6:$F$300&amp;"]",""),IF('Luisa'!$B$6:$B$300=$A503,"Luisa"&amp;IF('Luisa'!$E$6:$E$300="",""," : "&amp;'Luisa'!$E$6:$E$300)&amp;" ["&amp;'Luisa'!$F$6:$F$300&amp;"]",""),IF('Lui'!$B$6:$B$300=$A503,"Lui"&amp;IF('Lui'!$E$6:$E$300="",""," : "&amp;'Lui'!$E$6:$E$300)&amp;" ["&amp;'Lui'!$F$6:$F$300&amp;"]",""),IF('Thaís'!$B$6:$B$300=$A503,"Thaís"&amp;IF('Thaís'!$E$6:$E$300="",""," : "&amp;'Thaís'!$E$6:$E$300)&amp;" ["&amp;'Thaís'!$F$6:$F$300&amp;"]",""),IF('Daniel'!$B$6:$B$300=$A503,"Daniel"&amp;IF('Daniel'!$E$6:$E$300="",""," : "&amp;'Daniel'!$E$6:$E$300)&amp;" ["&amp;'Daniel'!$F$6:$F$300&amp;"]",""),IF('Fernando'!$B$6:$B$300=$A503,"Fernando"&amp;IF('Fernando'!$E$6:$E$300="",""," : "&amp;'Fernando'!$E$6:$E$300)&amp;" ["&amp;'Fernando'!$F$6:$F$300&amp;"]",""),IF('Stephanie'!$B$6:$B$300=$A503,"Stephanie"&amp;IF('Stephanie'!$E$6:$E$300="",""," : "&amp;'Stephanie'!$E$6:$E$300)&amp;" ["&amp;'Stephanie'!$F$6:$F$300&amp;"]",""),IF('Fox'!$B$6:$B$300=$A503,"Fox"&amp;IF('Fox'!$E$6:$E$300="",""," : "&amp;'Fox'!$E$6:$E$300)&amp;" ["&amp;'Fox'!$F$6:$F$300&amp;"]",""),IF('Bruna'!$B$6:$B$300=$A503,"Bruna"&amp;IF('Bruna'!$E$6:$E$300="",""," : "&amp;'Bruna'!$E$6:$E$300)&amp;" ["&amp;'Bruna'!$F$6:$F$300&amp;"]",""),IF('Stella'!$B$6:$B$300=$A503,"Stella"&amp;IF('Stella'!$E$6:$E$300="",""," : "&amp;'Stella'!$E$6:$E$300)&amp;" ["&amp;'Stella'!$F$6:$F$300&amp;"]",""),IF('Igor'!$B$6:$B$300=$A503,"Igor"&amp;IF('Igor'!$E$6:$E$300="",""," : "&amp;'Igor'!$E$6:$E$300)&amp;" ["&amp;'Igor'!$F$6:$F$300&amp;"]","")))</f>
        <v/>
      </c>
    </row>
    <row r="504">
      <c r="G504" s="23">
        <f>IF($A504="","",_xlfn.TEXTJOIN("; ",TRUE,IF(COUNTIF('Clarice'!$B$6:$B$300,$A504)&gt;0,"Clarice",""),IF(COUNTIF('Luisa'!$B$6:$B$300,$A504)&gt;0,"Luisa",""),IF(COUNTIF('Lui'!$B$6:$B$300,$A504)&gt;0,"Lui",""),IF(COUNTIF('Thaís'!$B$6:$B$300,$A504)&gt;0,"Thaís",""),IF(COUNTIF('Daniel'!$B$6:$B$300,$A504)&gt;0,"Daniel",""),IF(COUNTIF('Fernando'!$B$6:$B$300,$A504)&gt;0,"Fernando",""),IF(COUNTIF('Stephanie'!$B$6:$B$300,$A504)&gt;0,"Stephanie",""),IF(COUNTIF('Fox'!$B$6:$B$300,$A504)&gt;0,"Fox",""),IF(COUNTIF('Bruna'!$B$6:$B$300,$A504)&gt;0,"Bruna",""),IF(COUNTIF('Stella'!$B$6:$B$300,$A504)&gt;0,"Stella",""),IF(COUNTIF('Igor'!$B$6:$B$300,$A504)&gt;0,"Igor","")))</f>
        <v/>
      </c>
      <c r="J504" s="24">
        <f>IF(OR($A504="",(COUNTIF('Clarice'!$B$6:$B$300,$A504)+COUNTIF('Luisa'!$B$6:$B$300,$A504)+COUNTIF('Lui'!$B$6:$B$300,$A504)+COUNTIF('Thaís'!$B$6:$B$300,$A504)+COUNTIF('Daniel'!$B$6:$B$300,$A504)+COUNTIF('Fernando'!$B$6:$B$300,$A504)+COUNTIF('Stephanie'!$B$6:$B$300,$A504)+COUNTIF('Fox'!$B$6:$B$300,$A504)+COUNTIF('Bruna'!$B$6:$B$300,$A504)+COUNTIF('Stella'!$B$6:$B$300,$A504)+COUNTIF('Igor'!$B$6:$B$300,$A504))=0),"",(COUNTIFS('Clarice'!$B$6:$B$300,$A504,'Clarice'!$F$6:$F$300,"Concluído")+COUNTIFS('Luisa'!$B$6:$B$300,$A504,'Luisa'!$F$6:$F$300,"Concluído")+COUNTIFS('Lui'!$B$6:$B$300,$A504,'Lui'!$F$6:$F$300,"Concluído")+COUNTIFS('Thaís'!$B$6:$B$300,$A504,'Thaís'!$F$6:$F$300,"Concluído")+COUNTIFS('Daniel'!$B$6:$B$300,$A504,'Daniel'!$F$6:$F$300,"Concluído")+COUNTIFS('Fernando'!$B$6:$B$300,$A504,'Fernando'!$F$6:$F$300,"Concluído")+COUNTIFS('Stephanie'!$B$6:$B$300,$A504,'Stephanie'!$F$6:$F$300,"Concluído")+COUNTIFS('Fox'!$B$6:$B$300,$A504,'Fox'!$F$6:$F$300,"Concluído")+COUNTIFS('Bruna'!$B$6:$B$300,$A504,'Bruna'!$F$6:$F$300,"Concluído")+COUNTIFS('Stella'!$B$6:$B$300,$A504,'Stella'!$F$6:$F$300,"Concluído")+COUNTIFS('Igor'!$B$6:$B$300,$A504,'Igor'!$F$6:$F$300,"Concluído"))&amp;" / "&amp;(COUNTIF('Clarice'!$B$6:$B$300,$A504)+COUNTIF('Luisa'!$B$6:$B$300,$A504)+COUNTIF('Lui'!$B$6:$B$300,$A504)+COUNTIF('Thaís'!$B$6:$B$300,$A504)+COUNTIF('Daniel'!$B$6:$B$300,$A504)+COUNTIF('Fernando'!$B$6:$B$300,$A504)+COUNTIF('Stephanie'!$B$6:$B$300,$A504)+COUNTIF('Fox'!$B$6:$B$300,$A504)+COUNTIF('Bruna'!$B$6:$B$300,$A504)+COUNTIF('Stella'!$B$6:$B$300,$A504)+COUNTIF('Igor'!$B$6:$B$300,$A504)))</f>
        <v/>
      </c>
      <c r="P504" s="25">
        <f>IF($A504="","",IF(M504&lt;&gt;"",M504,IF(K504&lt;&gt;"",K504,"")))</f>
        <v/>
      </c>
      <c r="Q504" s="25">
        <f>IF($A504="","",IF(N504&lt;&gt;"",N504,IF(L504&lt;&gt;"",L504,"")))</f>
        <v/>
      </c>
      <c r="S504" s="23">
        <f t="array" ref="S504">IF($A504="","",_xlfn.TEXTJOIN(CHAR(10),TRUE,IF('Clarice'!$B$6:$B$300=$A504,"Clarice"&amp;IF('Clarice'!$E$6:$E$300="",""," : "&amp;'Clarice'!$E$6:$E$300)&amp;" ["&amp;'Clarice'!$F$6:$F$300&amp;"]",""),IF('Luisa'!$B$6:$B$300=$A504,"Luisa"&amp;IF('Luisa'!$E$6:$E$300="",""," : "&amp;'Luisa'!$E$6:$E$300)&amp;" ["&amp;'Luisa'!$F$6:$F$300&amp;"]",""),IF('Lui'!$B$6:$B$300=$A504,"Lui"&amp;IF('Lui'!$E$6:$E$300="",""," : "&amp;'Lui'!$E$6:$E$300)&amp;" ["&amp;'Lui'!$F$6:$F$300&amp;"]",""),IF('Thaís'!$B$6:$B$300=$A504,"Thaís"&amp;IF('Thaís'!$E$6:$E$300="",""," : "&amp;'Thaís'!$E$6:$E$300)&amp;" ["&amp;'Thaís'!$F$6:$F$300&amp;"]",""),IF('Daniel'!$B$6:$B$300=$A504,"Daniel"&amp;IF('Daniel'!$E$6:$E$300="",""," : "&amp;'Daniel'!$E$6:$E$300)&amp;" ["&amp;'Daniel'!$F$6:$F$300&amp;"]",""),IF('Fernando'!$B$6:$B$300=$A504,"Fernando"&amp;IF('Fernando'!$E$6:$E$300="",""," : "&amp;'Fernando'!$E$6:$E$300)&amp;" ["&amp;'Fernando'!$F$6:$F$300&amp;"]",""),IF('Stephanie'!$B$6:$B$300=$A504,"Stephanie"&amp;IF('Stephanie'!$E$6:$E$300="",""," : "&amp;'Stephanie'!$E$6:$E$300)&amp;" ["&amp;'Stephanie'!$F$6:$F$300&amp;"]",""),IF('Fox'!$B$6:$B$300=$A504,"Fox"&amp;IF('Fox'!$E$6:$E$300="",""," : "&amp;'Fox'!$E$6:$E$300)&amp;" ["&amp;'Fox'!$F$6:$F$300&amp;"]",""),IF('Bruna'!$B$6:$B$300=$A504,"Bruna"&amp;IF('Bruna'!$E$6:$E$300="",""," : "&amp;'Bruna'!$E$6:$E$300)&amp;" ["&amp;'Bruna'!$F$6:$F$300&amp;"]",""),IF('Stella'!$B$6:$B$300=$A504,"Stella"&amp;IF('Stella'!$E$6:$E$300="",""," : "&amp;'Stella'!$E$6:$E$300)&amp;" ["&amp;'Stella'!$F$6:$F$300&amp;"]",""),IF('Igor'!$B$6:$B$300=$A504,"Igor"&amp;IF('Igor'!$E$6:$E$300="",""," : "&amp;'Igor'!$E$6:$E$300)&amp;" ["&amp;'Igor'!$F$6:$F$300&amp;"]","")))</f>
        <v/>
      </c>
    </row>
    <row r="505">
      <c r="G505" s="23">
        <f>IF($A505="","",_xlfn.TEXTJOIN("; ",TRUE,IF(COUNTIF('Clarice'!$B$6:$B$300,$A505)&gt;0,"Clarice",""),IF(COUNTIF('Luisa'!$B$6:$B$300,$A505)&gt;0,"Luisa",""),IF(COUNTIF('Lui'!$B$6:$B$300,$A505)&gt;0,"Lui",""),IF(COUNTIF('Thaís'!$B$6:$B$300,$A505)&gt;0,"Thaís",""),IF(COUNTIF('Daniel'!$B$6:$B$300,$A505)&gt;0,"Daniel",""),IF(COUNTIF('Fernando'!$B$6:$B$300,$A505)&gt;0,"Fernando",""),IF(COUNTIF('Stephanie'!$B$6:$B$300,$A505)&gt;0,"Stephanie",""),IF(COUNTIF('Fox'!$B$6:$B$300,$A505)&gt;0,"Fox",""),IF(COUNTIF('Bruna'!$B$6:$B$300,$A505)&gt;0,"Bruna",""),IF(COUNTIF('Stella'!$B$6:$B$300,$A505)&gt;0,"Stella",""),IF(COUNTIF('Igor'!$B$6:$B$300,$A505)&gt;0,"Igor","")))</f>
        <v/>
      </c>
      <c r="J505" s="24">
        <f>IF(OR($A505="",(COUNTIF('Clarice'!$B$6:$B$300,$A505)+COUNTIF('Luisa'!$B$6:$B$300,$A505)+COUNTIF('Lui'!$B$6:$B$300,$A505)+COUNTIF('Thaís'!$B$6:$B$300,$A505)+COUNTIF('Daniel'!$B$6:$B$300,$A505)+COUNTIF('Fernando'!$B$6:$B$300,$A505)+COUNTIF('Stephanie'!$B$6:$B$300,$A505)+COUNTIF('Fox'!$B$6:$B$300,$A505)+COUNTIF('Bruna'!$B$6:$B$300,$A505)+COUNTIF('Stella'!$B$6:$B$300,$A505)+COUNTIF('Igor'!$B$6:$B$300,$A505))=0),"",(COUNTIFS('Clarice'!$B$6:$B$300,$A505,'Clarice'!$F$6:$F$300,"Concluído")+COUNTIFS('Luisa'!$B$6:$B$300,$A505,'Luisa'!$F$6:$F$300,"Concluído")+COUNTIFS('Lui'!$B$6:$B$300,$A505,'Lui'!$F$6:$F$300,"Concluído")+COUNTIFS('Thaís'!$B$6:$B$300,$A505,'Thaís'!$F$6:$F$300,"Concluído")+COUNTIFS('Daniel'!$B$6:$B$300,$A505,'Daniel'!$F$6:$F$300,"Concluído")+COUNTIFS('Fernando'!$B$6:$B$300,$A505,'Fernando'!$F$6:$F$300,"Concluído")+COUNTIFS('Stephanie'!$B$6:$B$300,$A505,'Stephanie'!$F$6:$F$300,"Concluído")+COUNTIFS('Fox'!$B$6:$B$300,$A505,'Fox'!$F$6:$F$300,"Concluído")+COUNTIFS('Bruna'!$B$6:$B$300,$A505,'Bruna'!$F$6:$F$300,"Concluído")+COUNTIFS('Stella'!$B$6:$B$300,$A505,'Stella'!$F$6:$F$300,"Concluído")+COUNTIFS('Igor'!$B$6:$B$300,$A505,'Igor'!$F$6:$F$300,"Concluído"))&amp;" / "&amp;(COUNTIF('Clarice'!$B$6:$B$300,$A505)+COUNTIF('Luisa'!$B$6:$B$300,$A505)+COUNTIF('Lui'!$B$6:$B$300,$A505)+COUNTIF('Thaís'!$B$6:$B$300,$A505)+COUNTIF('Daniel'!$B$6:$B$300,$A505)+COUNTIF('Fernando'!$B$6:$B$300,$A505)+COUNTIF('Stephanie'!$B$6:$B$300,$A505)+COUNTIF('Fox'!$B$6:$B$300,$A505)+COUNTIF('Bruna'!$B$6:$B$300,$A505)+COUNTIF('Stella'!$B$6:$B$300,$A505)+COUNTIF('Igor'!$B$6:$B$300,$A505)))</f>
        <v/>
      </c>
      <c r="P505" s="25">
        <f>IF($A505="","",IF(M505&lt;&gt;"",M505,IF(K505&lt;&gt;"",K505,"")))</f>
        <v/>
      </c>
      <c r="Q505" s="25">
        <f>IF($A505="","",IF(N505&lt;&gt;"",N505,IF(L505&lt;&gt;"",L505,"")))</f>
        <v/>
      </c>
      <c r="S505" s="23">
        <f t="array" ref="S505">IF($A505="","",_xlfn.TEXTJOIN(CHAR(10),TRUE,IF('Clarice'!$B$6:$B$300=$A505,"Clarice"&amp;IF('Clarice'!$E$6:$E$300="",""," : "&amp;'Clarice'!$E$6:$E$300)&amp;" ["&amp;'Clarice'!$F$6:$F$300&amp;"]",""),IF('Luisa'!$B$6:$B$300=$A505,"Luisa"&amp;IF('Luisa'!$E$6:$E$300="",""," : "&amp;'Luisa'!$E$6:$E$300)&amp;" ["&amp;'Luisa'!$F$6:$F$300&amp;"]",""),IF('Lui'!$B$6:$B$300=$A505,"Lui"&amp;IF('Lui'!$E$6:$E$300="",""," : "&amp;'Lui'!$E$6:$E$300)&amp;" ["&amp;'Lui'!$F$6:$F$300&amp;"]",""),IF('Thaís'!$B$6:$B$300=$A505,"Thaís"&amp;IF('Thaís'!$E$6:$E$300="",""," : "&amp;'Thaís'!$E$6:$E$300)&amp;" ["&amp;'Thaís'!$F$6:$F$300&amp;"]",""),IF('Daniel'!$B$6:$B$300=$A505,"Daniel"&amp;IF('Daniel'!$E$6:$E$300="",""," : "&amp;'Daniel'!$E$6:$E$300)&amp;" ["&amp;'Daniel'!$F$6:$F$300&amp;"]",""),IF('Fernando'!$B$6:$B$300=$A505,"Fernando"&amp;IF('Fernando'!$E$6:$E$300="",""," : "&amp;'Fernando'!$E$6:$E$300)&amp;" ["&amp;'Fernando'!$F$6:$F$300&amp;"]",""),IF('Stephanie'!$B$6:$B$300=$A505,"Stephanie"&amp;IF('Stephanie'!$E$6:$E$300="",""," : "&amp;'Stephanie'!$E$6:$E$300)&amp;" ["&amp;'Stephanie'!$F$6:$F$300&amp;"]",""),IF('Fox'!$B$6:$B$300=$A505,"Fox"&amp;IF('Fox'!$E$6:$E$300="",""," : "&amp;'Fox'!$E$6:$E$300)&amp;" ["&amp;'Fox'!$F$6:$F$300&amp;"]",""),IF('Bruna'!$B$6:$B$300=$A505,"Bruna"&amp;IF('Bruna'!$E$6:$E$300="",""," : "&amp;'Bruna'!$E$6:$E$300)&amp;" ["&amp;'Bruna'!$F$6:$F$300&amp;"]",""),IF('Stella'!$B$6:$B$300=$A505,"Stella"&amp;IF('Stella'!$E$6:$E$300="",""," : "&amp;'Stella'!$E$6:$E$300)&amp;" ["&amp;'Stella'!$F$6:$F$300&amp;"]",""),IF('Igor'!$B$6:$B$300=$A505,"Igor"&amp;IF('Igor'!$E$6:$E$300="",""," : "&amp;'Igor'!$E$6:$E$300)&amp;" ["&amp;'Igor'!$F$6:$F$300&amp;"]","")))</f>
        <v/>
      </c>
    </row>
    <row r="506">
      <c r="G506" s="23">
        <f>IF($A506="","",_xlfn.TEXTJOIN("; ",TRUE,IF(COUNTIF('Clarice'!$B$6:$B$300,$A506)&gt;0,"Clarice",""),IF(COUNTIF('Luisa'!$B$6:$B$300,$A506)&gt;0,"Luisa",""),IF(COUNTIF('Lui'!$B$6:$B$300,$A506)&gt;0,"Lui",""),IF(COUNTIF('Thaís'!$B$6:$B$300,$A506)&gt;0,"Thaís",""),IF(COUNTIF('Daniel'!$B$6:$B$300,$A506)&gt;0,"Daniel",""),IF(COUNTIF('Fernando'!$B$6:$B$300,$A506)&gt;0,"Fernando",""),IF(COUNTIF('Stephanie'!$B$6:$B$300,$A506)&gt;0,"Stephanie",""),IF(COUNTIF('Fox'!$B$6:$B$300,$A506)&gt;0,"Fox",""),IF(COUNTIF('Bruna'!$B$6:$B$300,$A506)&gt;0,"Bruna",""),IF(COUNTIF('Stella'!$B$6:$B$300,$A506)&gt;0,"Stella",""),IF(COUNTIF('Igor'!$B$6:$B$300,$A506)&gt;0,"Igor","")))</f>
        <v/>
      </c>
      <c r="J506" s="24">
        <f>IF(OR($A506="",(COUNTIF('Clarice'!$B$6:$B$300,$A506)+COUNTIF('Luisa'!$B$6:$B$300,$A506)+COUNTIF('Lui'!$B$6:$B$300,$A506)+COUNTIF('Thaís'!$B$6:$B$300,$A506)+COUNTIF('Daniel'!$B$6:$B$300,$A506)+COUNTIF('Fernando'!$B$6:$B$300,$A506)+COUNTIF('Stephanie'!$B$6:$B$300,$A506)+COUNTIF('Fox'!$B$6:$B$300,$A506)+COUNTIF('Bruna'!$B$6:$B$300,$A506)+COUNTIF('Stella'!$B$6:$B$300,$A506)+COUNTIF('Igor'!$B$6:$B$300,$A506))=0),"",(COUNTIFS('Clarice'!$B$6:$B$300,$A506,'Clarice'!$F$6:$F$300,"Concluído")+COUNTIFS('Luisa'!$B$6:$B$300,$A506,'Luisa'!$F$6:$F$300,"Concluído")+COUNTIFS('Lui'!$B$6:$B$300,$A506,'Lui'!$F$6:$F$300,"Concluído")+COUNTIFS('Thaís'!$B$6:$B$300,$A506,'Thaís'!$F$6:$F$300,"Concluído")+COUNTIFS('Daniel'!$B$6:$B$300,$A506,'Daniel'!$F$6:$F$300,"Concluído")+COUNTIFS('Fernando'!$B$6:$B$300,$A506,'Fernando'!$F$6:$F$300,"Concluído")+COUNTIFS('Stephanie'!$B$6:$B$300,$A506,'Stephanie'!$F$6:$F$300,"Concluído")+COUNTIFS('Fox'!$B$6:$B$300,$A506,'Fox'!$F$6:$F$300,"Concluído")+COUNTIFS('Bruna'!$B$6:$B$300,$A506,'Bruna'!$F$6:$F$300,"Concluído")+COUNTIFS('Stella'!$B$6:$B$300,$A506,'Stella'!$F$6:$F$300,"Concluído")+COUNTIFS('Igor'!$B$6:$B$300,$A506,'Igor'!$F$6:$F$300,"Concluído"))&amp;" / "&amp;(COUNTIF('Clarice'!$B$6:$B$300,$A506)+COUNTIF('Luisa'!$B$6:$B$300,$A506)+COUNTIF('Lui'!$B$6:$B$300,$A506)+COUNTIF('Thaís'!$B$6:$B$300,$A506)+COUNTIF('Daniel'!$B$6:$B$300,$A506)+COUNTIF('Fernando'!$B$6:$B$300,$A506)+COUNTIF('Stephanie'!$B$6:$B$300,$A506)+COUNTIF('Fox'!$B$6:$B$300,$A506)+COUNTIF('Bruna'!$B$6:$B$300,$A506)+COUNTIF('Stella'!$B$6:$B$300,$A506)+COUNTIF('Igor'!$B$6:$B$300,$A506)))</f>
        <v/>
      </c>
      <c r="P506" s="25">
        <f>IF($A506="","",IF(M506&lt;&gt;"",M506,IF(K506&lt;&gt;"",K506,"")))</f>
        <v/>
      </c>
      <c r="Q506" s="25">
        <f>IF($A506="","",IF(N506&lt;&gt;"",N506,IF(L506&lt;&gt;"",L506,"")))</f>
        <v/>
      </c>
      <c r="S506" s="23">
        <f t="array" ref="S506">IF($A506="","",_xlfn.TEXTJOIN(CHAR(10),TRUE,IF('Clarice'!$B$6:$B$300=$A506,"Clarice"&amp;IF('Clarice'!$E$6:$E$300="",""," : "&amp;'Clarice'!$E$6:$E$300)&amp;" ["&amp;'Clarice'!$F$6:$F$300&amp;"]",""),IF('Luisa'!$B$6:$B$300=$A506,"Luisa"&amp;IF('Luisa'!$E$6:$E$300="",""," : "&amp;'Luisa'!$E$6:$E$300)&amp;" ["&amp;'Luisa'!$F$6:$F$300&amp;"]",""),IF('Lui'!$B$6:$B$300=$A506,"Lui"&amp;IF('Lui'!$E$6:$E$300="",""," : "&amp;'Lui'!$E$6:$E$300)&amp;" ["&amp;'Lui'!$F$6:$F$300&amp;"]",""),IF('Thaís'!$B$6:$B$300=$A506,"Thaís"&amp;IF('Thaís'!$E$6:$E$300="",""," : "&amp;'Thaís'!$E$6:$E$300)&amp;" ["&amp;'Thaís'!$F$6:$F$300&amp;"]",""),IF('Daniel'!$B$6:$B$300=$A506,"Daniel"&amp;IF('Daniel'!$E$6:$E$300="",""," : "&amp;'Daniel'!$E$6:$E$300)&amp;" ["&amp;'Daniel'!$F$6:$F$300&amp;"]",""),IF('Fernando'!$B$6:$B$300=$A506,"Fernando"&amp;IF('Fernando'!$E$6:$E$300="",""," : "&amp;'Fernando'!$E$6:$E$300)&amp;" ["&amp;'Fernando'!$F$6:$F$300&amp;"]",""),IF('Stephanie'!$B$6:$B$300=$A506,"Stephanie"&amp;IF('Stephanie'!$E$6:$E$300="",""," : "&amp;'Stephanie'!$E$6:$E$300)&amp;" ["&amp;'Stephanie'!$F$6:$F$300&amp;"]",""),IF('Fox'!$B$6:$B$300=$A506,"Fox"&amp;IF('Fox'!$E$6:$E$300="",""," : "&amp;'Fox'!$E$6:$E$300)&amp;" ["&amp;'Fox'!$F$6:$F$300&amp;"]",""),IF('Bruna'!$B$6:$B$300=$A506,"Bruna"&amp;IF('Bruna'!$E$6:$E$300="",""," : "&amp;'Bruna'!$E$6:$E$300)&amp;" ["&amp;'Bruna'!$F$6:$F$300&amp;"]",""),IF('Stella'!$B$6:$B$300=$A506,"Stella"&amp;IF('Stella'!$E$6:$E$300="",""," : "&amp;'Stella'!$E$6:$E$300)&amp;" ["&amp;'Stella'!$F$6:$F$300&amp;"]",""),IF('Igor'!$B$6:$B$300=$A506,"Igor"&amp;IF('Igor'!$E$6:$E$300="",""," : "&amp;'Igor'!$E$6:$E$300)&amp;" ["&amp;'Igor'!$F$6:$F$300&amp;"]","")))</f>
        <v/>
      </c>
    </row>
    <row r="507">
      <c r="G507" s="23">
        <f>IF($A507="","",_xlfn.TEXTJOIN("; ",TRUE,IF(COUNTIF('Clarice'!$B$6:$B$300,$A507)&gt;0,"Clarice",""),IF(COUNTIF('Luisa'!$B$6:$B$300,$A507)&gt;0,"Luisa",""),IF(COUNTIF('Lui'!$B$6:$B$300,$A507)&gt;0,"Lui",""),IF(COUNTIF('Thaís'!$B$6:$B$300,$A507)&gt;0,"Thaís",""),IF(COUNTIF('Daniel'!$B$6:$B$300,$A507)&gt;0,"Daniel",""),IF(COUNTIF('Fernando'!$B$6:$B$300,$A507)&gt;0,"Fernando",""),IF(COUNTIF('Stephanie'!$B$6:$B$300,$A507)&gt;0,"Stephanie",""),IF(COUNTIF('Fox'!$B$6:$B$300,$A507)&gt;0,"Fox",""),IF(COUNTIF('Bruna'!$B$6:$B$300,$A507)&gt;0,"Bruna",""),IF(COUNTIF('Stella'!$B$6:$B$300,$A507)&gt;0,"Stella",""),IF(COUNTIF('Igor'!$B$6:$B$300,$A507)&gt;0,"Igor","")))</f>
        <v/>
      </c>
      <c r="J507" s="24">
        <f>IF(OR($A507="",(COUNTIF('Clarice'!$B$6:$B$300,$A507)+COUNTIF('Luisa'!$B$6:$B$300,$A507)+COUNTIF('Lui'!$B$6:$B$300,$A507)+COUNTIF('Thaís'!$B$6:$B$300,$A507)+COUNTIF('Daniel'!$B$6:$B$300,$A507)+COUNTIF('Fernando'!$B$6:$B$300,$A507)+COUNTIF('Stephanie'!$B$6:$B$300,$A507)+COUNTIF('Fox'!$B$6:$B$300,$A507)+COUNTIF('Bruna'!$B$6:$B$300,$A507)+COUNTIF('Stella'!$B$6:$B$300,$A507)+COUNTIF('Igor'!$B$6:$B$300,$A507))=0),"",(COUNTIFS('Clarice'!$B$6:$B$300,$A507,'Clarice'!$F$6:$F$300,"Concluído")+COUNTIFS('Luisa'!$B$6:$B$300,$A507,'Luisa'!$F$6:$F$300,"Concluído")+COUNTIFS('Lui'!$B$6:$B$300,$A507,'Lui'!$F$6:$F$300,"Concluído")+COUNTIFS('Thaís'!$B$6:$B$300,$A507,'Thaís'!$F$6:$F$300,"Concluído")+COUNTIFS('Daniel'!$B$6:$B$300,$A507,'Daniel'!$F$6:$F$300,"Concluído")+COUNTIFS('Fernando'!$B$6:$B$300,$A507,'Fernando'!$F$6:$F$300,"Concluído")+COUNTIFS('Stephanie'!$B$6:$B$300,$A507,'Stephanie'!$F$6:$F$300,"Concluído")+COUNTIFS('Fox'!$B$6:$B$300,$A507,'Fox'!$F$6:$F$300,"Concluído")+COUNTIFS('Bruna'!$B$6:$B$300,$A507,'Bruna'!$F$6:$F$300,"Concluído")+COUNTIFS('Stella'!$B$6:$B$300,$A507,'Stella'!$F$6:$F$300,"Concluído")+COUNTIFS('Igor'!$B$6:$B$300,$A507,'Igor'!$F$6:$F$300,"Concluído"))&amp;" / "&amp;(COUNTIF('Clarice'!$B$6:$B$300,$A507)+COUNTIF('Luisa'!$B$6:$B$300,$A507)+COUNTIF('Lui'!$B$6:$B$300,$A507)+COUNTIF('Thaís'!$B$6:$B$300,$A507)+COUNTIF('Daniel'!$B$6:$B$300,$A507)+COUNTIF('Fernando'!$B$6:$B$300,$A507)+COUNTIF('Stephanie'!$B$6:$B$300,$A507)+COUNTIF('Fox'!$B$6:$B$300,$A507)+COUNTIF('Bruna'!$B$6:$B$300,$A507)+COUNTIF('Stella'!$B$6:$B$300,$A507)+COUNTIF('Igor'!$B$6:$B$300,$A507)))</f>
        <v/>
      </c>
      <c r="P507" s="25">
        <f>IF($A507="","",IF(M507&lt;&gt;"",M507,IF(K507&lt;&gt;"",K507,"")))</f>
        <v/>
      </c>
      <c r="Q507" s="25">
        <f>IF($A507="","",IF(N507&lt;&gt;"",N507,IF(L507&lt;&gt;"",L507,"")))</f>
        <v/>
      </c>
      <c r="S507" s="23">
        <f t="array" ref="S507">IF($A507="","",_xlfn.TEXTJOIN(CHAR(10),TRUE,IF('Clarice'!$B$6:$B$300=$A507,"Clarice"&amp;IF('Clarice'!$E$6:$E$300="",""," : "&amp;'Clarice'!$E$6:$E$300)&amp;" ["&amp;'Clarice'!$F$6:$F$300&amp;"]",""),IF('Luisa'!$B$6:$B$300=$A507,"Luisa"&amp;IF('Luisa'!$E$6:$E$300="",""," : "&amp;'Luisa'!$E$6:$E$300)&amp;" ["&amp;'Luisa'!$F$6:$F$300&amp;"]",""),IF('Lui'!$B$6:$B$300=$A507,"Lui"&amp;IF('Lui'!$E$6:$E$300="",""," : "&amp;'Lui'!$E$6:$E$300)&amp;" ["&amp;'Lui'!$F$6:$F$300&amp;"]",""),IF('Thaís'!$B$6:$B$300=$A507,"Thaís"&amp;IF('Thaís'!$E$6:$E$300="",""," : "&amp;'Thaís'!$E$6:$E$300)&amp;" ["&amp;'Thaís'!$F$6:$F$300&amp;"]",""),IF('Daniel'!$B$6:$B$300=$A507,"Daniel"&amp;IF('Daniel'!$E$6:$E$300="",""," : "&amp;'Daniel'!$E$6:$E$300)&amp;" ["&amp;'Daniel'!$F$6:$F$300&amp;"]",""),IF('Fernando'!$B$6:$B$300=$A507,"Fernando"&amp;IF('Fernando'!$E$6:$E$300="",""," : "&amp;'Fernando'!$E$6:$E$300)&amp;" ["&amp;'Fernando'!$F$6:$F$300&amp;"]",""),IF('Stephanie'!$B$6:$B$300=$A507,"Stephanie"&amp;IF('Stephanie'!$E$6:$E$300="",""," : "&amp;'Stephanie'!$E$6:$E$300)&amp;" ["&amp;'Stephanie'!$F$6:$F$300&amp;"]",""),IF('Fox'!$B$6:$B$300=$A507,"Fox"&amp;IF('Fox'!$E$6:$E$300="",""," : "&amp;'Fox'!$E$6:$E$300)&amp;" ["&amp;'Fox'!$F$6:$F$300&amp;"]",""),IF('Bruna'!$B$6:$B$300=$A507,"Bruna"&amp;IF('Bruna'!$E$6:$E$300="",""," : "&amp;'Bruna'!$E$6:$E$300)&amp;" ["&amp;'Bruna'!$F$6:$F$300&amp;"]",""),IF('Stella'!$B$6:$B$300=$A507,"Stella"&amp;IF('Stella'!$E$6:$E$300="",""," : "&amp;'Stella'!$E$6:$E$300)&amp;" ["&amp;'Stella'!$F$6:$F$300&amp;"]",""),IF('Igor'!$B$6:$B$300=$A507,"Igor"&amp;IF('Igor'!$E$6:$E$300="",""," : "&amp;'Igor'!$E$6:$E$300)&amp;" ["&amp;'Igor'!$F$6:$F$300&amp;"]","")))</f>
        <v/>
      </c>
    </row>
    <row r="508">
      <c r="G508" s="23">
        <f>IF($A508="","",_xlfn.TEXTJOIN("; ",TRUE,IF(COUNTIF('Clarice'!$B$6:$B$300,$A508)&gt;0,"Clarice",""),IF(COUNTIF('Luisa'!$B$6:$B$300,$A508)&gt;0,"Luisa",""),IF(COUNTIF('Lui'!$B$6:$B$300,$A508)&gt;0,"Lui",""),IF(COUNTIF('Thaís'!$B$6:$B$300,$A508)&gt;0,"Thaís",""),IF(COUNTIF('Daniel'!$B$6:$B$300,$A508)&gt;0,"Daniel",""),IF(COUNTIF('Fernando'!$B$6:$B$300,$A508)&gt;0,"Fernando",""),IF(COUNTIF('Stephanie'!$B$6:$B$300,$A508)&gt;0,"Stephanie",""),IF(COUNTIF('Fox'!$B$6:$B$300,$A508)&gt;0,"Fox",""),IF(COUNTIF('Bruna'!$B$6:$B$300,$A508)&gt;0,"Bruna",""),IF(COUNTIF('Stella'!$B$6:$B$300,$A508)&gt;0,"Stella",""),IF(COUNTIF('Igor'!$B$6:$B$300,$A508)&gt;0,"Igor","")))</f>
        <v/>
      </c>
      <c r="J508" s="24">
        <f>IF(OR($A508="",(COUNTIF('Clarice'!$B$6:$B$300,$A508)+COUNTIF('Luisa'!$B$6:$B$300,$A508)+COUNTIF('Lui'!$B$6:$B$300,$A508)+COUNTIF('Thaís'!$B$6:$B$300,$A508)+COUNTIF('Daniel'!$B$6:$B$300,$A508)+COUNTIF('Fernando'!$B$6:$B$300,$A508)+COUNTIF('Stephanie'!$B$6:$B$300,$A508)+COUNTIF('Fox'!$B$6:$B$300,$A508)+COUNTIF('Bruna'!$B$6:$B$300,$A508)+COUNTIF('Stella'!$B$6:$B$300,$A508)+COUNTIF('Igor'!$B$6:$B$300,$A508))=0),"",(COUNTIFS('Clarice'!$B$6:$B$300,$A508,'Clarice'!$F$6:$F$300,"Concluído")+COUNTIFS('Luisa'!$B$6:$B$300,$A508,'Luisa'!$F$6:$F$300,"Concluído")+COUNTIFS('Lui'!$B$6:$B$300,$A508,'Lui'!$F$6:$F$300,"Concluído")+COUNTIFS('Thaís'!$B$6:$B$300,$A508,'Thaís'!$F$6:$F$300,"Concluído")+COUNTIFS('Daniel'!$B$6:$B$300,$A508,'Daniel'!$F$6:$F$300,"Concluído")+COUNTIFS('Fernando'!$B$6:$B$300,$A508,'Fernando'!$F$6:$F$300,"Concluído")+COUNTIFS('Stephanie'!$B$6:$B$300,$A508,'Stephanie'!$F$6:$F$300,"Concluído")+COUNTIFS('Fox'!$B$6:$B$300,$A508,'Fox'!$F$6:$F$300,"Concluído")+COUNTIFS('Bruna'!$B$6:$B$300,$A508,'Bruna'!$F$6:$F$300,"Concluído")+COUNTIFS('Stella'!$B$6:$B$300,$A508,'Stella'!$F$6:$F$300,"Concluído")+COUNTIFS('Igor'!$B$6:$B$300,$A508,'Igor'!$F$6:$F$300,"Concluído"))&amp;" / "&amp;(COUNTIF('Clarice'!$B$6:$B$300,$A508)+COUNTIF('Luisa'!$B$6:$B$300,$A508)+COUNTIF('Lui'!$B$6:$B$300,$A508)+COUNTIF('Thaís'!$B$6:$B$300,$A508)+COUNTIF('Daniel'!$B$6:$B$300,$A508)+COUNTIF('Fernando'!$B$6:$B$300,$A508)+COUNTIF('Stephanie'!$B$6:$B$300,$A508)+COUNTIF('Fox'!$B$6:$B$300,$A508)+COUNTIF('Bruna'!$B$6:$B$300,$A508)+COUNTIF('Stella'!$B$6:$B$300,$A508)+COUNTIF('Igor'!$B$6:$B$300,$A508)))</f>
        <v/>
      </c>
      <c r="P508" s="25">
        <f>IF($A508="","",IF(M508&lt;&gt;"",M508,IF(K508&lt;&gt;"",K508,"")))</f>
        <v/>
      </c>
      <c r="Q508" s="25">
        <f>IF($A508="","",IF(N508&lt;&gt;"",N508,IF(L508&lt;&gt;"",L508,"")))</f>
        <v/>
      </c>
      <c r="S508" s="23">
        <f t="array" ref="S508">IF($A508="","",_xlfn.TEXTJOIN(CHAR(10),TRUE,IF('Clarice'!$B$6:$B$300=$A508,"Clarice"&amp;IF('Clarice'!$E$6:$E$300="",""," : "&amp;'Clarice'!$E$6:$E$300)&amp;" ["&amp;'Clarice'!$F$6:$F$300&amp;"]",""),IF('Luisa'!$B$6:$B$300=$A508,"Luisa"&amp;IF('Luisa'!$E$6:$E$300="",""," : "&amp;'Luisa'!$E$6:$E$300)&amp;" ["&amp;'Luisa'!$F$6:$F$300&amp;"]",""),IF('Lui'!$B$6:$B$300=$A508,"Lui"&amp;IF('Lui'!$E$6:$E$300="",""," : "&amp;'Lui'!$E$6:$E$300)&amp;" ["&amp;'Lui'!$F$6:$F$300&amp;"]",""),IF('Thaís'!$B$6:$B$300=$A508,"Thaís"&amp;IF('Thaís'!$E$6:$E$300="",""," : "&amp;'Thaís'!$E$6:$E$300)&amp;" ["&amp;'Thaís'!$F$6:$F$300&amp;"]",""),IF('Daniel'!$B$6:$B$300=$A508,"Daniel"&amp;IF('Daniel'!$E$6:$E$300="",""," : "&amp;'Daniel'!$E$6:$E$300)&amp;" ["&amp;'Daniel'!$F$6:$F$300&amp;"]",""),IF('Fernando'!$B$6:$B$300=$A508,"Fernando"&amp;IF('Fernando'!$E$6:$E$300="",""," : "&amp;'Fernando'!$E$6:$E$300)&amp;" ["&amp;'Fernando'!$F$6:$F$300&amp;"]",""),IF('Stephanie'!$B$6:$B$300=$A508,"Stephanie"&amp;IF('Stephanie'!$E$6:$E$300="",""," : "&amp;'Stephanie'!$E$6:$E$300)&amp;" ["&amp;'Stephanie'!$F$6:$F$300&amp;"]",""),IF('Fox'!$B$6:$B$300=$A508,"Fox"&amp;IF('Fox'!$E$6:$E$300="",""," : "&amp;'Fox'!$E$6:$E$300)&amp;" ["&amp;'Fox'!$F$6:$F$300&amp;"]",""),IF('Bruna'!$B$6:$B$300=$A508,"Bruna"&amp;IF('Bruna'!$E$6:$E$300="",""," : "&amp;'Bruna'!$E$6:$E$300)&amp;" ["&amp;'Bruna'!$F$6:$F$300&amp;"]",""),IF('Stella'!$B$6:$B$300=$A508,"Stella"&amp;IF('Stella'!$E$6:$E$300="",""," : "&amp;'Stella'!$E$6:$E$300)&amp;" ["&amp;'Stella'!$F$6:$F$300&amp;"]",""),IF('Igor'!$B$6:$B$300=$A508,"Igor"&amp;IF('Igor'!$E$6:$E$300="",""," : "&amp;'Igor'!$E$6:$E$300)&amp;" ["&amp;'Igor'!$F$6:$F$300&amp;"]","")))</f>
        <v/>
      </c>
    </row>
    <row r="509">
      <c r="G509" s="23">
        <f>IF($A509="","",_xlfn.TEXTJOIN("; ",TRUE,IF(COUNTIF('Clarice'!$B$6:$B$300,$A509)&gt;0,"Clarice",""),IF(COUNTIF('Luisa'!$B$6:$B$300,$A509)&gt;0,"Luisa",""),IF(COUNTIF('Lui'!$B$6:$B$300,$A509)&gt;0,"Lui",""),IF(COUNTIF('Thaís'!$B$6:$B$300,$A509)&gt;0,"Thaís",""),IF(COUNTIF('Daniel'!$B$6:$B$300,$A509)&gt;0,"Daniel",""),IF(COUNTIF('Fernando'!$B$6:$B$300,$A509)&gt;0,"Fernando",""),IF(COUNTIF('Stephanie'!$B$6:$B$300,$A509)&gt;0,"Stephanie",""),IF(COUNTIF('Fox'!$B$6:$B$300,$A509)&gt;0,"Fox",""),IF(COUNTIF('Bruna'!$B$6:$B$300,$A509)&gt;0,"Bruna",""),IF(COUNTIF('Stella'!$B$6:$B$300,$A509)&gt;0,"Stella",""),IF(COUNTIF('Igor'!$B$6:$B$300,$A509)&gt;0,"Igor","")))</f>
        <v/>
      </c>
      <c r="J509" s="24">
        <f>IF(OR($A509="",(COUNTIF('Clarice'!$B$6:$B$300,$A509)+COUNTIF('Luisa'!$B$6:$B$300,$A509)+COUNTIF('Lui'!$B$6:$B$300,$A509)+COUNTIF('Thaís'!$B$6:$B$300,$A509)+COUNTIF('Daniel'!$B$6:$B$300,$A509)+COUNTIF('Fernando'!$B$6:$B$300,$A509)+COUNTIF('Stephanie'!$B$6:$B$300,$A509)+COUNTIF('Fox'!$B$6:$B$300,$A509)+COUNTIF('Bruna'!$B$6:$B$300,$A509)+COUNTIF('Stella'!$B$6:$B$300,$A509)+COUNTIF('Igor'!$B$6:$B$300,$A509))=0),"",(COUNTIFS('Clarice'!$B$6:$B$300,$A509,'Clarice'!$F$6:$F$300,"Concluído")+COUNTIFS('Luisa'!$B$6:$B$300,$A509,'Luisa'!$F$6:$F$300,"Concluído")+COUNTIFS('Lui'!$B$6:$B$300,$A509,'Lui'!$F$6:$F$300,"Concluído")+COUNTIFS('Thaís'!$B$6:$B$300,$A509,'Thaís'!$F$6:$F$300,"Concluído")+COUNTIFS('Daniel'!$B$6:$B$300,$A509,'Daniel'!$F$6:$F$300,"Concluído")+COUNTIFS('Fernando'!$B$6:$B$300,$A509,'Fernando'!$F$6:$F$300,"Concluído")+COUNTIFS('Stephanie'!$B$6:$B$300,$A509,'Stephanie'!$F$6:$F$300,"Concluído")+COUNTIFS('Fox'!$B$6:$B$300,$A509,'Fox'!$F$6:$F$300,"Concluído")+COUNTIFS('Bruna'!$B$6:$B$300,$A509,'Bruna'!$F$6:$F$300,"Concluído")+COUNTIFS('Stella'!$B$6:$B$300,$A509,'Stella'!$F$6:$F$300,"Concluído")+COUNTIFS('Igor'!$B$6:$B$300,$A509,'Igor'!$F$6:$F$300,"Concluído"))&amp;" / "&amp;(COUNTIF('Clarice'!$B$6:$B$300,$A509)+COUNTIF('Luisa'!$B$6:$B$300,$A509)+COUNTIF('Lui'!$B$6:$B$300,$A509)+COUNTIF('Thaís'!$B$6:$B$300,$A509)+COUNTIF('Daniel'!$B$6:$B$300,$A509)+COUNTIF('Fernando'!$B$6:$B$300,$A509)+COUNTIF('Stephanie'!$B$6:$B$300,$A509)+COUNTIF('Fox'!$B$6:$B$300,$A509)+COUNTIF('Bruna'!$B$6:$B$300,$A509)+COUNTIF('Stella'!$B$6:$B$300,$A509)+COUNTIF('Igor'!$B$6:$B$300,$A509)))</f>
        <v/>
      </c>
      <c r="P509" s="25">
        <f>IF($A509="","",IF(M509&lt;&gt;"",M509,IF(K509&lt;&gt;"",K509,"")))</f>
        <v/>
      </c>
      <c r="Q509" s="25">
        <f>IF($A509="","",IF(N509&lt;&gt;"",N509,IF(L509&lt;&gt;"",L509,"")))</f>
        <v/>
      </c>
      <c r="S509" s="23">
        <f t="array" ref="S509">IF($A509="","",_xlfn.TEXTJOIN(CHAR(10),TRUE,IF('Clarice'!$B$6:$B$300=$A509,"Clarice"&amp;IF('Clarice'!$E$6:$E$300="",""," : "&amp;'Clarice'!$E$6:$E$300)&amp;" ["&amp;'Clarice'!$F$6:$F$300&amp;"]",""),IF('Luisa'!$B$6:$B$300=$A509,"Luisa"&amp;IF('Luisa'!$E$6:$E$300="",""," : "&amp;'Luisa'!$E$6:$E$300)&amp;" ["&amp;'Luisa'!$F$6:$F$300&amp;"]",""),IF('Lui'!$B$6:$B$300=$A509,"Lui"&amp;IF('Lui'!$E$6:$E$300="",""," : "&amp;'Lui'!$E$6:$E$300)&amp;" ["&amp;'Lui'!$F$6:$F$300&amp;"]",""),IF('Thaís'!$B$6:$B$300=$A509,"Thaís"&amp;IF('Thaís'!$E$6:$E$300="",""," : "&amp;'Thaís'!$E$6:$E$300)&amp;" ["&amp;'Thaís'!$F$6:$F$300&amp;"]",""),IF('Daniel'!$B$6:$B$300=$A509,"Daniel"&amp;IF('Daniel'!$E$6:$E$300="",""," : "&amp;'Daniel'!$E$6:$E$300)&amp;" ["&amp;'Daniel'!$F$6:$F$300&amp;"]",""),IF('Fernando'!$B$6:$B$300=$A509,"Fernando"&amp;IF('Fernando'!$E$6:$E$300="",""," : "&amp;'Fernando'!$E$6:$E$300)&amp;" ["&amp;'Fernando'!$F$6:$F$300&amp;"]",""),IF('Stephanie'!$B$6:$B$300=$A509,"Stephanie"&amp;IF('Stephanie'!$E$6:$E$300="",""," : "&amp;'Stephanie'!$E$6:$E$300)&amp;" ["&amp;'Stephanie'!$F$6:$F$300&amp;"]",""),IF('Fox'!$B$6:$B$300=$A509,"Fox"&amp;IF('Fox'!$E$6:$E$300="",""," : "&amp;'Fox'!$E$6:$E$300)&amp;" ["&amp;'Fox'!$F$6:$F$300&amp;"]",""),IF('Bruna'!$B$6:$B$300=$A509,"Bruna"&amp;IF('Bruna'!$E$6:$E$300="",""," : "&amp;'Bruna'!$E$6:$E$300)&amp;" ["&amp;'Bruna'!$F$6:$F$300&amp;"]",""),IF('Stella'!$B$6:$B$300=$A509,"Stella"&amp;IF('Stella'!$E$6:$E$300="",""," : "&amp;'Stella'!$E$6:$E$300)&amp;" ["&amp;'Stella'!$F$6:$F$300&amp;"]",""),IF('Igor'!$B$6:$B$300=$A509,"Igor"&amp;IF('Igor'!$E$6:$E$300="",""," : "&amp;'Igor'!$E$6:$E$300)&amp;" ["&amp;'Igor'!$F$6:$F$300&amp;"]","")))</f>
        <v/>
      </c>
    </row>
    <row r="510">
      <c r="G510" s="23">
        <f>IF($A510="","",_xlfn.TEXTJOIN("; ",TRUE,IF(COUNTIF('Clarice'!$B$6:$B$300,$A510)&gt;0,"Clarice",""),IF(COUNTIF('Luisa'!$B$6:$B$300,$A510)&gt;0,"Luisa",""),IF(COUNTIF('Lui'!$B$6:$B$300,$A510)&gt;0,"Lui",""),IF(COUNTIF('Thaís'!$B$6:$B$300,$A510)&gt;0,"Thaís",""),IF(COUNTIF('Daniel'!$B$6:$B$300,$A510)&gt;0,"Daniel",""),IF(COUNTIF('Fernando'!$B$6:$B$300,$A510)&gt;0,"Fernando",""),IF(COUNTIF('Stephanie'!$B$6:$B$300,$A510)&gt;0,"Stephanie",""),IF(COUNTIF('Fox'!$B$6:$B$300,$A510)&gt;0,"Fox",""),IF(COUNTIF('Bruna'!$B$6:$B$300,$A510)&gt;0,"Bruna",""),IF(COUNTIF('Stella'!$B$6:$B$300,$A510)&gt;0,"Stella",""),IF(COUNTIF('Igor'!$B$6:$B$300,$A510)&gt;0,"Igor","")))</f>
        <v/>
      </c>
      <c r="J510" s="24">
        <f>IF(OR($A510="",(COUNTIF('Clarice'!$B$6:$B$300,$A510)+COUNTIF('Luisa'!$B$6:$B$300,$A510)+COUNTIF('Lui'!$B$6:$B$300,$A510)+COUNTIF('Thaís'!$B$6:$B$300,$A510)+COUNTIF('Daniel'!$B$6:$B$300,$A510)+COUNTIF('Fernando'!$B$6:$B$300,$A510)+COUNTIF('Stephanie'!$B$6:$B$300,$A510)+COUNTIF('Fox'!$B$6:$B$300,$A510)+COUNTIF('Bruna'!$B$6:$B$300,$A510)+COUNTIF('Stella'!$B$6:$B$300,$A510)+COUNTIF('Igor'!$B$6:$B$300,$A510))=0),"",(COUNTIFS('Clarice'!$B$6:$B$300,$A510,'Clarice'!$F$6:$F$300,"Concluído")+COUNTIFS('Luisa'!$B$6:$B$300,$A510,'Luisa'!$F$6:$F$300,"Concluído")+COUNTIFS('Lui'!$B$6:$B$300,$A510,'Lui'!$F$6:$F$300,"Concluído")+COUNTIFS('Thaís'!$B$6:$B$300,$A510,'Thaís'!$F$6:$F$300,"Concluído")+COUNTIFS('Daniel'!$B$6:$B$300,$A510,'Daniel'!$F$6:$F$300,"Concluído")+COUNTIFS('Fernando'!$B$6:$B$300,$A510,'Fernando'!$F$6:$F$300,"Concluído")+COUNTIFS('Stephanie'!$B$6:$B$300,$A510,'Stephanie'!$F$6:$F$300,"Concluído")+COUNTIFS('Fox'!$B$6:$B$300,$A510,'Fox'!$F$6:$F$300,"Concluído")+COUNTIFS('Bruna'!$B$6:$B$300,$A510,'Bruna'!$F$6:$F$300,"Concluído")+COUNTIFS('Stella'!$B$6:$B$300,$A510,'Stella'!$F$6:$F$300,"Concluído")+COUNTIFS('Igor'!$B$6:$B$300,$A510,'Igor'!$F$6:$F$300,"Concluído"))&amp;" / "&amp;(COUNTIF('Clarice'!$B$6:$B$300,$A510)+COUNTIF('Luisa'!$B$6:$B$300,$A510)+COUNTIF('Lui'!$B$6:$B$300,$A510)+COUNTIF('Thaís'!$B$6:$B$300,$A510)+COUNTIF('Daniel'!$B$6:$B$300,$A510)+COUNTIF('Fernando'!$B$6:$B$300,$A510)+COUNTIF('Stephanie'!$B$6:$B$300,$A510)+COUNTIF('Fox'!$B$6:$B$300,$A510)+COUNTIF('Bruna'!$B$6:$B$300,$A510)+COUNTIF('Stella'!$B$6:$B$300,$A510)+COUNTIF('Igor'!$B$6:$B$300,$A510)))</f>
        <v/>
      </c>
      <c r="P510" s="25">
        <f>IF($A510="","",IF(M510&lt;&gt;"",M510,IF(K510&lt;&gt;"",K510,"")))</f>
        <v/>
      </c>
      <c r="Q510" s="25">
        <f>IF($A510="","",IF(N510&lt;&gt;"",N510,IF(L510&lt;&gt;"",L510,"")))</f>
        <v/>
      </c>
      <c r="S510" s="23">
        <f t="array" ref="S510">IF($A510="","",_xlfn.TEXTJOIN(CHAR(10),TRUE,IF('Clarice'!$B$6:$B$300=$A510,"Clarice"&amp;IF('Clarice'!$E$6:$E$300="",""," : "&amp;'Clarice'!$E$6:$E$300)&amp;" ["&amp;'Clarice'!$F$6:$F$300&amp;"]",""),IF('Luisa'!$B$6:$B$300=$A510,"Luisa"&amp;IF('Luisa'!$E$6:$E$300="",""," : "&amp;'Luisa'!$E$6:$E$300)&amp;" ["&amp;'Luisa'!$F$6:$F$300&amp;"]",""),IF('Lui'!$B$6:$B$300=$A510,"Lui"&amp;IF('Lui'!$E$6:$E$300="",""," : "&amp;'Lui'!$E$6:$E$300)&amp;" ["&amp;'Lui'!$F$6:$F$300&amp;"]",""),IF('Thaís'!$B$6:$B$300=$A510,"Thaís"&amp;IF('Thaís'!$E$6:$E$300="",""," : "&amp;'Thaís'!$E$6:$E$300)&amp;" ["&amp;'Thaís'!$F$6:$F$300&amp;"]",""),IF('Daniel'!$B$6:$B$300=$A510,"Daniel"&amp;IF('Daniel'!$E$6:$E$300="",""," : "&amp;'Daniel'!$E$6:$E$300)&amp;" ["&amp;'Daniel'!$F$6:$F$300&amp;"]",""),IF('Fernando'!$B$6:$B$300=$A510,"Fernando"&amp;IF('Fernando'!$E$6:$E$300="",""," : "&amp;'Fernando'!$E$6:$E$300)&amp;" ["&amp;'Fernando'!$F$6:$F$300&amp;"]",""),IF('Stephanie'!$B$6:$B$300=$A510,"Stephanie"&amp;IF('Stephanie'!$E$6:$E$300="",""," : "&amp;'Stephanie'!$E$6:$E$300)&amp;" ["&amp;'Stephanie'!$F$6:$F$300&amp;"]",""),IF('Fox'!$B$6:$B$300=$A510,"Fox"&amp;IF('Fox'!$E$6:$E$300="",""," : "&amp;'Fox'!$E$6:$E$300)&amp;" ["&amp;'Fox'!$F$6:$F$300&amp;"]",""),IF('Bruna'!$B$6:$B$300=$A510,"Bruna"&amp;IF('Bruna'!$E$6:$E$300="",""," : "&amp;'Bruna'!$E$6:$E$300)&amp;" ["&amp;'Bruna'!$F$6:$F$300&amp;"]",""),IF('Stella'!$B$6:$B$300=$A510,"Stella"&amp;IF('Stella'!$E$6:$E$300="",""," : "&amp;'Stella'!$E$6:$E$300)&amp;" ["&amp;'Stella'!$F$6:$F$300&amp;"]",""),IF('Igor'!$B$6:$B$300=$A510,"Igor"&amp;IF('Igor'!$E$6:$E$300="",""," : "&amp;'Igor'!$E$6:$E$300)&amp;" ["&amp;'Igor'!$F$6:$F$300&amp;"]","")))</f>
        <v/>
      </c>
    </row>
    <row r="511">
      <c r="G511" s="23">
        <f>IF($A511="","",_xlfn.TEXTJOIN("; ",TRUE,IF(COUNTIF('Clarice'!$B$6:$B$300,$A511)&gt;0,"Clarice",""),IF(COUNTIF('Luisa'!$B$6:$B$300,$A511)&gt;0,"Luisa",""),IF(COUNTIF('Lui'!$B$6:$B$300,$A511)&gt;0,"Lui",""),IF(COUNTIF('Thaís'!$B$6:$B$300,$A511)&gt;0,"Thaís",""),IF(COUNTIF('Daniel'!$B$6:$B$300,$A511)&gt;0,"Daniel",""),IF(COUNTIF('Fernando'!$B$6:$B$300,$A511)&gt;0,"Fernando",""),IF(COUNTIF('Stephanie'!$B$6:$B$300,$A511)&gt;0,"Stephanie",""),IF(COUNTIF('Fox'!$B$6:$B$300,$A511)&gt;0,"Fox",""),IF(COUNTIF('Bruna'!$B$6:$B$300,$A511)&gt;0,"Bruna",""),IF(COUNTIF('Stella'!$B$6:$B$300,$A511)&gt;0,"Stella",""),IF(COUNTIF('Igor'!$B$6:$B$300,$A511)&gt;0,"Igor","")))</f>
        <v/>
      </c>
      <c r="J511" s="24">
        <f>IF(OR($A511="",(COUNTIF('Clarice'!$B$6:$B$300,$A511)+COUNTIF('Luisa'!$B$6:$B$300,$A511)+COUNTIF('Lui'!$B$6:$B$300,$A511)+COUNTIF('Thaís'!$B$6:$B$300,$A511)+COUNTIF('Daniel'!$B$6:$B$300,$A511)+COUNTIF('Fernando'!$B$6:$B$300,$A511)+COUNTIF('Stephanie'!$B$6:$B$300,$A511)+COUNTIF('Fox'!$B$6:$B$300,$A511)+COUNTIF('Bruna'!$B$6:$B$300,$A511)+COUNTIF('Stella'!$B$6:$B$300,$A511)+COUNTIF('Igor'!$B$6:$B$300,$A511))=0),"",(COUNTIFS('Clarice'!$B$6:$B$300,$A511,'Clarice'!$F$6:$F$300,"Concluído")+COUNTIFS('Luisa'!$B$6:$B$300,$A511,'Luisa'!$F$6:$F$300,"Concluído")+COUNTIFS('Lui'!$B$6:$B$300,$A511,'Lui'!$F$6:$F$300,"Concluído")+COUNTIFS('Thaís'!$B$6:$B$300,$A511,'Thaís'!$F$6:$F$300,"Concluído")+COUNTIFS('Daniel'!$B$6:$B$300,$A511,'Daniel'!$F$6:$F$300,"Concluído")+COUNTIFS('Fernando'!$B$6:$B$300,$A511,'Fernando'!$F$6:$F$300,"Concluído")+COUNTIFS('Stephanie'!$B$6:$B$300,$A511,'Stephanie'!$F$6:$F$300,"Concluído")+COUNTIFS('Fox'!$B$6:$B$300,$A511,'Fox'!$F$6:$F$300,"Concluído")+COUNTIFS('Bruna'!$B$6:$B$300,$A511,'Bruna'!$F$6:$F$300,"Concluído")+COUNTIFS('Stella'!$B$6:$B$300,$A511,'Stella'!$F$6:$F$300,"Concluído")+COUNTIFS('Igor'!$B$6:$B$300,$A511,'Igor'!$F$6:$F$300,"Concluído"))&amp;" / "&amp;(COUNTIF('Clarice'!$B$6:$B$300,$A511)+COUNTIF('Luisa'!$B$6:$B$300,$A511)+COUNTIF('Lui'!$B$6:$B$300,$A511)+COUNTIF('Thaís'!$B$6:$B$300,$A511)+COUNTIF('Daniel'!$B$6:$B$300,$A511)+COUNTIF('Fernando'!$B$6:$B$300,$A511)+COUNTIF('Stephanie'!$B$6:$B$300,$A511)+COUNTIF('Fox'!$B$6:$B$300,$A511)+COUNTIF('Bruna'!$B$6:$B$300,$A511)+COUNTIF('Stella'!$B$6:$B$300,$A511)+COUNTIF('Igor'!$B$6:$B$300,$A511)))</f>
        <v/>
      </c>
      <c r="P511" s="25">
        <f>IF($A511="","",IF(M511&lt;&gt;"",M511,IF(K511&lt;&gt;"",K511,"")))</f>
        <v/>
      </c>
      <c r="Q511" s="25">
        <f>IF($A511="","",IF(N511&lt;&gt;"",N511,IF(L511&lt;&gt;"",L511,"")))</f>
        <v/>
      </c>
      <c r="S511" s="23">
        <f t="array" ref="S511">IF($A511="","",_xlfn.TEXTJOIN(CHAR(10),TRUE,IF('Clarice'!$B$6:$B$300=$A511,"Clarice"&amp;IF('Clarice'!$E$6:$E$300="",""," : "&amp;'Clarice'!$E$6:$E$300)&amp;" ["&amp;'Clarice'!$F$6:$F$300&amp;"]",""),IF('Luisa'!$B$6:$B$300=$A511,"Luisa"&amp;IF('Luisa'!$E$6:$E$300="",""," : "&amp;'Luisa'!$E$6:$E$300)&amp;" ["&amp;'Luisa'!$F$6:$F$300&amp;"]",""),IF('Lui'!$B$6:$B$300=$A511,"Lui"&amp;IF('Lui'!$E$6:$E$300="",""," : "&amp;'Lui'!$E$6:$E$300)&amp;" ["&amp;'Lui'!$F$6:$F$300&amp;"]",""),IF('Thaís'!$B$6:$B$300=$A511,"Thaís"&amp;IF('Thaís'!$E$6:$E$300="",""," : "&amp;'Thaís'!$E$6:$E$300)&amp;" ["&amp;'Thaís'!$F$6:$F$300&amp;"]",""),IF('Daniel'!$B$6:$B$300=$A511,"Daniel"&amp;IF('Daniel'!$E$6:$E$300="",""," : "&amp;'Daniel'!$E$6:$E$300)&amp;" ["&amp;'Daniel'!$F$6:$F$300&amp;"]",""),IF('Fernando'!$B$6:$B$300=$A511,"Fernando"&amp;IF('Fernando'!$E$6:$E$300="",""," : "&amp;'Fernando'!$E$6:$E$300)&amp;" ["&amp;'Fernando'!$F$6:$F$300&amp;"]",""),IF('Stephanie'!$B$6:$B$300=$A511,"Stephanie"&amp;IF('Stephanie'!$E$6:$E$300="",""," : "&amp;'Stephanie'!$E$6:$E$300)&amp;" ["&amp;'Stephanie'!$F$6:$F$300&amp;"]",""),IF('Fox'!$B$6:$B$300=$A511,"Fox"&amp;IF('Fox'!$E$6:$E$300="",""," : "&amp;'Fox'!$E$6:$E$300)&amp;" ["&amp;'Fox'!$F$6:$F$300&amp;"]",""),IF('Bruna'!$B$6:$B$300=$A511,"Bruna"&amp;IF('Bruna'!$E$6:$E$300="",""," : "&amp;'Bruna'!$E$6:$E$300)&amp;" ["&amp;'Bruna'!$F$6:$F$300&amp;"]",""),IF('Stella'!$B$6:$B$300=$A511,"Stella"&amp;IF('Stella'!$E$6:$E$300="",""," : "&amp;'Stella'!$E$6:$E$300)&amp;" ["&amp;'Stella'!$F$6:$F$300&amp;"]",""),IF('Igor'!$B$6:$B$300=$A511,"Igor"&amp;IF('Igor'!$E$6:$E$300="",""," : "&amp;'Igor'!$E$6:$E$300)&amp;" ["&amp;'Igor'!$F$6:$F$300&amp;"]","")))</f>
        <v/>
      </c>
    </row>
    <row r="512">
      <c r="G512" s="23">
        <f>IF($A512="","",_xlfn.TEXTJOIN("; ",TRUE,IF(COUNTIF('Clarice'!$B$6:$B$300,$A512)&gt;0,"Clarice",""),IF(COUNTIF('Luisa'!$B$6:$B$300,$A512)&gt;0,"Luisa",""),IF(COUNTIF('Lui'!$B$6:$B$300,$A512)&gt;0,"Lui",""),IF(COUNTIF('Thaís'!$B$6:$B$300,$A512)&gt;0,"Thaís",""),IF(COUNTIF('Daniel'!$B$6:$B$300,$A512)&gt;0,"Daniel",""),IF(COUNTIF('Fernando'!$B$6:$B$300,$A512)&gt;0,"Fernando",""),IF(COUNTIF('Stephanie'!$B$6:$B$300,$A512)&gt;0,"Stephanie",""),IF(COUNTIF('Fox'!$B$6:$B$300,$A512)&gt;0,"Fox",""),IF(COUNTIF('Bruna'!$B$6:$B$300,$A512)&gt;0,"Bruna",""),IF(COUNTIF('Stella'!$B$6:$B$300,$A512)&gt;0,"Stella",""),IF(COUNTIF('Igor'!$B$6:$B$300,$A512)&gt;0,"Igor","")))</f>
        <v/>
      </c>
      <c r="J512" s="24">
        <f>IF(OR($A512="",(COUNTIF('Clarice'!$B$6:$B$300,$A512)+COUNTIF('Luisa'!$B$6:$B$300,$A512)+COUNTIF('Lui'!$B$6:$B$300,$A512)+COUNTIF('Thaís'!$B$6:$B$300,$A512)+COUNTIF('Daniel'!$B$6:$B$300,$A512)+COUNTIF('Fernando'!$B$6:$B$300,$A512)+COUNTIF('Stephanie'!$B$6:$B$300,$A512)+COUNTIF('Fox'!$B$6:$B$300,$A512)+COUNTIF('Bruna'!$B$6:$B$300,$A512)+COUNTIF('Stella'!$B$6:$B$300,$A512)+COUNTIF('Igor'!$B$6:$B$300,$A512))=0),"",(COUNTIFS('Clarice'!$B$6:$B$300,$A512,'Clarice'!$F$6:$F$300,"Concluído")+COUNTIFS('Luisa'!$B$6:$B$300,$A512,'Luisa'!$F$6:$F$300,"Concluído")+COUNTIFS('Lui'!$B$6:$B$300,$A512,'Lui'!$F$6:$F$300,"Concluído")+COUNTIFS('Thaís'!$B$6:$B$300,$A512,'Thaís'!$F$6:$F$300,"Concluído")+COUNTIFS('Daniel'!$B$6:$B$300,$A512,'Daniel'!$F$6:$F$300,"Concluído")+COUNTIFS('Fernando'!$B$6:$B$300,$A512,'Fernando'!$F$6:$F$300,"Concluído")+COUNTIFS('Stephanie'!$B$6:$B$300,$A512,'Stephanie'!$F$6:$F$300,"Concluído")+COUNTIFS('Fox'!$B$6:$B$300,$A512,'Fox'!$F$6:$F$300,"Concluído")+COUNTIFS('Bruna'!$B$6:$B$300,$A512,'Bruna'!$F$6:$F$300,"Concluído")+COUNTIFS('Stella'!$B$6:$B$300,$A512,'Stella'!$F$6:$F$300,"Concluído")+COUNTIFS('Igor'!$B$6:$B$300,$A512,'Igor'!$F$6:$F$300,"Concluído"))&amp;" / "&amp;(COUNTIF('Clarice'!$B$6:$B$300,$A512)+COUNTIF('Luisa'!$B$6:$B$300,$A512)+COUNTIF('Lui'!$B$6:$B$300,$A512)+COUNTIF('Thaís'!$B$6:$B$300,$A512)+COUNTIF('Daniel'!$B$6:$B$300,$A512)+COUNTIF('Fernando'!$B$6:$B$300,$A512)+COUNTIF('Stephanie'!$B$6:$B$300,$A512)+COUNTIF('Fox'!$B$6:$B$300,$A512)+COUNTIF('Bruna'!$B$6:$B$300,$A512)+COUNTIF('Stella'!$B$6:$B$300,$A512)+COUNTIF('Igor'!$B$6:$B$300,$A512)))</f>
        <v/>
      </c>
      <c r="P512" s="25">
        <f>IF($A512="","",IF(M512&lt;&gt;"",M512,IF(K512&lt;&gt;"",K512,"")))</f>
        <v/>
      </c>
      <c r="Q512" s="25">
        <f>IF($A512="","",IF(N512&lt;&gt;"",N512,IF(L512&lt;&gt;"",L512,"")))</f>
        <v/>
      </c>
      <c r="S512" s="23">
        <f t="array" ref="S512">IF($A512="","",_xlfn.TEXTJOIN(CHAR(10),TRUE,IF('Clarice'!$B$6:$B$300=$A512,"Clarice"&amp;IF('Clarice'!$E$6:$E$300="",""," : "&amp;'Clarice'!$E$6:$E$300)&amp;" ["&amp;'Clarice'!$F$6:$F$300&amp;"]",""),IF('Luisa'!$B$6:$B$300=$A512,"Luisa"&amp;IF('Luisa'!$E$6:$E$300="",""," : "&amp;'Luisa'!$E$6:$E$300)&amp;" ["&amp;'Luisa'!$F$6:$F$300&amp;"]",""),IF('Lui'!$B$6:$B$300=$A512,"Lui"&amp;IF('Lui'!$E$6:$E$300="",""," : "&amp;'Lui'!$E$6:$E$300)&amp;" ["&amp;'Lui'!$F$6:$F$300&amp;"]",""),IF('Thaís'!$B$6:$B$300=$A512,"Thaís"&amp;IF('Thaís'!$E$6:$E$300="",""," : "&amp;'Thaís'!$E$6:$E$300)&amp;" ["&amp;'Thaís'!$F$6:$F$300&amp;"]",""),IF('Daniel'!$B$6:$B$300=$A512,"Daniel"&amp;IF('Daniel'!$E$6:$E$300="",""," : "&amp;'Daniel'!$E$6:$E$300)&amp;" ["&amp;'Daniel'!$F$6:$F$300&amp;"]",""),IF('Fernando'!$B$6:$B$300=$A512,"Fernando"&amp;IF('Fernando'!$E$6:$E$300="",""," : "&amp;'Fernando'!$E$6:$E$300)&amp;" ["&amp;'Fernando'!$F$6:$F$300&amp;"]",""),IF('Stephanie'!$B$6:$B$300=$A512,"Stephanie"&amp;IF('Stephanie'!$E$6:$E$300="",""," : "&amp;'Stephanie'!$E$6:$E$300)&amp;" ["&amp;'Stephanie'!$F$6:$F$300&amp;"]",""),IF('Fox'!$B$6:$B$300=$A512,"Fox"&amp;IF('Fox'!$E$6:$E$300="",""," : "&amp;'Fox'!$E$6:$E$300)&amp;" ["&amp;'Fox'!$F$6:$F$300&amp;"]",""),IF('Bruna'!$B$6:$B$300=$A512,"Bruna"&amp;IF('Bruna'!$E$6:$E$300="",""," : "&amp;'Bruna'!$E$6:$E$300)&amp;" ["&amp;'Bruna'!$F$6:$F$300&amp;"]",""),IF('Stella'!$B$6:$B$300=$A512,"Stella"&amp;IF('Stella'!$E$6:$E$300="",""," : "&amp;'Stella'!$E$6:$E$300)&amp;" ["&amp;'Stella'!$F$6:$F$300&amp;"]",""),IF('Igor'!$B$6:$B$300=$A512,"Igor"&amp;IF('Igor'!$E$6:$E$300="",""," : "&amp;'Igor'!$E$6:$E$300)&amp;" ["&amp;'Igor'!$F$6:$F$300&amp;"]","")))</f>
        <v/>
      </c>
    </row>
    <row r="513">
      <c r="G513" s="23">
        <f>IF($A513="","",_xlfn.TEXTJOIN("; ",TRUE,IF(COUNTIF('Clarice'!$B$6:$B$300,$A513)&gt;0,"Clarice",""),IF(COUNTIF('Luisa'!$B$6:$B$300,$A513)&gt;0,"Luisa",""),IF(COUNTIF('Lui'!$B$6:$B$300,$A513)&gt;0,"Lui",""),IF(COUNTIF('Thaís'!$B$6:$B$300,$A513)&gt;0,"Thaís",""),IF(COUNTIF('Daniel'!$B$6:$B$300,$A513)&gt;0,"Daniel",""),IF(COUNTIF('Fernando'!$B$6:$B$300,$A513)&gt;0,"Fernando",""),IF(COUNTIF('Stephanie'!$B$6:$B$300,$A513)&gt;0,"Stephanie",""),IF(COUNTIF('Fox'!$B$6:$B$300,$A513)&gt;0,"Fox",""),IF(COUNTIF('Bruna'!$B$6:$B$300,$A513)&gt;0,"Bruna",""),IF(COUNTIF('Stella'!$B$6:$B$300,$A513)&gt;0,"Stella",""),IF(COUNTIF('Igor'!$B$6:$B$300,$A513)&gt;0,"Igor","")))</f>
        <v/>
      </c>
      <c r="J513" s="24">
        <f>IF(OR($A513="",(COUNTIF('Clarice'!$B$6:$B$300,$A513)+COUNTIF('Luisa'!$B$6:$B$300,$A513)+COUNTIF('Lui'!$B$6:$B$300,$A513)+COUNTIF('Thaís'!$B$6:$B$300,$A513)+COUNTIF('Daniel'!$B$6:$B$300,$A513)+COUNTIF('Fernando'!$B$6:$B$300,$A513)+COUNTIF('Stephanie'!$B$6:$B$300,$A513)+COUNTIF('Fox'!$B$6:$B$300,$A513)+COUNTIF('Bruna'!$B$6:$B$300,$A513)+COUNTIF('Stella'!$B$6:$B$300,$A513)+COUNTIF('Igor'!$B$6:$B$300,$A513))=0),"",(COUNTIFS('Clarice'!$B$6:$B$300,$A513,'Clarice'!$F$6:$F$300,"Concluído")+COUNTIFS('Luisa'!$B$6:$B$300,$A513,'Luisa'!$F$6:$F$300,"Concluído")+COUNTIFS('Lui'!$B$6:$B$300,$A513,'Lui'!$F$6:$F$300,"Concluído")+COUNTIFS('Thaís'!$B$6:$B$300,$A513,'Thaís'!$F$6:$F$300,"Concluído")+COUNTIFS('Daniel'!$B$6:$B$300,$A513,'Daniel'!$F$6:$F$300,"Concluído")+COUNTIFS('Fernando'!$B$6:$B$300,$A513,'Fernando'!$F$6:$F$300,"Concluído")+COUNTIFS('Stephanie'!$B$6:$B$300,$A513,'Stephanie'!$F$6:$F$300,"Concluído")+COUNTIFS('Fox'!$B$6:$B$300,$A513,'Fox'!$F$6:$F$300,"Concluído")+COUNTIFS('Bruna'!$B$6:$B$300,$A513,'Bruna'!$F$6:$F$300,"Concluído")+COUNTIFS('Stella'!$B$6:$B$300,$A513,'Stella'!$F$6:$F$300,"Concluído")+COUNTIFS('Igor'!$B$6:$B$300,$A513,'Igor'!$F$6:$F$300,"Concluído"))&amp;" / "&amp;(COUNTIF('Clarice'!$B$6:$B$300,$A513)+COUNTIF('Luisa'!$B$6:$B$300,$A513)+COUNTIF('Lui'!$B$6:$B$300,$A513)+COUNTIF('Thaís'!$B$6:$B$300,$A513)+COUNTIF('Daniel'!$B$6:$B$300,$A513)+COUNTIF('Fernando'!$B$6:$B$300,$A513)+COUNTIF('Stephanie'!$B$6:$B$300,$A513)+COUNTIF('Fox'!$B$6:$B$300,$A513)+COUNTIF('Bruna'!$B$6:$B$300,$A513)+COUNTIF('Stella'!$B$6:$B$300,$A513)+COUNTIF('Igor'!$B$6:$B$300,$A513)))</f>
        <v/>
      </c>
      <c r="P513" s="25">
        <f>IF($A513="","",IF(M513&lt;&gt;"",M513,IF(K513&lt;&gt;"",K513,"")))</f>
        <v/>
      </c>
      <c r="Q513" s="25">
        <f>IF($A513="","",IF(N513&lt;&gt;"",N513,IF(L513&lt;&gt;"",L513,"")))</f>
        <v/>
      </c>
      <c r="S513" s="23">
        <f t="array" ref="S513">IF($A513="","",_xlfn.TEXTJOIN(CHAR(10),TRUE,IF('Clarice'!$B$6:$B$300=$A513,"Clarice"&amp;IF('Clarice'!$E$6:$E$300="",""," : "&amp;'Clarice'!$E$6:$E$300)&amp;" ["&amp;'Clarice'!$F$6:$F$300&amp;"]",""),IF('Luisa'!$B$6:$B$300=$A513,"Luisa"&amp;IF('Luisa'!$E$6:$E$300="",""," : "&amp;'Luisa'!$E$6:$E$300)&amp;" ["&amp;'Luisa'!$F$6:$F$300&amp;"]",""),IF('Lui'!$B$6:$B$300=$A513,"Lui"&amp;IF('Lui'!$E$6:$E$300="",""," : "&amp;'Lui'!$E$6:$E$300)&amp;" ["&amp;'Lui'!$F$6:$F$300&amp;"]",""),IF('Thaís'!$B$6:$B$300=$A513,"Thaís"&amp;IF('Thaís'!$E$6:$E$300="",""," : "&amp;'Thaís'!$E$6:$E$300)&amp;" ["&amp;'Thaís'!$F$6:$F$300&amp;"]",""),IF('Daniel'!$B$6:$B$300=$A513,"Daniel"&amp;IF('Daniel'!$E$6:$E$300="",""," : "&amp;'Daniel'!$E$6:$E$300)&amp;" ["&amp;'Daniel'!$F$6:$F$300&amp;"]",""),IF('Fernando'!$B$6:$B$300=$A513,"Fernando"&amp;IF('Fernando'!$E$6:$E$300="",""," : "&amp;'Fernando'!$E$6:$E$300)&amp;" ["&amp;'Fernando'!$F$6:$F$300&amp;"]",""),IF('Stephanie'!$B$6:$B$300=$A513,"Stephanie"&amp;IF('Stephanie'!$E$6:$E$300="",""," : "&amp;'Stephanie'!$E$6:$E$300)&amp;" ["&amp;'Stephanie'!$F$6:$F$300&amp;"]",""),IF('Fox'!$B$6:$B$300=$A513,"Fox"&amp;IF('Fox'!$E$6:$E$300="",""," : "&amp;'Fox'!$E$6:$E$300)&amp;" ["&amp;'Fox'!$F$6:$F$300&amp;"]",""),IF('Bruna'!$B$6:$B$300=$A513,"Bruna"&amp;IF('Bruna'!$E$6:$E$300="",""," : "&amp;'Bruna'!$E$6:$E$300)&amp;" ["&amp;'Bruna'!$F$6:$F$300&amp;"]",""),IF('Stella'!$B$6:$B$300=$A513,"Stella"&amp;IF('Stella'!$E$6:$E$300="",""," : "&amp;'Stella'!$E$6:$E$300)&amp;" ["&amp;'Stella'!$F$6:$F$300&amp;"]",""),IF('Igor'!$B$6:$B$300=$A513,"Igor"&amp;IF('Igor'!$E$6:$E$300="",""," : "&amp;'Igor'!$E$6:$E$300)&amp;" ["&amp;'Igor'!$F$6:$F$300&amp;"]","")))</f>
        <v/>
      </c>
    </row>
    <row r="514">
      <c r="G514" s="23">
        <f>IF($A514="","",_xlfn.TEXTJOIN("; ",TRUE,IF(COUNTIF('Clarice'!$B$6:$B$300,$A514)&gt;0,"Clarice",""),IF(COUNTIF('Luisa'!$B$6:$B$300,$A514)&gt;0,"Luisa",""),IF(COUNTIF('Lui'!$B$6:$B$300,$A514)&gt;0,"Lui",""),IF(COUNTIF('Thaís'!$B$6:$B$300,$A514)&gt;0,"Thaís",""),IF(COUNTIF('Daniel'!$B$6:$B$300,$A514)&gt;0,"Daniel",""),IF(COUNTIF('Fernando'!$B$6:$B$300,$A514)&gt;0,"Fernando",""),IF(COUNTIF('Stephanie'!$B$6:$B$300,$A514)&gt;0,"Stephanie",""),IF(COUNTIF('Fox'!$B$6:$B$300,$A514)&gt;0,"Fox",""),IF(COUNTIF('Bruna'!$B$6:$B$300,$A514)&gt;0,"Bruna",""),IF(COUNTIF('Stella'!$B$6:$B$300,$A514)&gt;0,"Stella",""),IF(COUNTIF('Igor'!$B$6:$B$300,$A514)&gt;0,"Igor","")))</f>
        <v/>
      </c>
      <c r="J514" s="24">
        <f>IF(OR($A514="",(COUNTIF('Clarice'!$B$6:$B$300,$A514)+COUNTIF('Luisa'!$B$6:$B$300,$A514)+COUNTIF('Lui'!$B$6:$B$300,$A514)+COUNTIF('Thaís'!$B$6:$B$300,$A514)+COUNTIF('Daniel'!$B$6:$B$300,$A514)+COUNTIF('Fernando'!$B$6:$B$300,$A514)+COUNTIF('Stephanie'!$B$6:$B$300,$A514)+COUNTIF('Fox'!$B$6:$B$300,$A514)+COUNTIF('Bruna'!$B$6:$B$300,$A514)+COUNTIF('Stella'!$B$6:$B$300,$A514)+COUNTIF('Igor'!$B$6:$B$300,$A514))=0),"",(COUNTIFS('Clarice'!$B$6:$B$300,$A514,'Clarice'!$F$6:$F$300,"Concluído")+COUNTIFS('Luisa'!$B$6:$B$300,$A514,'Luisa'!$F$6:$F$300,"Concluído")+COUNTIFS('Lui'!$B$6:$B$300,$A514,'Lui'!$F$6:$F$300,"Concluído")+COUNTIFS('Thaís'!$B$6:$B$300,$A514,'Thaís'!$F$6:$F$300,"Concluído")+COUNTIFS('Daniel'!$B$6:$B$300,$A514,'Daniel'!$F$6:$F$300,"Concluído")+COUNTIFS('Fernando'!$B$6:$B$300,$A514,'Fernando'!$F$6:$F$300,"Concluído")+COUNTIFS('Stephanie'!$B$6:$B$300,$A514,'Stephanie'!$F$6:$F$300,"Concluído")+COUNTIFS('Fox'!$B$6:$B$300,$A514,'Fox'!$F$6:$F$300,"Concluído")+COUNTIFS('Bruna'!$B$6:$B$300,$A514,'Bruna'!$F$6:$F$300,"Concluído")+COUNTIFS('Stella'!$B$6:$B$300,$A514,'Stella'!$F$6:$F$300,"Concluído")+COUNTIFS('Igor'!$B$6:$B$300,$A514,'Igor'!$F$6:$F$300,"Concluído"))&amp;" / "&amp;(COUNTIF('Clarice'!$B$6:$B$300,$A514)+COUNTIF('Luisa'!$B$6:$B$300,$A514)+COUNTIF('Lui'!$B$6:$B$300,$A514)+COUNTIF('Thaís'!$B$6:$B$300,$A514)+COUNTIF('Daniel'!$B$6:$B$300,$A514)+COUNTIF('Fernando'!$B$6:$B$300,$A514)+COUNTIF('Stephanie'!$B$6:$B$300,$A514)+COUNTIF('Fox'!$B$6:$B$300,$A514)+COUNTIF('Bruna'!$B$6:$B$300,$A514)+COUNTIF('Stella'!$B$6:$B$300,$A514)+COUNTIF('Igor'!$B$6:$B$300,$A514)))</f>
        <v/>
      </c>
      <c r="P514" s="25">
        <f>IF($A514="","",IF(M514&lt;&gt;"",M514,IF(K514&lt;&gt;"",K514,"")))</f>
        <v/>
      </c>
      <c r="Q514" s="25">
        <f>IF($A514="","",IF(N514&lt;&gt;"",N514,IF(L514&lt;&gt;"",L514,"")))</f>
        <v/>
      </c>
      <c r="S514" s="23">
        <f t="array" ref="S514">IF($A514="","",_xlfn.TEXTJOIN(CHAR(10),TRUE,IF('Clarice'!$B$6:$B$300=$A514,"Clarice"&amp;IF('Clarice'!$E$6:$E$300="",""," : "&amp;'Clarice'!$E$6:$E$300)&amp;" ["&amp;'Clarice'!$F$6:$F$300&amp;"]",""),IF('Luisa'!$B$6:$B$300=$A514,"Luisa"&amp;IF('Luisa'!$E$6:$E$300="",""," : "&amp;'Luisa'!$E$6:$E$300)&amp;" ["&amp;'Luisa'!$F$6:$F$300&amp;"]",""),IF('Lui'!$B$6:$B$300=$A514,"Lui"&amp;IF('Lui'!$E$6:$E$300="",""," : "&amp;'Lui'!$E$6:$E$300)&amp;" ["&amp;'Lui'!$F$6:$F$300&amp;"]",""),IF('Thaís'!$B$6:$B$300=$A514,"Thaís"&amp;IF('Thaís'!$E$6:$E$300="",""," : "&amp;'Thaís'!$E$6:$E$300)&amp;" ["&amp;'Thaís'!$F$6:$F$300&amp;"]",""),IF('Daniel'!$B$6:$B$300=$A514,"Daniel"&amp;IF('Daniel'!$E$6:$E$300="",""," : "&amp;'Daniel'!$E$6:$E$300)&amp;" ["&amp;'Daniel'!$F$6:$F$300&amp;"]",""),IF('Fernando'!$B$6:$B$300=$A514,"Fernando"&amp;IF('Fernando'!$E$6:$E$300="",""," : "&amp;'Fernando'!$E$6:$E$300)&amp;" ["&amp;'Fernando'!$F$6:$F$300&amp;"]",""),IF('Stephanie'!$B$6:$B$300=$A514,"Stephanie"&amp;IF('Stephanie'!$E$6:$E$300="",""," : "&amp;'Stephanie'!$E$6:$E$300)&amp;" ["&amp;'Stephanie'!$F$6:$F$300&amp;"]",""),IF('Fox'!$B$6:$B$300=$A514,"Fox"&amp;IF('Fox'!$E$6:$E$300="",""," : "&amp;'Fox'!$E$6:$E$300)&amp;" ["&amp;'Fox'!$F$6:$F$300&amp;"]",""),IF('Bruna'!$B$6:$B$300=$A514,"Bruna"&amp;IF('Bruna'!$E$6:$E$300="",""," : "&amp;'Bruna'!$E$6:$E$300)&amp;" ["&amp;'Bruna'!$F$6:$F$300&amp;"]",""),IF('Stella'!$B$6:$B$300=$A514,"Stella"&amp;IF('Stella'!$E$6:$E$300="",""," : "&amp;'Stella'!$E$6:$E$300)&amp;" ["&amp;'Stella'!$F$6:$F$300&amp;"]",""),IF('Igor'!$B$6:$B$300=$A514,"Igor"&amp;IF('Igor'!$E$6:$E$300="",""," : "&amp;'Igor'!$E$6:$E$300)&amp;" ["&amp;'Igor'!$F$6:$F$300&amp;"]","")))</f>
        <v/>
      </c>
    </row>
    <row r="515">
      <c r="G515" s="23">
        <f>IF($A515="","",_xlfn.TEXTJOIN("; ",TRUE,IF(COUNTIF('Clarice'!$B$6:$B$300,$A515)&gt;0,"Clarice",""),IF(COUNTIF('Luisa'!$B$6:$B$300,$A515)&gt;0,"Luisa",""),IF(COUNTIF('Lui'!$B$6:$B$300,$A515)&gt;0,"Lui",""),IF(COUNTIF('Thaís'!$B$6:$B$300,$A515)&gt;0,"Thaís",""),IF(COUNTIF('Daniel'!$B$6:$B$300,$A515)&gt;0,"Daniel",""),IF(COUNTIF('Fernando'!$B$6:$B$300,$A515)&gt;0,"Fernando",""),IF(COUNTIF('Stephanie'!$B$6:$B$300,$A515)&gt;0,"Stephanie",""),IF(COUNTIF('Fox'!$B$6:$B$300,$A515)&gt;0,"Fox",""),IF(COUNTIF('Bruna'!$B$6:$B$300,$A515)&gt;0,"Bruna",""),IF(COUNTIF('Stella'!$B$6:$B$300,$A515)&gt;0,"Stella",""),IF(COUNTIF('Igor'!$B$6:$B$300,$A515)&gt;0,"Igor","")))</f>
        <v/>
      </c>
      <c r="J515" s="24">
        <f>IF(OR($A515="",(COUNTIF('Clarice'!$B$6:$B$300,$A515)+COUNTIF('Luisa'!$B$6:$B$300,$A515)+COUNTIF('Lui'!$B$6:$B$300,$A515)+COUNTIF('Thaís'!$B$6:$B$300,$A515)+COUNTIF('Daniel'!$B$6:$B$300,$A515)+COUNTIF('Fernando'!$B$6:$B$300,$A515)+COUNTIF('Stephanie'!$B$6:$B$300,$A515)+COUNTIF('Fox'!$B$6:$B$300,$A515)+COUNTIF('Bruna'!$B$6:$B$300,$A515)+COUNTIF('Stella'!$B$6:$B$300,$A515)+COUNTIF('Igor'!$B$6:$B$300,$A515))=0),"",(COUNTIFS('Clarice'!$B$6:$B$300,$A515,'Clarice'!$F$6:$F$300,"Concluído")+COUNTIFS('Luisa'!$B$6:$B$300,$A515,'Luisa'!$F$6:$F$300,"Concluído")+COUNTIFS('Lui'!$B$6:$B$300,$A515,'Lui'!$F$6:$F$300,"Concluído")+COUNTIFS('Thaís'!$B$6:$B$300,$A515,'Thaís'!$F$6:$F$300,"Concluído")+COUNTIFS('Daniel'!$B$6:$B$300,$A515,'Daniel'!$F$6:$F$300,"Concluído")+COUNTIFS('Fernando'!$B$6:$B$300,$A515,'Fernando'!$F$6:$F$300,"Concluído")+COUNTIFS('Stephanie'!$B$6:$B$300,$A515,'Stephanie'!$F$6:$F$300,"Concluído")+COUNTIFS('Fox'!$B$6:$B$300,$A515,'Fox'!$F$6:$F$300,"Concluído")+COUNTIFS('Bruna'!$B$6:$B$300,$A515,'Bruna'!$F$6:$F$300,"Concluído")+COUNTIFS('Stella'!$B$6:$B$300,$A515,'Stella'!$F$6:$F$300,"Concluído")+COUNTIFS('Igor'!$B$6:$B$300,$A515,'Igor'!$F$6:$F$300,"Concluído"))&amp;" / "&amp;(COUNTIF('Clarice'!$B$6:$B$300,$A515)+COUNTIF('Luisa'!$B$6:$B$300,$A515)+COUNTIF('Lui'!$B$6:$B$300,$A515)+COUNTIF('Thaís'!$B$6:$B$300,$A515)+COUNTIF('Daniel'!$B$6:$B$300,$A515)+COUNTIF('Fernando'!$B$6:$B$300,$A515)+COUNTIF('Stephanie'!$B$6:$B$300,$A515)+COUNTIF('Fox'!$B$6:$B$300,$A515)+COUNTIF('Bruna'!$B$6:$B$300,$A515)+COUNTIF('Stella'!$B$6:$B$300,$A515)+COUNTIF('Igor'!$B$6:$B$300,$A515)))</f>
        <v/>
      </c>
      <c r="P515" s="25">
        <f>IF($A515="","",IF(M515&lt;&gt;"",M515,IF(K515&lt;&gt;"",K515,"")))</f>
        <v/>
      </c>
      <c r="Q515" s="25">
        <f>IF($A515="","",IF(N515&lt;&gt;"",N515,IF(L515&lt;&gt;"",L515,"")))</f>
        <v/>
      </c>
      <c r="S515" s="23">
        <f t="array" ref="S515">IF($A515="","",_xlfn.TEXTJOIN(CHAR(10),TRUE,IF('Clarice'!$B$6:$B$300=$A515,"Clarice"&amp;IF('Clarice'!$E$6:$E$300="",""," : "&amp;'Clarice'!$E$6:$E$300)&amp;" ["&amp;'Clarice'!$F$6:$F$300&amp;"]",""),IF('Luisa'!$B$6:$B$300=$A515,"Luisa"&amp;IF('Luisa'!$E$6:$E$300="",""," : "&amp;'Luisa'!$E$6:$E$300)&amp;" ["&amp;'Luisa'!$F$6:$F$300&amp;"]",""),IF('Lui'!$B$6:$B$300=$A515,"Lui"&amp;IF('Lui'!$E$6:$E$300="",""," : "&amp;'Lui'!$E$6:$E$300)&amp;" ["&amp;'Lui'!$F$6:$F$300&amp;"]",""),IF('Thaís'!$B$6:$B$300=$A515,"Thaís"&amp;IF('Thaís'!$E$6:$E$300="",""," : "&amp;'Thaís'!$E$6:$E$300)&amp;" ["&amp;'Thaís'!$F$6:$F$300&amp;"]",""),IF('Daniel'!$B$6:$B$300=$A515,"Daniel"&amp;IF('Daniel'!$E$6:$E$300="",""," : "&amp;'Daniel'!$E$6:$E$300)&amp;" ["&amp;'Daniel'!$F$6:$F$300&amp;"]",""),IF('Fernando'!$B$6:$B$300=$A515,"Fernando"&amp;IF('Fernando'!$E$6:$E$300="",""," : "&amp;'Fernando'!$E$6:$E$300)&amp;" ["&amp;'Fernando'!$F$6:$F$300&amp;"]",""),IF('Stephanie'!$B$6:$B$300=$A515,"Stephanie"&amp;IF('Stephanie'!$E$6:$E$300="",""," : "&amp;'Stephanie'!$E$6:$E$300)&amp;" ["&amp;'Stephanie'!$F$6:$F$300&amp;"]",""),IF('Fox'!$B$6:$B$300=$A515,"Fox"&amp;IF('Fox'!$E$6:$E$300="",""," : "&amp;'Fox'!$E$6:$E$300)&amp;" ["&amp;'Fox'!$F$6:$F$300&amp;"]",""),IF('Bruna'!$B$6:$B$300=$A515,"Bruna"&amp;IF('Bruna'!$E$6:$E$300="",""," : "&amp;'Bruna'!$E$6:$E$300)&amp;" ["&amp;'Bruna'!$F$6:$F$300&amp;"]",""),IF('Stella'!$B$6:$B$300=$A515,"Stella"&amp;IF('Stella'!$E$6:$E$300="",""," : "&amp;'Stella'!$E$6:$E$300)&amp;" ["&amp;'Stella'!$F$6:$F$300&amp;"]",""),IF('Igor'!$B$6:$B$300=$A515,"Igor"&amp;IF('Igor'!$E$6:$E$300="",""," : "&amp;'Igor'!$E$6:$E$300)&amp;" ["&amp;'Igor'!$F$6:$F$300&amp;"]","")))</f>
        <v/>
      </c>
    </row>
    <row r="516">
      <c r="G516" s="23">
        <f>IF($A516="","",_xlfn.TEXTJOIN("; ",TRUE,IF(COUNTIF('Clarice'!$B$6:$B$300,$A516)&gt;0,"Clarice",""),IF(COUNTIF('Luisa'!$B$6:$B$300,$A516)&gt;0,"Luisa",""),IF(COUNTIF('Lui'!$B$6:$B$300,$A516)&gt;0,"Lui",""),IF(COUNTIF('Thaís'!$B$6:$B$300,$A516)&gt;0,"Thaís",""),IF(COUNTIF('Daniel'!$B$6:$B$300,$A516)&gt;0,"Daniel",""),IF(COUNTIF('Fernando'!$B$6:$B$300,$A516)&gt;0,"Fernando",""),IF(COUNTIF('Stephanie'!$B$6:$B$300,$A516)&gt;0,"Stephanie",""),IF(COUNTIF('Fox'!$B$6:$B$300,$A516)&gt;0,"Fox",""),IF(COUNTIF('Bruna'!$B$6:$B$300,$A516)&gt;0,"Bruna",""),IF(COUNTIF('Stella'!$B$6:$B$300,$A516)&gt;0,"Stella",""),IF(COUNTIF('Igor'!$B$6:$B$300,$A516)&gt;0,"Igor","")))</f>
        <v/>
      </c>
      <c r="J516" s="24">
        <f>IF(OR($A516="",(COUNTIF('Clarice'!$B$6:$B$300,$A516)+COUNTIF('Luisa'!$B$6:$B$300,$A516)+COUNTIF('Lui'!$B$6:$B$300,$A516)+COUNTIF('Thaís'!$B$6:$B$300,$A516)+COUNTIF('Daniel'!$B$6:$B$300,$A516)+COUNTIF('Fernando'!$B$6:$B$300,$A516)+COUNTIF('Stephanie'!$B$6:$B$300,$A516)+COUNTIF('Fox'!$B$6:$B$300,$A516)+COUNTIF('Bruna'!$B$6:$B$300,$A516)+COUNTIF('Stella'!$B$6:$B$300,$A516)+COUNTIF('Igor'!$B$6:$B$300,$A516))=0),"",(COUNTIFS('Clarice'!$B$6:$B$300,$A516,'Clarice'!$F$6:$F$300,"Concluído")+COUNTIFS('Luisa'!$B$6:$B$300,$A516,'Luisa'!$F$6:$F$300,"Concluído")+COUNTIFS('Lui'!$B$6:$B$300,$A516,'Lui'!$F$6:$F$300,"Concluído")+COUNTIFS('Thaís'!$B$6:$B$300,$A516,'Thaís'!$F$6:$F$300,"Concluído")+COUNTIFS('Daniel'!$B$6:$B$300,$A516,'Daniel'!$F$6:$F$300,"Concluído")+COUNTIFS('Fernando'!$B$6:$B$300,$A516,'Fernando'!$F$6:$F$300,"Concluído")+COUNTIFS('Stephanie'!$B$6:$B$300,$A516,'Stephanie'!$F$6:$F$300,"Concluído")+COUNTIFS('Fox'!$B$6:$B$300,$A516,'Fox'!$F$6:$F$300,"Concluído")+COUNTIFS('Bruna'!$B$6:$B$300,$A516,'Bruna'!$F$6:$F$300,"Concluído")+COUNTIFS('Stella'!$B$6:$B$300,$A516,'Stella'!$F$6:$F$300,"Concluído")+COUNTIFS('Igor'!$B$6:$B$300,$A516,'Igor'!$F$6:$F$300,"Concluído"))&amp;" / "&amp;(COUNTIF('Clarice'!$B$6:$B$300,$A516)+COUNTIF('Luisa'!$B$6:$B$300,$A516)+COUNTIF('Lui'!$B$6:$B$300,$A516)+COUNTIF('Thaís'!$B$6:$B$300,$A516)+COUNTIF('Daniel'!$B$6:$B$300,$A516)+COUNTIF('Fernando'!$B$6:$B$300,$A516)+COUNTIF('Stephanie'!$B$6:$B$300,$A516)+COUNTIF('Fox'!$B$6:$B$300,$A516)+COUNTIF('Bruna'!$B$6:$B$300,$A516)+COUNTIF('Stella'!$B$6:$B$300,$A516)+COUNTIF('Igor'!$B$6:$B$300,$A516)))</f>
        <v/>
      </c>
      <c r="P516" s="25">
        <f>IF($A516="","",IF(M516&lt;&gt;"",M516,IF(K516&lt;&gt;"",K516,"")))</f>
        <v/>
      </c>
      <c r="Q516" s="25">
        <f>IF($A516="","",IF(N516&lt;&gt;"",N516,IF(L516&lt;&gt;"",L516,"")))</f>
        <v/>
      </c>
      <c r="S516" s="23">
        <f t="array" ref="S516">IF($A516="","",_xlfn.TEXTJOIN(CHAR(10),TRUE,IF('Clarice'!$B$6:$B$300=$A516,"Clarice"&amp;IF('Clarice'!$E$6:$E$300="",""," : "&amp;'Clarice'!$E$6:$E$300)&amp;" ["&amp;'Clarice'!$F$6:$F$300&amp;"]",""),IF('Luisa'!$B$6:$B$300=$A516,"Luisa"&amp;IF('Luisa'!$E$6:$E$300="",""," : "&amp;'Luisa'!$E$6:$E$300)&amp;" ["&amp;'Luisa'!$F$6:$F$300&amp;"]",""),IF('Lui'!$B$6:$B$300=$A516,"Lui"&amp;IF('Lui'!$E$6:$E$300="",""," : "&amp;'Lui'!$E$6:$E$300)&amp;" ["&amp;'Lui'!$F$6:$F$300&amp;"]",""),IF('Thaís'!$B$6:$B$300=$A516,"Thaís"&amp;IF('Thaís'!$E$6:$E$300="",""," : "&amp;'Thaís'!$E$6:$E$300)&amp;" ["&amp;'Thaís'!$F$6:$F$300&amp;"]",""),IF('Daniel'!$B$6:$B$300=$A516,"Daniel"&amp;IF('Daniel'!$E$6:$E$300="",""," : "&amp;'Daniel'!$E$6:$E$300)&amp;" ["&amp;'Daniel'!$F$6:$F$300&amp;"]",""),IF('Fernando'!$B$6:$B$300=$A516,"Fernando"&amp;IF('Fernando'!$E$6:$E$300="",""," : "&amp;'Fernando'!$E$6:$E$300)&amp;" ["&amp;'Fernando'!$F$6:$F$300&amp;"]",""),IF('Stephanie'!$B$6:$B$300=$A516,"Stephanie"&amp;IF('Stephanie'!$E$6:$E$300="",""," : "&amp;'Stephanie'!$E$6:$E$300)&amp;" ["&amp;'Stephanie'!$F$6:$F$300&amp;"]",""),IF('Fox'!$B$6:$B$300=$A516,"Fox"&amp;IF('Fox'!$E$6:$E$300="",""," : "&amp;'Fox'!$E$6:$E$300)&amp;" ["&amp;'Fox'!$F$6:$F$300&amp;"]",""),IF('Bruna'!$B$6:$B$300=$A516,"Bruna"&amp;IF('Bruna'!$E$6:$E$300="",""," : "&amp;'Bruna'!$E$6:$E$300)&amp;" ["&amp;'Bruna'!$F$6:$F$300&amp;"]",""),IF('Stella'!$B$6:$B$300=$A516,"Stella"&amp;IF('Stella'!$E$6:$E$300="",""," : "&amp;'Stella'!$E$6:$E$300)&amp;" ["&amp;'Stella'!$F$6:$F$300&amp;"]",""),IF('Igor'!$B$6:$B$300=$A516,"Igor"&amp;IF('Igor'!$E$6:$E$300="",""," : "&amp;'Igor'!$E$6:$E$300)&amp;" ["&amp;'Igor'!$F$6:$F$300&amp;"]","")))</f>
        <v/>
      </c>
    </row>
    <row r="517">
      <c r="G517" s="23">
        <f>IF($A517="","",_xlfn.TEXTJOIN("; ",TRUE,IF(COUNTIF('Clarice'!$B$6:$B$300,$A517)&gt;0,"Clarice",""),IF(COUNTIF('Luisa'!$B$6:$B$300,$A517)&gt;0,"Luisa",""),IF(COUNTIF('Lui'!$B$6:$B$300,$A517)&gt;0,"Lui",""),IF(COUNTIF('Thaís'!$B$6:$B$300,$A517)&gt;0,"Thaís",""),IF(COUNTIF('Daniel'!$B$6:$B$300,$A517)&gt;0,"Daniel",""),IF(COUNTIF('Fernando'!$B$6:$B$300,$A517)&gt;0,"Fernando",""),IF(COUNTIF('Stephanie'!$B$6:$B$300,$A517)&gt;0,"Stephanie",""),IF(COUNTIF('Fox'!$B$6:$B$300,$A517)&gt;0,"Fox",""),IF(COUNTIF('Bruna'!$B$6:$B$300,$A517)&gt;0,"Bruna",""),IF(COUNTIF('Stella'!$B$6:$B$300,$A517)&gt;0,"Stella",""),IF(COUNTIF('Igor'!$B$6:$B$300,$A517)&gt;0,"Igor","")))</f>
        <v/>
      </c>
      <c r="J517" s="24">
        <f>IF(OR($A517="",(COUNTIF('Clarice'!$B$6:$B$300,$A517)+COUNTIF('Luisa'!$B$6:$B$300,$A517)+COUNTIF('Lui'!$B$6:$B$300,$A517)+COUNTIF('Thaís'!$B$6:$B$300,$A517)+COUNTIF('Daniel'!$B$6:$B$300,$A517)+COUNTIF('Fernando'!$B$6:$B$300,$A517)+COUNTIF('Stephanie'!$B$6:$B$300,$A517)+COUNTIF('Fox'!$B$6:$B$300,$A517)+COUNTIF('Bruna'!$B$6:$B$300,$A517)+COUNTIF('Stella'!$B$6:$B$300,$A517)+COUNTIF('Igor'!$B$6:$B$300,$A517))=0),"",(COUNTIFS('Clarice'!$B$6:$B$300,$A517,'Clarice'!$F$6:$F$300,"Concluído")+COUNTIFS('Luisa'!$B$6:$B$300,$A517,'Luisa'!$F$6:$F$300,"Concluído")+COUNTIFS('Lui'!$B$6:$B$300,$A517,'Lui'!$F$6:$F$300,"Concluído")+COUNTIFS('Thaís'!$B$6:$B$300,$A517,'Thaís'!$F$6:$F$300,"Concluído")+COUNTIFS('Daniel'!$B$6:$B$300,$A517,'Daniel'!$F$6:$F$300,"Concluído")+COUNTIFS('Fernando'!$B$6:$B$300,$A517,'Fernando'!$F$6:$F$300,"Concluído")+COUNTIFS('Stephanie'!$B$6:$B$300,$A517,'Stephanie'!$F$6:$F$300,"Concluído")+COUNTIFS('Fox'!$B$6:$B$300,$A517,'Fox'!$F$6:$F$300,"Concluído")+COUNTIFS('Bruna'!$B$6:$B$300,$A517,'Bruna'!$F$6:$F$300,"Concluído")+COUNTIFS('Stella'!$B$6:$B$300,$A517,'Stella'!$F$6:$F$300,"Concluído")+COUNTIFS('Igor'!$B$6:$B$300,$A517,'Igor'!$F$6:$F$300,"Concluído"))&amp;" / "&amp;(COUNTIF('Clarice'!$B$6:$B$300,$A517)+COUNTIF('Luisa'!$B$6:$B$300,$A517)+COUNTIF('Lui'!$B$6:$B$300,$A517)+COUNTIF('Thaís'!$B$6:$B$300,$A517)+COUNTIF('Daniel'!$B$6:$B$300,$A517)+COUNTIF('Fernando'!$B$6:$B$300,$A517)+COUNTIF('Stephanie'!$B$6:$B$300,$A517)+COUNTIF('Fox'!$B$6:$B$300,$A517)+COUNTIF('Bruna'!$B$6:$B$300,$A517)+COUNTIF('Stella'!$B$6:$B$300,$A517)+COUNTIF('Igor'!$B$6:$B$300,$A517)))</f>
        <v/>
      </c>
      <c r="P517" s="25">
        <f>IF($A517="","",IF(M517&lt;&gt;"",M517,IF(K517&lt;&gt;"",K517,"")))</f>
        <v/>
      </c>
      <c r="Q517" s="25">
        <f>IF($A517="","",IF(N517&lt;&gt;"",N517,IF(L517&lt;&gt;"",L517,"")))</f>
        <v/>
      </c>
      <c r="S517" s="23">
        <f t="array" ref="S517">IF($A517="","",_xlfn.TEXTJOIN(CHAR(10),TRUE,IF('Clarice'!$B$6:$B$300=$A517,"Clarice"&amp;IF('Clarice'!$E$6:$E$300="",""," : "&amp;'Clarice'!$E$6:$E$300)&amp;" ["&amp;'Clarice'!$F$6:$F$300&amp;"]",""),IF('Luisa'!$B$6:$B$300=$A517,"Luisa"&amp;IF('Luisa'!$E$6:$E$300="",""," : "&amp;'Luisa'!$E$6:$E$300)&amp;" ["&amp;'Luisa'!$F$6:$F$300&amp;"]",""),IF('Lui'!$B$6:$B$300=$A517,"Lui"&amp;IF('Lui'!$E$6:$E$300="",""," : "&amp;'Lui'!$E$6:$E$300)&amp;" ["&amp;'Lui'!$F$6:$F$300&amp;"]",""),IF('Thaís'!$B$6:$B$300=$A517,"Thaís"&amp;IF('Thaís'!$E$6:$E$300="",""," : "&amp;'Thaís'!$E$6:$E$300)&amp;" ["&amp;'Thaís'!$F$6:$F$300&amp;"]",""),IF('Daniel'!$B$6:$B$300=$A517,"Daniel"&amp;IF('Daniel'!$E$6:$E$300="",""," : "&amp;'Daniel'!$E$6:$E$300)&amp;" ["&amp;'Daniel'!$F$6:$F$300&amp;"]",""),IF('Fernando'!$B$6:$B$300=$A517,"Fernando"&amp;IF('Fernando'!$E$6:$E$300="",""," : "&amp;'Fernando'!$E$6:$E$300)&amp;" ["&amp;'Fernando'!$F$6:$F$300&amp;"]",""),IF('Stephanie'!$B$6:$B$300=$A517,"Stephanie"&amp;IF('Stephanie'!$E$6:$E$300="",""," : "&amp;'Stephanie'!$E$6:$E$300)&amp;" ["&amp;'Stephanie'!$F$6:$F$300&amp;"]",""),IF('Fox'!$B$6:$B$300=$A517,"Fox"&amp;IF('Fox'!$E$6:$E$300="",""," : "&amp;'Fox'!$E$6:$E$300)&amp;" ["&amp;'Fox'!$F$6:$F$300&amp;"]",""),IF('Bruna'!$B$6:$B$300=$A517,"Bruna"&amp;IF('Bruna'!$E$6:$E$300="",""," : "&amp;'Bruna'!$E$6:$E$300)&amp;" ["&amp;'Bruna'!$F$6:$F$300&amp;"]",""),IF('Stella'!$B$6:$B$300=$A517,"Stella"&amp;IF('Stella'!$E$6:$E$300="",""," : "&amp;'Stella'!$E$6:$E$300)&amp;" ["&amp;'Stella'!$F$6:$F$300&amp;"]",""),IF('Igor'!$B$6:$B$300=$A517,"Igor"&amp;IF('Igor'!$E$6:$E$300="",""," : "&amp;'Igor'!$E$6:$E$300)&amp;" ["&amp;'Igor'!$F$6:$F$300&amp;"]","")))</f>
        <v/>
      </c>
    </row>
    <row r="518">
      <c r="G518" s="23">
        <f>IF($A518="","",_xlfn.TEXTJOIN("; ",TRUE,IF(COUNTIF('Clarice'!$B$6:$B$300,$A518)&gt;0,"Clarice",""),IF(COUNTIF('Luisa'!$B$6:$B$300,$A518)&gt;0,"Luisa",""),IF(COUNTIF('Lui'!$B$6:$B$300,$A518)&gt;0,"Lui",""),IF(COUNTIF('Thaís'!$B$6:$B$300,$A518)&gt;0,"Thaís",""),IF(COUNTIF('Daniel'!$B$6:$B$300,$A518)&gt;0,"Daniel",""),IF(COUNTIF('Fernando'!$B$6:$B$300,$A518)&gt;0,"Fernando",""),IF(COUNTIF('Stephanie'!$B$6:$B$300,$A518)&gt;0,"Stephanie",""),IF(COUNTIF('Fox'!$B$6:$B$300,$A518)&gt;0,"Fox",""),IF(COUNTIF('Bruna'!$B$6:$B$300,$A518)&gt;0,"Bruna",""),IF(COUNTIF('Stella'!$B$6:$B$300,$A518)&gt;0,"Stella",""),IF(COUNTIF('Igor'!$B$6:$B$300,$A518)&gt;0,"Igor","")))</f>
        <v/>
      </c>
      <c r="J518" s="24">
        <f>IF(OR($A518="",(COUNTIF('Clarice'!$B$6:$B$300,$A518)+COUNTIF('Luisa'!$B$6:$B$300,$A518)+COUNTIF('Lui'!$B$6:$B$300,$A518)+COUNTIF('Thaís'!$B$6:$B$300,$A518)+COUNTIF('Daniel'!$B$6:$B$300,$A518)+COUNTIF('Fernando'!$B$6:$B$300,$A518)+COUNTIF('Stephanie'!$B$6:$B$300,$A518)+COUNTIF('Fox'!$B$6:$B$300,$A518)+COUNTIF('Bruna'!$B$6:$B$300,$A518)+COUNTIF('Stella'!$B$6:$B$300,$A518)+COUNTIF('Igor'!$B$6:$B$300,$A518))=0),"",(COUNTIFS('Clarice'!$B$6:$B$300,$A518,'Clarice'!$F$6:$F$300,"Concluído")+COUNTIFS('Luisa'!$B$6:$B$300,$A518,'Luisa'!$F$6:$F$300,"Concluído")+COUNTIFS('Lui'!$B$6:$B$300,$A518,'Lui'!$F$6:$F$300,"Concluído")+COUNTIFS('Thaís'!$B$6:$B$300,$A518,'Thaís'!$F$6:$F$300,"Concluído")+COUNTIFS('Daniel'!$B$6:$B$300,$A518,'Daniel'!$F$6:$F$300,"Concluído")+COUNTIFS('Fernando'!$B$6:$B$300,$A518,'Fernando'!$F$6:$F$300,"Concluído")+COUNTIFS('Stephanie'!$B$6:$B$300,$A518,'Stephanie'!$F$6:$F$300,"Concluído")+COUNTIFS('Fox'!$B$6:$B$300,$A518,'Fox'!$F$6:$F$300,"Concluído")+COUNTIFS('Bruna'!$B$6:$B$300,$A518,'Bruna'!$F$6:$F$300,"Concluído")+COUNTIFS('Stella'!$B$6:$B$300,$A518,'Stella'!$F$6:$F$300,"Concluído")+COUNTIFS('Igor'!$B$6:$B$300,$A518,'Igor'!$F$6:$F$300,"Concluído"))&amp;" / "&amp;(COUNTIF('Clarice'!$B$6:$B$300,$A518)+COUNTIF('Luisa'!$B$6:$B$300,$A518)+COUNTIF('Lui'!$B$6:$B$300,$A518)+COUNTIF('Thaís'!$B$6:$B$300,$A518)+COUNTIF('Daniel'!$B$6:$B$300,$A518)+COUNTIF('Fernando'!$B$6:$B$300,$A518)+COUNTIF('Stephanie'!$B$6:$B$300,$A518)+COUNTIF('Fox'!$B$6:$B$300,$A518)+COUNTIF('Bruna'!$B$6:$B$300,$A518)+COUNTIF('Stella'!$B$6:$B$300,$A518)+COUNTIF('Igor'!$B$6:$B$300,$A518)))</f>
        <v/>
      </c>
      <c r="P518" s="25">
        <f>IF($A518="","",IF(M518&lt;&gt;"",M518,IF(K518&lt;&gt;"",K518,"")))</f>
        <v/>
      </c>
      <c r="Q518" s="25">
        <f>IF($A518="","",IF(N518&lt;&gt;"",N518,IF(L518&lt;&gt;"",L518,"")))</f>
        <v/>
      </c>
      <c r="S518" s="23">
        <f t="array" ref="S518">IF($A518="","",_xlfn.TEXTJOIN(CHAR(10),TRUE,IF('Clarice'!$B$6:$B$300=$A518,"Clarice"&amp;IF('Clarice'!$E$6:$E$300="",""," : "&amp;'Clarice'!$E$6:$E$300)&amp;" ["&amp;'Clarice'!$F$6:$F$300&amp;"]",""),IF('Luisa'!$B$6:$B$300=$A518,"Luisa"&amp;IF('Luisa'!$E$6:$E$300="",""," : "&amp;'Luisa'!$E$6:$E$300)&amp;" ["&amp;'Luisa'!$F$6:$F$300&amp;"]",""),IF('Lui'!$B$6:$B$300=$A518,"Lui"&amp;IF('Lui'!$E$6:$E$300="",""," : "&amp;'Lui'!$E$6:$E$300)&amp;" ["&amp;'Lui'!$F$6:$F$300&amp;"]",""),IF('Thaís'!$B$6:$B$300=$A518,"Thaís"&amp;IF('Thaís'!$E$6:$E$300="",""," : "&amp;'Thaís'!$E$6:$E$300)&amp;" ["&amp;'Thaís'!$F$6:$F$300&amp;"]",""),IF('Daniel'!$B$6:$B$300=$A518,"Daniel"&amp;IF('Daniel'!$E$6:$E$300="",""," : "&amp;'Daniel'!$E$6:$E$300)&amp;" ["&amp;'Daniel'!$F$6:$F$300&amp;"]",""),IF('Fernando'!$B$6:$B$300=$A518,"Fernando"&amp;IF('Fernando'!$E$6:$E$300="",""," : "&amp;'Fernando'!$E$6:$E$300)&amp;" ["&amp;'Fernando'!$F$6:$F$300&amp;"]",""),IF('Stephanie'!$B$6:$B$300=$A518,"Stephanie"&amp;IF('Stephanie'!$E$6:$E$300="",""," : "&amp;'Stephanie'!$E$6:$E$300)&amp;" ["&amp;'Stephanie'!$F$6:$F$300&amp;"]",""),IF('Fox'!$B$6:$B$300=$A518,"Fox"&amp;IF('Fox'!$E$6:$E$300="",""," : "&amp;'Fox'!$E$6:$E$300)&amp;" ["&amp;'Fox'!$F$6:$F$300&amp;"]",""),IF('Bruna'!$B$6:$B$300=$A518,"Bruna"&amp;IF('Bruna'!$E$6:$E$300="",""," : "&amp;'Bruna'!$E$6:$E$300)&amp;" ["&amp;'Bruna'!$F$6:$F$300&amp;"]",""),IF('Stella'!$B$6:$B$300=$A518,"Stella"&amp;IF('Stella'!$E$6:$E$300="",""," : "&amp;'Stella'!$E$6:$E$300)&amp;" ["&amp;'Stella'!$F$6:$F$300&amp;"]",""),IF('Igor'!$B$6:$B$300=$A518,"Igor"&amp;IF('Igor'!$E$6:$E$300="",""," : "&amp;'Igor'!$E$6:$E$300)&amp;" ["&amp;'Igor'!$F$6:$F$300&amp;"]","")))</f>
        <v/>
      </c>
    </row>
    <row r="519">
      <c r="G519" s="23">
        <f>IF($A519="","",_xlfn.TEXTJOIN("; ",TRUE,IF(COUNTIF('Clarice'!$B$6:$B$300,$A519)&gt;0,"Clarice",""),IF(COUNTIF('Luisa'!$B$6:$B$300,$A519)&gt;0,"Luisa",""),IF(COUNTIF('Lui'!$B$6:$B$300,$A519)&gt;0,"Lui",""),IF(COUNTIF('Thaís'!$B$6:$B$300,$A519)&gt;0,"Thaís",""),IF(COUNTIF('Daniel'!$B$6:$B$300,$A519)&gt;0,"Daniel",""),IF(COUNTIF('Fernando'!$B$6:$B$300,$A519)&gt;0,"Fernando",""),IF(COUNTIF('Stephanie'!$B$6:$B$300,$A519)&gt;0,"Stephanie",""),IF(COUNTIF('Fox'!$B$6:$B$300,$A519)&gt;0,"Fox",""),IF(COUNTIF('Bruna'!$B$6:$B$300,$A519)&gt;0,"Bruna",""),IF(COUNTIF('Stella'!$B$6:$B$300,$A519)&gt;0,"Stella",""),IF(COUNTIF('Igor'!$B$6:$B$300,$A519)&gt;0,"Igor","")))</f>
        <v/>
      </c>
      <c r="J519" s="24">
        <f>IF(OR($A519="",(COUNTIF('Clarice'!$B$6:$B$300,$A519)+COUNTIF('Luisa'!$B$6:$B$300,$A519)+COUNTIF('Lui'!$B$6:$B$300,$A519)+COUNTIF('Thaís'!$B$6:$B$300,$A519)+COUNTIF('Daniel'!$B$6:$B$300,$A519)+COUNTIF('Fernando'!$B$6:$B$300,$A519)+COUNTIF('Stephanie'!$B$6:$B$300,$A519)+COUNTIF('Fox'!$B$6:$B$300,$A519)+COUNTIF('Bruna'!$B$6:$B$300,$A519)+COUNTIF('Stella'!$B$6:$B$300,$A519)+COUNTIF('Igor'!$B$6:$B$300,$A519))=0),"",(COUNTIFS('Clarice'!$B$6:$B$300,$A519,'Clarice'!$F$6:$F$300,"Concluído")+COUNTIFS('Luisa'!$B$6:$B$300,$A519,'Luisa'!$F$6:$F$300,"Concluído")+COUNTIFS('Lui'!$B$6:$B$300,$A519,'Lui'!$F$6:$F$300,"Concluído")+COUNTIFS('Thaís'!$B$6:$B$300,$A519,'Thaís'!$F$6:$F$300,"Concluído")+COUNTIFS('Daniel'!$B$6:$B$300,$A519,'Daniel'!$F$6:$F$300,"Concluído")+COUNTIFS('Fernando'!$B$6:$B$300,$A519,'Fernando'!$F$6:$F$300,"Concluído")+COUNTIFS('Stephanie'!$B$6:$B$300,$A519,'Stephanie'!$F$6:$F$300,"Concluído")+COUNTIFS('Fox'!$B$6:$B$300,$A519,'Fox'!$F$6:$F$300,"Concluído")+COUNTIFS('Bruna'!$B$6:$B$300,$A519,'Bruna'!$F$6:$F$300,"Concluído")+COUNTIFS('Stella'!$B$6:$B$300,$A519,'Stella'!$F$6:$F$300,"Concluído")+COUNTIFS('Igor'!$B$6:$B$300,$A519,'Igor'!$F$6:$F$300,"Concluído"))&amp;" / "&amp;(COUNTIF('Clarice'!$B$6:$B$300,$A519)+COUNTIF('Luisa'!$B$6:$B$300,$A519)+COUNTIF('Lui'!$B$6:$B$300,$A519)+COUNTIF('Thaís'!$B$6:$B$300,$A519)+COUNTIF('Daniel'!$B$6:$B$300,$A519)+COUNTIF('Fernando'!$B$6:$B$300,$A519)+COUNTIF('Stephanie'!$B$6:$B$300,$A519)+COUNTIF('Fox'!$B$6:$B$300,$A519)+COUNTIF('Bruna'!$B$6:$B$300,$A519)+COUNTIF('Stella'!$B$6:$B$300,$A519)+COUNTIF('Igor'!$B$6:$B$300,$A519)))</f>
        <v/>
      </c>
      <c r="P519" s="25">
        <f>IF($A519="","",IF(M519&lt;&gt;"",M519,IF(K519&lt;&gt;"",K519,"")))</f>
        <v/>
      </c>
      <c r="Q519" s="25">
        <f>IF($A519="","",IF(N519&lt;&gt;"",N519,IF(L519&lt;&gt;"",L519,"")))</f>
        <v/>
      </c>
      <c r="S519" s="23">
        <f t="array" ref="S519">IF($A519="","",_xlfn.TEXTJOIN(CHAR(10),TRUE,IF('Clarice'!$B$6:$B$300=$A519,"Clarice"&amp;IF('Clarice'!$E$6:$E$300="",""," : "&amp;'Clarice'!$E$6:$E$300)&amp;" ["&amp;'Clarice'!$F$6:$F$300&amp;"]",""),IF('Luisa'!$B$6:$B$300=$A519,"Luisa"&amp;IF('Luisa'!$E$6:$E$300="",""," : "&amp;'Luisa'!$E$6:$E$300)&amp;" ["&amp;'Luisa'!$F$6:$F$300&amp;"]",""),IF('Lui'!$B$6:$B$300=$A519,"Lui"&amp;IF('Lui'!$E$6:$E$300="",""," : "&amp;'Lui'!$E$6:$E$300)&amp;" ["&amp;'Lui'!$F$6:$F$300&amp;"]",""),IF('Thaís'!$B$6:$B$300=$A519,"Thaís"&amp;IF('Thaís'!$E$6:$E$300="",""," : "&amp;'Thaís'!$E$6:$E$300)&amp;" ["&amp;'Thaís'!$F$6:$F$300&amp;"]",""),IF('Daniel'!$B$6:$B$300=$A519,"Daniel"&amp;IF('Daniel'!$E$6:$E$300="",""," : "&amp;'Daniel'!$E$6:$E$300)&amp;" ["&amp;'Daniel'!$F$6:$F$300&amp;"]",""),IF('Fernando'!$B$6:$B$300=$A519,"Fernando"&amp;IF('Fernando'!$E$6:$E$300="",""," : "&amp;'Fernando'!$E$6:$E$300)&amp;" ["&amp;'Fernando'!$F$6:$F$300&amp;"]",""),IF('Stephanie'!$B$6:$B$300=$A519,"Stephanie"&amp;IF('Stephanie'!$E$6:$E$300="",""," : "&amp;'Stephanie'!$E$6:$E$300)&amp;" ["&amp;'Stephanie'!$F$6:$F$300&amp;"]",""),IF('Fox'!$B$6:$B$300=$A519,"Fox"&amp;IF('Fox'!$E$6:$E$300="",""," : "&amp;'Fox'!$E$6:$E$300)&amp;" ["&amp;'Fox'!$F$6:$F$300&amp;"]",""),IF('Bruna'!$B$6:$B$300=$A519,"Bruna"&amp;IF('Bruna'!$E$6:$E$300="",""," : "&amp;'Bruna'!$E$6:$E$300)&amp;" ["&amp;'Bruna'!$F$6:$F$300&amp;"]",""),IF('Stella'!$B$6:$B$300=$A519,"Stella"&amp;IF('Stella'!$E$6:$E$300="",""," : "&amp;'Stella'!$E$6:$E$300)&amp;" ["&amp;'Stella'!$F$6:$F$300&amp;"]",""),IF('Igor'!$B$6:$B$300=$A519,"Igor"&amp;IF('Igor'!$E$6:$E$300="",""," : "&amp;'Igor'!$E$6:$E$300)&amp;" ["&amp;'Igor'!$F$6:$F$300&amp;"]","")))</f>
        <v/>
      </c>
    </row>
    <row r="520">
      <c r="G520" s="23">
        <f>IF($A520="","",_xlfn.TEXTJOIN("; ",TRUE,IF(COUNTIF('Clarice'!$B$6:$B$300,$A520)&gt;0,"Clarice",""),IF(COUNTIF('Luisa'!$B$6:$B$300,$A520)&gt;0,"Luisa",""),IF(COUNTIF('Lui'!$B$6:$B$300,$A520)&gt;0,"Lui",""),IF(COUNTIF('Thaís'!$B$6:$B$300,$A520)&gt;0,"Thaís",""),IF(COUNTIF('Daniel'!$B$6:$B$300,$A520)&gt;0,"Daniel",""),IF(COUNTIF('Fernando'!$B$6:$B$300,$A520)&gt;0,"Fernando",""),IF(COUNTIF('Stephanie'!$B$6:$B$300,$A520)&gt;0,"Stephanie",""),IF(COUNTIF('Fox'!$B$6:$B$300,$A520)&gt;0,"Fox",""),IF(COUNTIF('Bruna'!$B$6:$B$300,$A520)&gt;0,"Bruna",""),IF(COUNTIF('Stella'!$B$6:$B$300,$A520)&gt;0,"Stella",""),IF(COUNTIF('Igor'!$B$6:$B$300,$A520)&gt;0,"Igor","")))</f>
        <v/>
      </c>
      <c r="J520" s="24">
        <f>IF(OR($A520="",(COUNTIF('Clarice'!$B$6:$B$300,$A520)+COUNTIF('Luisa'!$B$6:$B$300,$A520)+COUNTIF('Lui'!$B$6:$B$300,$A520)+COUNTIF('Thaís'!$B$6:$B$300,$A520)+COUNTIF('Daniel'!$B$6:$B$300,$A520)+COUNTIF('Fernando'!$B$6:$B$300,$A520)+COUNTIF('Stephanie'!$B$6:$B$300,$A520)+COUNTIF('Fox'!$B$6:$B$300,$A520)+COUNTIF('Bruna'!$B$6:$B$300,$A520)+COUNTIF('Stella'!$B$6:$B$300,$A520)+COUNTIF('Igor'!$B$6:$B$300,$A520))=0),"",(COUNTIFS('Clarice'!$B$6:$B$300,$A520,'Clarice'!$F$6:$F$300,"Concluído")+COUNTIFS('Luisa'!$B$6:$B$300,$A520,'Luisa'!$F$6:$F$300,"Concluído")+COUNTIFS('Lui'!$B$6:$B$300,$A520,'Lui'!$F$6:$F$300,"Concluído")+COUNTIFS('Thaís'!$B$6:$B$300,$A520,'Thaís'!$F$6:$F$300,"Concluído")+COUNTIFS('Daniel'!$B$6:$B$300,$A520,'Daniel'!$F$6:$F$300,"Concluído")+COUNTIFS('Fernando'!$B$6:$B$300,$A520,'Fernando'!$F$6:$F$300,"Concluído")+COUNTIFS('Stephanie'!$B$6:$B$300,$A520,'Stephanie'!$F$6:$F$300,"Concluído")+COUNTIFS('Fox'!$B$6:$B$300,$A520,'Fox'!$F$6:$F$300,"Concluído")+COUNTIFS('Bruna'!$B$6:$B$300,$A520,'Bruna'!$F$6:$F$300,"Concluído")+COUNTIFS('Stella'!$B$6:$B$300,$A520,'Stella'!$F$6:$F$300,"Concluído")+COUNTIFS('Igor'!$B$6:$B$300,$A520,'Igor'!$F$6:$F$300,"Concluído"))&amp;" / "&amp;(COUNTIF('Clarice'!$B$6:$B$300,$A520)+COUNTIF('Luisa'!$B$6:$B$300,$A520)+COUNTIF('Lui'!$B$6:$B$300,$A520)+COUNTIF('Thaís'!$B$6:$B$300,$A520)+COUNTIF('Daniel'!$B$6:$B$300,$A520)+COUNTIF('Fernando'!$B$6:$B$300,$A520)+COUNTIF('Stephanie'!$B$6:$B$300,$A520)+COUNTIF('Fox'!$B$6:$B$300,$A520)+COUNTIF('Bruna'!$B$6:$B$300,$A520)+COUNTIF('Stella'!$B$6:$B$300,$A520)+COUNTIF('Igor'!$B$6:$B$300,$A520)))</f>
        <v/>
      </c>
      <c r="P520" s="25">
        <f>IF($A520="","",IF(M520&lt;&gt;"",M520,IF(K520&lt;&gt;"",K520,"")))</f>
        <v/>
      </c>
      <c r="Q520" s="25">
        <f>IF($A520="","",IF(N520&lt;&gt;"",N520,IF(L520&lt;&gt;"",L520,"")))</f>
        <v/>
      </c>
      <c r="S520" s="23">
        <f t="array" ref="S520">IF($A520="","",_xlfn.TEXTJOIN(CHAR(10),TRUE,IF('Clarice'!$B$6:$B$300=$A520,"Clarice"&amp;IF('Clarice'!$E$6:$E$300="",""," : "&amp;'Clarice'!$E$6:$E$300)&amp;" ["&amp;'Clarice'!$F$6:$F$300&amp;"]",""),IF('Luisa'!$B$6:$B$300=$A520,"Luisa"&amp;IF('Luisa'!$E$6:$E$300="",""," : "&amp;'Luisa'!$E$6:$E$300)&amp;" ["&amp;'Luisa'!$F$6:$F$300&amp;"]",""),IF('Lui'!$B$6:$B$300=$A520,"Lui"&amp;IF('Lui'!$E$6:$E$300="",""," : "&amp;'Lui'!$E$6:$E$300)&amp;" ["&amp;'Lui'!$F$6:$F$300&amp;"]",""),IF('Thaís'!$B$6:$B$300=$A520,"Thaís"&amp;IF('Thaís'!$E$6:$E$300="",""," : "&amp;'Thaís'!$E$6:$E$300)&amp;" ["&amp;'Thaís'!$F$6:$F$300&amp;"]",""),IF('Daniel'!$B$6:$B$300=$A520,"Daniel"&amp;IF('Daniel'!$E$6:$E$300="",""," : "&amp;'Daniel'!$E$6:$E$300)&amp;" ["&amp;'Daniel'!$F$6:$F$300&amp;"]",""),IF('Fernando'!$B$6:$B$300=$A520,"Fernando"&amp;IF('Fernando'!$E$6:$E$300="",""," : "&amp;'Fernando'!$E$6:$E$300)&amp;" ["&amp;'Fernando'!$F$6:$F$300&amp;"]",""),IF('Stephanie'!$B$6:$B$300=$A520,"Stephanie"&amp;IF('Stephanie'!$E$6:$E$300="",""," : "&amp;'Stephanie'!$E$6:$E$300)&amp;" ["&amp;'Stephanie'!$F$6:$F$300&amp;"]",""),IF('Fox'!$B$6:$B$300=$A520,"Fox"&amp;IF('Fox'!$E$6:$E$300="",""," : "&amp;'Fox'!$E$6:$E$300)&amp;" ["&amp;'Fox'!$F$6:$F$300&amp;"]",""),IF('Bruna'!$B$6:$B$300=$A520,"Bruna"&amp;IF('Bruna'!$E$6:$E$300="",""," : "&amp;'Bruna'!$E$6:$E$300)&amp;" ["&amp;'Bruna'!$F$6:$F$300&amp;"]",""),IF('Stella'!$B$6:$B$300=$A520,"Stella"&amp;IF('Stella'!$E$6:$E$300="",""," : "&amp;'Stella'!$E$6:$E$300)&amp;" ["&amp;'Stella'!$F$6:$F$300&amp;"]",""),IF('Igor'!$B$6:$B$300=$A520,"Igor"&amp;IF('Igor'!$E$6:$E$300="",""," : "&amp;'Igor'!$E$6:$E$300)&amp;" ["&amp;'Igor'!$F$6:$F$300&amp;"]","")))</f>
        <v/>
      </c>
    </row>
    <row r="521">
      <c r="G521" s="23">
        <f>IF($A521="","",_xlfn.TEXTJOIN("; ",TRUE,IF(COUNTIF('Clarice'!$B$6:$B$300,$A521)&gt;0,"Clarice",""),IF(COUNTIF('Luisa'!$B$6:$B$300,$A521)&gt;0,"Luisa",""),IF(COUNTIF('Lui'!$B$6:$B$300,$A521)&gt;0,"Lui",""),IF(COUNTIF('Thaís'!$B$6:$B$300,$A521)&gt;0,"Thaís",""),IF(COUNTIF('Daniel'!$B$6:$B$300,$A521)&gt;0,"Daniel",""),IF(COUNTIF('Fernando'!$B$6:$B$300,$A521)&gt;0,"Fernando",""),IF(COUNTIF('Stephanie'!$B$6:$B$300,$A521)&gt;0,"Stephanie",""),IF(COUNTIF('Fox'!$B$6:$B$300,$A521)&gt;0,"Fox",""),IF(COUNTIF('Bruna'!$B$6:$B$300,$A521)&gt;0,"Bruna",""),IF(COUNTIF('Stella'!$B$6:$B$300,$A521)&gt;0,"Stella",""),IF(COUNTIF('Igor'!$B$6:$B$300,$A521)&gt;0,"Igor","")))</f>
        <v/>
      </c>
      <c r="J521" s="24">
        <f>IF(OR($A521="",(COUNTIF('Clarice'!$B$6:$B$300,$A521)+COUNTIF('Luisa'!$B$6:$B$300,$A521)+COUNTIF('Lui'!$B$6:$B$300,$A521)+COUNTIF('Thaís'!$B$6:$B$300,$A521)+COUNTIF('Daniel'!$B$6:$B$300,$A521)+COUNTIF('Fernando'!$B$6:$B$300,$A521)+COUNTIF('Stephanie'!$B$6:$B$300,$A521)+COUNTIF('Fox'!$B$6:$B$300,$A521)+COUNTIF('Bruna'!$B$6:$B$300,$A521)+COUNTIF('Stella'!$B$6:$B$300,$A521)+COUNTIF('Igor'!$B$6:$B$300,$A521))=0),"",(COUNTIFS('Clarice'!$B$6:$B$300,$A521,'Clarice'!$F$6:$F$300,"Concluído")+COUNTIFS('Luisa'!$B$6:$B$300,$A521,'Luisa'!$F$6:$F$300,"Concluído")+COUNTIFS('Lui'!$B$6:$B$300,$A521,'Lui'!$F$6:$F$300,"Concluído")+COUNTIFS('Thaís'!$B$6:$B$300,$A521,'Thaís'!$F$6:$F$300,"Concluído")+COUNTIFS('Daniel'!$B$6:$B$300,$A521,'Daniel'!$F$6:$F$300,"Concluído")+COUNTIFS('Fernando'!$B$6:$B$300,$A521,'Fernando'!$F$6:$F$300,"Concluído")+COUNTIFS('Stephanie'!$B$6:$B$300,$A521,'Stephanie'!$F$6:$F$300,"Concluído")+COUNTIFS('Fox'!$B$6:$B$300,$A521,'Fox'!$F$6:$F$300,"Concluído")+COUNTIFS('Bruna'!$B$6:$B$300,$A521,'Bruna'!$F$6:$F$300,"Concluído")+COUNTIFS('Stella'!$B$6:$B$300,$A521,'Stella'!$F$6:$F$300,"Concluído")+COUNTIFS('Igor'!$B$6:$B$300,$A521,'Igor'!$F$6:$F$300,"Concluído"))&amp;" / "&amp;(COUNTIF('Clarice'!$B$6:$B$300,$A521)+COUNTIF('Luisa'!$B$6:$B$300,$A521)+COUNTIF('Lui'!$B$6:$B$300,$A521)+COUNTIF('Thaís'!$B$6:$B$300,$A521)+COUNTIF('Daniel'!$B$6:$B$300,$A521)+COUNTIF('Fernando'!$B$6:$B$300,$A521)+COUNTIF('Stephanie'!$B$6:$B$300,$A521)+COUNTIF('Fox'!$B$6:$B$300,$A521)+COUNTIF('Bruna'!$B$6:$B$300,$A521)+COUNTIF('Stella'!$B$6:$B$300,$A521)+COUNTIF('Igor'!$B$6:$B$300,$A521)))</f>
        <v/>
      </c>
      <c r="P521" s="25">
        <f>IF($A521="","",IF(M521&lt;&gt;"",M521,IF(K521&lt;&gt;"",K521,"")))</f>
        <v/>
      </c>
      <c r="Q521" s="25">
        <f>IF($A521="","",IF(N521&lt;&gt;"",N521,IF(L521&lt;&gt;"",L521,"")))</f>
        <v/>
      </c>
      <c r="S521" s="23">
        <f t="array" ref="S521">IF($A521="","",_xlfn.TEXTJOIN(CHAR(10),TRUE,IF('Clarice'!$B$6:$B$300=$A521,"Clarice"&amp;IF('Clarice'!$E$6:$E$300="",""," : "&amp;'Clarice'!$E$6:$E$300)&amp;" ["&amp;'Clarice'!$F$6:$F$300&amp;"]",""),IF('Luisa'!$B$6:$B$300=$A521,"Luisa"&amp;IF('Luisa'!$E$6:$E$300="",""," : "&amp;'Luisa'!$E$6:$E$300)&amp;" ["&amp;'Luisa'!$F$6:$F$300&amp;"]",""),IF('Lui'!$B$6:$B$300=$A521,"Lui"&amp;IF('Lui'!$E$6:$E$300="",""," : "&amp;'Lui'!$E$6:$E$300)&amp;" ["&amp;'Lui'!$F$6:$F$300&amp;"]",""),IF('Thaís'!$B$6:$B$300=$A521,"Thaís"&amp;IF('Thaís'!$E$6:$E$300="",""," : "&amp;'Thaís'!$E$6:$E$300)&amp;" ["&amp;'Thaís'!$F$6:$F$300&amp;"]",""),IF('Daniel'!$B$6:$B$300=$A521,"Daniel"&amp;IF('Daniel'!$E$6:$E$300="",""," : "&amp;'Daniel'!$E$6:$E$300)&amp;" ["&amp;'Daniel'!$F$6:$F$300&amp;"]",""),IF('Fernando'!$B$6:$B$300=$A521,"Fernando"&amp;IF('Fernando'!$E$6:$E$300="",""," : "&amp;'Fernando'!$E$6:$E$300)&amp;" ["&amp;'Fernando'!$F$6:$F$300&amp;"]",""),IF('Stephanie'!$B$6:$B$300=$A521,"Stephanie"&amp;IF('Stephanie'!$E$6:$E$300="",""," : "&amp;'Stephanie'!$E$6:$E$300)&amp;" ["&amp;'Stephanie'!$F$6:$F$300&amp;"]",""),IF('Fox'!$B$6:$B$300=$A521,"Fox"&amp;IF('Fox'!$E$6:$E$300="",""," : "&amp;'Fox'!$E$6:$E$300)&amp;" ["&amp;'Fox'!$F$6:$F$300&amp;"]",""),IF('Bruna'!$B$6:$B$300=$A521,"Bruna"&amp;IF('Bruna'!$E$6:$E$300="",""," : "&amp;'Bruna'!$E$6:$E$300)&amp;" ["&amp;'Bruna'!$F$6:$F$300&amp;"]",""),IF('Stella'!$B$6:$B$300=$A521,"Stella"&amp;IF('Stella'!$E$6:$E$300="",""," : "&amp;'Stella'!$E$6:$E$300)&amp;" ["&amp;'Stella'!$F$6:$F$300&amp;"]",""),IF('Igor'!$B$6:$B$300=$A521,"Igor"&amp;IF('Igor'!$E$6:$E$300="",""," : "&amp;'Igor'!$E$6:$E$300)&amp;" ["&amp;'Igor'!$F$6:$F$300&amp;"]","")))</f>
        <v/>
      </c>
    </row>
    <row r="522">
      <c r="G522" s="23">
        <f>IF($A522="","",_xlfn.TEXTJOIN("; ",TRUE,IF(COUNTIF('Clarice'!$B$6:$B$300,$A522)&gt;0,"Clarice",""),IF(COUNTIF('Luisa'!$B$6:$B$300,$A522)&gt;0,"Luisa",""),IF(COUNTIF('Lui'!$B$6:$B$300,$A522)&gt;0,"Lui",""),IF(COUNTIF('Thaís'!$B$6:$B$300,$A522)&gt;0,"Thaís",""),IF(COUNTIF('Daniel'!$B$6:$B$300,$A522)&gt;0,"Daniel",""),IF(COUNTIF('Fernando'!$B$6:$B$300,$A522)&gt;0,"Fernando",""),IF(COUNTIF('Stephanie'!$B$6:$B$300,$A522)&gt;0,"Stephanie",""),IF(COUNTIF('Fox'!$B$6:$B$300,$A522)&gt;0,"Fox",""),IF(COUNTIF('Bruna'!$B$6:$B$300,$A522)&gt;0,"Bruna",""),IF(COUNTIF('Stella'!$B$6:$B$300,$A522)&gt;0,"Stella",""),IF(COUNTIF('Igor'!$B$6:$B$300,$A522)&gt;0,"Igor","")))</f>
        <v/>
      </c>
      <c r="J522" s="24">
        <f>IF(OR($A522="",(COUNTIF('Clarice'!$B$6:$B$300,$A522)+COUNTIF('Luisa'!$B$6:$B$300,$A522)+COUNTIF('Lui'!$B$6:$B$300,$A522)+COUNTIF('Thaís'!$B$6:$B$300,$A522)+COUNTIF('Daniel'!$B$6:$B$300,$A522)+COUNTIF('Fernando'!$B$6:$B$300,$A522)+COUNTIF('Stephanie'!$B$6:$B$300,$A522)+COUNTIF('Fox'!$B$6:$B$300,$A522)+COUNTIF('Bruna'!$B$6:$B$300,$A522)+COUNTIF('Stella'!$B$6:$B$300,$A522)+COUNTIF('Igor'!$B$6:$B$300,$A522))=0),"",(COUNTIFS('Clarice'!$B$6:$B$300,$A522,'Clarice'!$F$6:$F$300,"Concluído")+COUNTIFS('Luisa'!$B$6:$B$300,$A522,'Luisa'!$F$6:$F$300,"Concluído")+COUNTIFS('Lui'!$B$6:$B$300,$A522,'Lui'!$F$6:$F$300,"Concluído")+COUNTIFS('Thaís'!$B$6:$B$300,$A522,'Thaís'!$F$6:$F$300,"Concluído")+COUNTIFS('Daniel'!$B$6:$B$300,$A522,'Daniel'!$F$6:$F$300,"Concluído")+COUNTIFS('Fernando'!$B$6:$B$300,$A522,'Fernando'!$F$6:$F$300,"Concluído")+COUNTIFS('Stephanie'!$B$6:$B$300,$A522,'Stephanie'!$F$6:$F$300,"Concluído")+COUNTIFS('Fox'!$B$6:$B$300,$A522,'Fox'!$F$6:$F$300,"Concluído")+COUNTIFS('Bruna'!$B$6:$B$300,$A522,'Bruna'!$F$6:$F$300,"Concluído")+COUNTIFS('Stella'!$B$6:$B$300,$A522,'Stella'!$F$6:$F$300,"Concluído")+COUNTIFS('Igor'!$B$6:$B$300,$A522,'Igor'!$F$6:$F$300,"Concluído"))&amp;" / "&amp;(COUNTIF('Clarice'!$B$6:$B$300,$A522)+COUNTIF('Luisa'!$B$6:$B$300,$A522)+COUNTIF('Lui'!$B$6:$B$300,$A522)+COUNTIF('Thaís'!$B$6:$B$300,$A522)+COUNTIF('Daniel'!$B$6:$B$300,$A522)+COUNTIF('Fernando'!$B$6:$B$300,$A522)+COUNTIF('Stephanie'!$B$6:$B$300,$A522)+COUNTIF('Fox'!$B$6:$B$300,$A522)+COUNTIF('Bruna'!$B$6:$B$300,$A522)+COUNTIF('Stella'!$B$6:$B$300,$A522)+COUNTIF('Igor'!$B$6:$B$300,$A522)))</f>
        <v/>
      </c>
      <c r="P522" s="25">
        <f>IF($A522="","",IF(M522&lt;&gt;"",M522,IF(K522&lt;&gt;"",K522,"")))</f>
        <v/>
      </c>
      <c r="Q522" s="25">
        <f>IF($A522="","",IF(N522&lt;&gt;"",N522,IF(L522&lt;&gt;"",L522,"")))</f>
        <v/>
      </c>
      <c r="S522" s="23">
        <f t="array" ref="S522">IF($A522="","",_xlfn.TEXTJOIN(CHAR(10),TRUE,IF('Clarice'!$B$6:$B$300=$A522,"Clarice"&amp;IF('Clarice'!$E$6:$E$300="",""," : "&amp;'Clarice'!$E$6:$E$300)&amp;" ["&amp;'Clarice'!$F$6:$F$300&amp;"]",""),IF('Luisa'!$B$6:$B$300=$A522,"Luisa"&amp;IF('Luisa'!$E$6:$E$300="",""," : "&amp;'Luisa'!$E$6:$E$300)&amp;" ["&amp;'Luisa'!$F$6:$F$300&amp;"]",""),IF('Lui'!$B$6:$B$300=$A522,"Lui"&amp;IF('Lui'!$E$6:$E$300="",""," : "&amp;'Lui'!$E$6:$E$300)&amp;" ["&amp;'Lui'!$F$6:$F$300&amp;"]",""),IF('Thaís'!$B$6:$B$300=$A522,"Thaís"&amp;IF('Thaís'!$E$6:$E$300="",""," : "&amp;'Thaís'!$E$6:$E$300)&amp;" ["&amp;'Thaís'!$F$6:$F$300&amp;"]",""),IF('Daniel'!$B$6:$B$300=$A522,"Daniel"&amp;IF('Daniel'!$E$6:$E$300="",""," : "&amp;'Daniel'!$E$6:$E$300)&amp;" ["&amp;'Daniel'!$F$6:$F$300&amp;"]",""),IF('Fernando'!$B$6:$B$300=$A522,"Fernando"&amp;IF('Fernando'!$E$6:$E$300="",""," : "&amp;'Fernando'!$E$6:$E$300)&amp;" ["&amp;'Fernando'!$F$6:$F$300&amp;"]",""),IF('Stephanie'!$B$6:$B$300=$A522,"Stephanie"&amp;IF('Stephanie'!$E$6:$E$300="",""," : "&amp;'Stephanie'!$E$6:$E$300)&amp;" ["&amp;'Stephanie'!$F$6:$F$300&amp;"]",""),IF('Fox'!$B$6:$B$300=$A522,"Fox"&amp;IF('Fox'!$E$6:$E$300="",""," : "&amp;'Fox'!$E$6:$E$300)&amp;" ["&amp;'Fox'!$F$6:$F$300&amp;"]",""),IF('Bruna'!$B$6:$B$300=$A522,"Bruna"&amp;IF('Bruna'!$E$6:$E$300="",""," : "&amp;'Bruna'!$E$6:$E$300)&amp;" ["&amp;'Bruna'!$F$6:$F$300&amp;"]",""),IF('Stella'!$B$6:$B$300=$A522,"Stella"&amp;IF('Stella'!$E$6:$E$300="",""," : "&amp;'Stella'!$E$6:$E$300)&amp;" ["&amp;'Stella'!$F$6:$F$300&amp;"]",""),IF('Igor'!$B$6:$B$300=$A522,"Igor"&amp;IF('Igor'!$E$6:$E$300="",""," : "&amp;'Igor'!$E$6:$E$300)&amp;" ["&amp;'Igor'!$F$6:$F$300&amp;"]","")))</f>
        <v/>
      </c>
    </row>
    <row r="523">
      <c r="G523" s="23">
        <f>IF($A523="","",_xlfn.TEXTJOIN("; ",TRUE,IF(COUNTIF('Clarice'!$B$6:$B$300,$A523)&gt;0,"Clarice",""),IF(COUNTIF('Luisa'!$B$6:$B$300,$A523)&gt;0,"Luisa",""),IF(COUNTIF('Lui'!$B$6:$B$300,$A523)&gt;0,"Lui",""),IF(COUNTIF('Thaís'!$B$6:$B$300,$A523)&gt;0,"Thaís",""),IF(COUNTIF('Daniel'!$B$6:$B$300,$A523)&gt;0,"Daniel",""),IF(COUNTIF('Fernando'!$B$6:$B$300,$A523)&gt;0,"Fernando",""),IF(COUNTIF('Stephanie'!$B$6:$B$300,$A523)&gt;0,"Stephanie",""),IF(COUNTIF('Fox'!$B$6:$B$300,$A523)&gt;0,"Fox",""),IF(COUNTIF('Bruna'!$B$6:$B$300,$A523)&gt;0,"Bruna",""),IF(COUNTIF('Stella'!$B$6:$B$300,$A523)&gt;0,"Stella",""),IF(COUNTIF('Igor'!$B$6:$B$300,$A523)&gt;0,"Igor","")))</f>
        <v/>
      </c>
      <c r="J523" s="24">
        <f>IF(OR($A523="",(COUNTIF('Clarice'!$B$6:$B$300,$A523)+COUNTIF('Luisa'!$B$6:$B$300,$A523)+COUNTIF('Lui'!$B$6:$B$300,$A523)+COUNTIF('Thaís'!$B$6:$B$300,$A523)+COUNTIF('Daniel'!$B$6:$B$300,$A523)+COUNTIF('Fernando'!$B$6:$B$300,$A523)+COUNTIF('Stephanie'!$B$6:$B$300,$A523)+COUNTIF('Fox'!$B$6:$B$300,$A523)+COUNTIF('Bruna'!$B$6:$B$300,$A523)+COUNTIF('Stella'!$B$6:$B$300,$A523)+COUNTIF('Igor'!$B$6:$B$300,$A523))=0),"",(COUNTIFS('Clarice'!$B$6:$B$300,$A523,'Clarice'!$F$6:$F$300,"Concluído")+COUNTIFS('Luisa'!$B$6:$B$300,$A523,'Luisa'!$F$6:$F$300,"Concluído")+COUNTIFS('Lui'!$B$6:$B$300,$A523,'Lui'!$F$6:$F$300,"Concluído")+COUNTIFS('Thaís'!$B$6:$B$300,$A523,'Thaís'!$F$6:$F$300,"Concluído")+COUNTIFS('Daniel'!$B$6:$B$300,$A523,'Daniel'!$F$6:$F$300,"Concluído")+COUNTIFS('Fernando'!$B$6:$B$300,$A523,'Fernando'!$F$6:$F$300,"Concluído")+COUNTIFS('Stephanie'!$B$6:$B$300,$A523,'Stephanie'!$F$6:$F$300,"Concluído")+COUNTIFS('Fox'!$B$6:$B$300,$A523,'Fox'!$F$6:$F$300,"Concluído")+COUNTIFS('Bruna'!$B$6:$B$300,$A523,'Bruna'!$F$6:$F$300,"Concluído")+COUNTIFS('Stella'!$B$6:$B$300,$A523,'Stella'!$F$6:$F$300,"Concluído")+COUNTIFS('Igor'!$B$6:$B$300,$A523,'Igor'!$F$6:$F$300,"Concluído"))&amp;" / "&amp;(COUNTIF('Clarice'!$B$6:$B$300,$A523)+COUNTIF('Luisa'!$B$6:$B$300,$A523)+COUNTIF('Lui'!$B$6:$B$300,$A523)+COUNTIF('Thaís'!$B$6:$B$300,$A523)+COUNTIF('Daniel'!$B$6:$B$300,$A523)+COUNTIF('Fernando'!$B$6:$B$300,$A523)+COUNTIF('Stephanie'!$B$6:$B$300,$A523)+COUNTIF('Fox'!$B$6:$B$300,$A523)+COUNTIF('Bruna'!$B$6:$B$300,$A523)+COUNTIF('Stella'!$B$6:$B$300,$A523)+COUNTIF('Igor'!$B$6:$B$300,$A523)))</f>
        <v/>
      </c>
      <c r="P523" s="25">
        <f>IF($A523="","",IF(M523&lt;&gt;"",M523,IF(K523&lt;&gt;"",K523,"")))</f>
        <v/>
      </c>
      <c r="Q523" s="25">
        <f>IF($A523="","",IF(N523&lt;&gt;"",N523,IF(L523&lt;&gt;"",L523,"")))</f>
        <v/>
      </c>
      <c r="S523" s="23">
        <f t="array" ref="S523">IF($A523="","",_xlfn.TEXTJOIN(CHAR(10),TRUE,IF('Clarice'!$B$6:$B$300=$A523,"Clarice"&amp;IF('Clarice'!$E$6:$E$300="",""," : "&amp;'Clarice'!$E$6:$E$300)&amp;" ["&amp;'Clarice'!$F$6:$F$300&amp;"]",""),IF('Luisa'!$B$6:$B$300=$A523,"Luisa"&amp;IF('Luisa'!$E$6:$E$300="",""," : "&amp;'Luisa'!$E$6:$E$300)&amp;" ["&amp;'Luisa'!$F$6:$F$300&amp;"]",""),IF('Lui'!$B$6:$B$300=$A523,"Lui"&amp;IF('Lui'!$E$6:$E$300="",""," : "&amp;'Lui'!$E$6:$E$300)&amp;" ["&amp;'Lui'!$F$6:$F$300&amp;"]",""),IF('Thaís'!$B$6:$B$300=$A523,"Thaís"&amp;IF('Thaís'!$E$6:$E$300="",""," : "&amp;'Thaís'!$E$6:$E$300)&amp;" ["&amp;'Thaís'!$F$6:$F$300&amp;"]",""),IF('Daniel'!$B$6:$B$300=$A523,"Daniel"&amp;IF('Daniel'!$E$6:$E$300="",""," : "&amp;'Daniel'!$E$6:$E$300)&amp;" ["&amp;'Daniel'!$F$6:$F$300&amp;"]",""),IF('Fernando'!$B$6:$B$300=$A523,"Fernando"&amp;IF('Fernando'!$E$6:$E$300="",""," : "&amp;'Fernando'!$E$6:$E$300)&amp;" ["&amp;'Fernando'!$F$6:$F$300&amp;"]",""),IF('Stephanie'!$B$6:$B$300=$A523,"Stephanie"&amp;IF('Stephanie'!$E$6:$E$300="",""," : "&amp;'Stephanie'!$E$6:$E$300)&amp;" ["&amp;'Stephanie'!$F$6:$F$300&amp;"]",""),IF('Fox'!$B$6:$B$300=$A523,"Fox"&amp;IF('Fox'!$E$6:$E$300="",""," : "&amp;'Fox'!$E$6:$E$300)&amp;" ["&amp;'Fox'!$F$6:$F$300&amp;"]",""),IF('Bruna'!$B$6:$B$300=$A523,"Bruna"&amp;IF('Bruna'!$E$6:$E$300="",""," : "&amp;'Bruna'!$E$6:$E$300)&amp;" ["&amp;'Bruna'!$F$6:$F$300&amp;"]",""),IF('Stella'!$B$6:$B$300=$A523,"Stella"&amp;IF('Stella'!$E$6:$E$300="",""," : "&amp;'Stella'!$E$6:$E$300)&amp;" ["&amp;'Stella'!$F$6:$F$300&amp;"]",""),IF('Igor'!$B$6:$B$300=$A523,"Igor"&amp;IF('Igor'!$E$6:$E$300="",""," : "&amp;'Igor'!$E$6:$E$300)&amp;" ["&amp;'Igor'!$F$6:$F$300&amp;"]","")))</f>
        <v/>
      </c>
    </row>
    <row r="524">
      <c r="G524" s="23">
        <f>IF($A524="","",_xlfn.TEXTJOIN("; ",TRUE,IF(COUNTIF('Clarice'!$B$6:$B$300,$A524)&gt;0,"Clarice",""),IF(COUNTIF('Luisa'!$B$6:$B$300,$A524)&gt;0,"Luisa",""),IF(COUNTIF('Lui'!$B$6:$B$300,$A524)&gt;0,"Lui",""),IF(COUNTIF('Thaís'!$B$6:$B$300,$A524)&gt;0,"Thaís",""),IF(COUNTIF('Daniel'!$B$6:$B$300,$A524)&gt;0,"Daniel",""),IF(COUNTIF('Fernando'!$B$6:$B$300,$A524)&gt;0,"Fernando",""),IF(COUNTIF('Stephanie'!$B$6:$B$300,$A524)&gt;0,"Stephanie",""),IF(COUNTIF('Fox'!$B$6:$B$300,$A524)&gt;0,"Fox",""),IF(COUNTIF('Bruna'!$B$6:$B$300,$A524)&gt;0,"Bruna",""),IF(COUNTIF('Stella'!$B$6:$B$300,$A524)&gt;0,"Stella",""),IF(COUNTIF('Igor'!$B$6:$B$300,$A524)&gt;0,"Igor","")))</f>
        <v/>
      </c>
      <c r="J524" s="24">
        <f>IF(OR($A524="",(COUNTIF('Clarice'!$B$6:$B$300,$A524)+COUNTIF('Luisa'!$B$6:$B$300,$A524)+COUNTIF('Lui'!$B$6:$B$300,$A524)+COUNTIF('Thaís'!$B$6:$B$300,$A524)+COUNTIF('Daniel'!$B$6:$B$300,$A524)+COUNTIF('Fernando'!$B$6:$B$300,$A524)+COUNTIF('Stephanie'!$B$6:$B$300,$A524)+COUNTIF('Fox'!$B$6:$B$300,$A524)+COUNTIF('Bruna'!$B$6:$B$300,$A524)+COUNTIF('Stella'!$B$6:$B$300,$A524)+COUNTIF('Igor'!$B$6:$B$300,$A524))=0),"",(COUNTIFS('Clarice'!$B$6:$B$300,$A524,'Clarice'!$F$6:$F$300,"Concluído")+COUNTIFS('Luisa'!$B$6:$B$300,$A524,'Luisa'!$F$6:$F$300,"Concluído")+COUNTIFS('Lui'!$B$6:$B$300,$A524,'Lui'!$F$6:$F$300,"Concluído")+COUNTIFS('Thaís'!$B$6:$B$300,$A524,'Thaís'!$F$6:$F$300,"Concluído")+COUNTIFS('Daniel'!$B$6:$B$300,$A524,'Daniel'!$F$6:$F$300,"Concluído")+COUNTIFS('Fernando'!$B$6:$B$300,$A524,'Fernando'!$F$6:$F$300,"Concluído")+COUNTIFS('Stephanie'!$B$6:$B$300,$A524,'Stephanie'!$F$6:$F$300,"Concluído")+COUNTIFS('Fox'!$B$6:$B$300,$A524,'Fox'!$F$6:$F$300,"Concluído")+COUNTIFS('Bruna'!$B$6:$B$300,$A524,'Bruna'!$F$6:$F$300,"Concluído")+COUNTIFS('Stella'!$B$6:$B$300,$A524,'Stella'!$F$6:$F$300,"Concluído")+COUNTIFS('Igor'!$B$6:$B$300,$A524,'Igor'!$F$6:$F$300,"Concluído"))&amp;" / "&amp;(COUNTIF('Clarice'!$B$6:$B$300,$A524)+COUNTIF('Luisa'!$B$6:$B$300,$A524)+COUNTIF('Lui'!$B$6:$B$300,$A524)+COUNTIF('Thaís'!$B$6:$B$300,$A524)+COUNTIF('Daniel'!$B$6:$B$300,$A524)+COUNTIF('Fernando'!$B$6:$B$300,$A524)+COUNTIF('Stephanie'!$B$6:$B$300,$A524)+COUNTIF('Fox'!$B$6:$B$300,$A524)+COUNTIF('Bruna'!$B$6:$B$300,$A524)+COUNTIF('Stella'!$B$6:$B$300,$A524)+COUNTIF('Igor'!$B$6:$B$300,$A524)))</f>
        <v/>
      </c>
      <c r="P524" s="25">
        <f>IF($A524="","",IF(M524&lt;&gt;"",M524,IF(K524&lt;&gt;"",K524,"")))</f>
        <v/>
      </c>
      <c r="Q524" s="25">
        <f>IF($A524="","",IF(N524&lt;&gt;"",N524,IF(L524&lt;&gt;"",L524,"")))</f>
        <v/>
      </c>
      <c r="S524" s="23">
        <f t="array" ref="S524">IF($A524="","",_xlfn.TEXTJOIN(CHAR(10),TRUE,IF('Clarice'!$B$6:$B$300=$A524,"Clarice"&amp;IF('Clarice'!$E$6:$E$300="",""," : "&amp;'Clarice'!$E$6:$E$300)&amp;" ["&amp;'Clarice'!$F$6:$F$300&amp;"]",""),IF('Luisa'!$B$6:$B$300=$A524,"Luisa"&amp;IF('Luisa'!$E$6:$E$300="",""," : "&amp;'Luisa'!$E$6:$E$300)&amp;" ["&amp;'Luisa'!$F$6:$F$300&amp;"]",""),IF('Lui'!$B$6:$B$300=$A524,"Lui"&amp;IF('Lui'!$E$6:$E$300="",""," : "&amp;'Lui'!$E$6:$E$300)&amp;" ["&amp;'Lui'!$F$6:$F$300&amp;"]",""),IF('Thaís'!$B$6:$B$300=$A524,"Thaís"&amp;IF('Thaís'!$E$6:$E$300="",""," : "&amp;'Thaís'!$E$6:$E$300)&amp;" ["&amp;'Thaís'!$F$6:$F$300&amp;"]",""),IF('Daniel'!$B$6:$B$300=$A524,"Daniel"&amp;IF('Daniel'!$E$6:$E$300="",""," : "&amp;'Daniel'!$E$6:$E$300)&amp;" ["&amp;'Daniel'!$F$6:$F$300&amp;"]",""),IF('Fernando'!$B$6:$B$300=$A524,"Fernando"&amp;IF('Fernando'!$E$6:$E$300="",""," : "&amp;'Fernando'!$E$6:$E$300)&amp;" ["&amp;'Fernando'!$F$6:$F$300&amp;"]",""),IF('Stephanie'!$B$6:$B$300=$A524,"Stephanie"&amp;IF('Stephanie'!$E$6:$E$300="",""," : "&amp;'Stephanie'!$E$6:$E$300)&amp;" ["&amp;'Stephanie'!$F$6:$F$300&amp;"]",""),IF('Fox'!$B$6:$B$300=$A524,"Fox"&amp;IF('Fox'!$E$6:$E$300="",""," : "&amp;'Fox'!$E$6:$E$300)&amp;" ["&amp;'Fox'!$F$6:$F$300&amp;"]",""),IF('Bruna'!$B$6:$B$300=$A524,"Bruna"&amp;IF('Bruna'!$E$6:$E$300="",""," : "&amp;'Bruna'!$E$6:$E$300)&amp;" ["&amp;'Bruna'!$F$6:$F$300&amp;"]",""),IF('Stella'!$B$6:$B$300=$A524,"Stella"&amp;IF('Stella'!$E$6:$E$300="",""," : "&amp;'Stella'!$E$6:$E$300)&amp;" ["&amp;'Stella'!$F$6:$F$300&amp;"]",""),IF('Igor'!$B$6:$B$300=$A524,"Igor"&amp;IF('Igor'!$E$6:$E$300="",""," : "&amp;'Igor'!$E$6:$E$300)&amp;" ["&amp;'Igor'!$F$6:$F$300&amp;"]","")))</f>
        <v/>
      </c>
    </row>
    <row r="525">
      <c r="G525" s="23">
        <f>IF($A525="","",_xlfn.TEXTJOIN("; ",TRUE,IF(COUNTIF('Clarice'!$B$6:$B$300,$A525)&gt;0,"Clarice",""),IF(COUNTIF('Luisa'!$B$6:$B$300,$A525)&gt;0,"Luisa",""),IF(COUNTIF('Lui'!$B$6:$B$300,$A525)&gt;0,"Lui",""),IF(COUNTIF('Thaís'!$B$6:$B$300,$A525)&gt;0,"Thaís",""),IF(COUNTIF('Daniel'!$B$6:$B$300,$A525)&gt;0,"Daniel",""),IF(COUNTIF('Fernando'!$B$6:$B$300,$A525)&gt;0,"Fernando",""),IF(COUNTIF('Stephanie'!$B$6:$B$300,$A525)&gt;0,"Stephanie",""),IF(COUNTIF('Fox'!$B$6:$B$300,$A525)&gt;0,"Fox",""),IF(COUNTIF('Bruna'!$B$6:$B$300,$A525)&gt;0,"Bruna",""),IF(COUNTIF('Stella'!$B$6:$B$300,$A525)&gt;0,"Stella",""),IF(COUNTIF('Igor'!$B$6:$B$300,$A525)&gt;0,"Igor","")))</f>
        <v/>
      </c>
      <c r="J525" s="24">
        <f>IF(OR($A525="",(COUNTIF('Clarice'!$B$6:$B$300,$A525)+COUNTIF('Luisa'!$B$6:$B$300,$A525)+COUNTIF('Lui'!$B$6:$B$300,$A525)+COUNTIF('Thaís'!$B$6:$B$300,$A525)+COUNTIF('Daniel'!$B$6:$B$300,$A525)+COUNTIF('Fernando'!$B$6:$B$300,$A525)+COUNTIF('Stephanie'!$B$6:$B$300,$A525)+COUNTIF('Fox'!$B$6:$B$300,$A525)+COUNTIF('Bruna'!$B$6:$B$300,$A525)+COUNTIF('Stella'!$B$6:$B$300,$A525)+COUNTIF('Igor'!$B$6:$B$300,$A525))=0),"",(COUNTIFS('Clarice'!$B$6:$B$300,$A525,'Clarice'!$F$6:$F$300,"Concluído")+COUNTIFS('Luisa'!$B$6:$B$300,$A525,'Luisa'!$F$6:$F$300,"Concluído")+COUNTIFS('Lui'!$B$6:$B$300,$A525,'Lui'!$F$6:$F$300,"Concluído")+COUNTIFS('Thaís'!$B$6:$B$300,$A525,'Thaís'!$F$6:$F$300,"Concluído")+COUNTIFS('Daniel'!$B$6:$B$300,$A525,'Daniel'!$F$6:$F$300,"Concluído")+COUNTIFS('Fernando'!$B$6:$B$300,$A525,'Fernando'!$F$6:$F$300,"Concluído")+COUNTIFS('Stephanie'!$B$6:$B$300,$A525,'Stephanie'!$F$6:$F$300,"Concluído")+COUNTIFS('Fox'!$B$6:$B$300,$A525,'Fox'!$F$6:$F$300,"Concluído")+COUNTIFS('Bruna'!$B$6:$B$300,$A525,'Bruna'!$F$6:$F$300,"Concluído")+COUNTIFS('Stella'!$B$6:$B$300,$A525,'Stella'!$F$6:$F$300,"Concluído")+COUNTIFS('Igor'!$B$6:$B$300,$A525,'Igor'!$F$6:$F$300,"Concluído"))&amp;" / "&amp;(COUNTIF('Clarice'!$B$6:$B$300,$A525)+COUNTIF('Luisa'!$B$6:$B$300,$A525)+COUNTIF('Lui'!$B$6:$B$300,$A525)+COUNTIF('Thaís'!$B$6:$B$300,$A525)+COUNTIF('Daniel'!$B$6:$B$300,$A525)+COUNTIF('Fernando'!$B$6:$B$300,$A525)+COUNTIF('Stephanie'!$B$6:$B$300,$A525)+COUNTIF('Fox'!$B$6:$B$300,$A525)+COUNTIF('Bruna'!$B$6:$B$300,$A525)+COUNTIF('Stella'!$B$6:$B$300,$A525)+COUNTIF('Igor'!$B$6:$B$300,$A525)))</f>
        <v/>
      </c>
      <c r="P525" s="25">
        <f>IF($A525="","",IF(M525&lt;&gt;"",M525,IF(K525&lt;&gt;"",K525,"")))</f>
        <v/>
      </c>
      <c r="Q525" s="25">
        <f>IF($A525="","",IF(N525&lt;&gt;"",N525,IF(L525&lt;&gt;"",L525,"")))</f>
        <v/>
      </c>
      <c r="S525" s="23">
        <f t="array" ref="S525">IF($A525="","",_xlfn.TEXTJOIN(CHAR(10),TRUE,IF('Clarice'!$B$6:$B$300=$A525,"Clarice"&amp;IF('Clarice'!$E$6:$E$300="",""," : "&amp;'Clarice'!$E$6:$E$300)&amp;" ["&amp;'Clarice'!$F$6:$F$300&amp;"]",""),IF('Luisa'!$B$6:$B$300=$A525,"Luisa"&amp;IF('Luisa'!$E$6:$E$300="",""," : "&amp;'Luisa'!$E$6:$E$300)&amp;" ["&amp;'Luisa'!$F$6:$F$300&amp;"]",""),IF('Lui'!$B$6:$B$300=$A525,"Lui"&amp;IF('Lui'!$E$6:$E$300="",""," : "&amp;'Lui'!$E$6:$E$300)&amp;" ["&amp;'Lui'!$F$6:$F$300&amp;"]",""),IF('Thaís'!$B$6:$B$300=$A525,"Thaís"&amp;IF('Thaís'!$E$6:$E$300="",""," : "&amp;'Thaís'!$E$6:$E$300)&amp;" ["&amp;'Thaís'!$F$6:$F$300&amp;"]",""),IF('Daniel'!$B$6:$B$300=$A525,"Daniel"&amp;IF('Daniel'!$E$6:$E$300="",""," : "&amp;'Daniel'!$E$6:$E$300)&amp;" ["&amp;'Daniel'!$F$6:$F$300&amp;"]",""),IF('Fernando'!$B$6:$B$300=$A525,"Fernando"&amp;IF('Fernando'!$E$6:$E$300="",""," : "&amp;'Fernando'!$E$6:$E$300)&amp;" ["&amp;'Fernando'!$F$6:$F$300&amp;"]",""),IF('Stephanie'!$B$6:$B$300=$A525,"Stephanie"&amp;IF('Stephanie'!$E$6:$E$300="",""," : "&amp;'Stephanie'!$E$6:$E$300)&amp;" ["&amp;'Stephanie'!$F$6:$F$300&amp;"]",""),IF('Fox'!$B$6:$B$300=$A525,"Fox"&amp;IF('Fox'!$E$6:$E$300="",""," : "&amp;'Fox'!$E$6:$E$300)&amp;" ["&amp;'Fox'!$F$6:$F$300&amp;"]",""),IF('Bruna'!$B$6:$B$300=$A525,"Bruna"&amp;IF('Bruna'!$E$6:$E$300="",""," : "&amp;'Bruna'!$E$6:$E$300)&amp;" ["&amp;'Bruna'!$F$6:$F$300&amp;"]",""),IF('Stella'!$B$6:$B$300=$A525,"Stella"&amp;IF('Stella'!$E$6:$E$300="",""," : "&amp;'Stella'!$E$6:$E$300)&amp;" ["&amp;'Stella'!$F$6:$F$300&amp;"]",""),IF('Igor'!$B$6:$B$300=$A525,"Igor"&amp;IF('Igor'!$E$6:$E$300="",""," : "&amp;'Igor'!$E$6:$E$300)&amp;" ["&amp;'Igor'!$F$6:$F$300&amp;"]","")))</f>
        <v/>
      </c>
    </row>
    <row r="526">
      <c r="G526" s="23">
        <f>IF($A526="","",_xlfn.TEXTJOIN("; ",TRUE,IF(COUNTIF('Clarice'!$B$6:$B$300,$A526)&gt;0,"Clarice",""),IF(COUNTIF('Luisa'!$B$6:$B$300,$A526)&gt;0,"Luisa",""),IF(COUNTIF('Lui'!$B$6:$B$300,$A526)&gt;0,"Lui",""),IF(COUNTIF('Thaís'!$B$6:$B$300,$A526)&gt;0,"Thaís",""),IF(COUNTIF('Daniel'!$B$6:$B$300,$A526)&gt;0,"Daniel",""),IF(COUNTIF('Fernando'!$B$6:$B$300,$A526)&gt;0,"Fernando",""),IF(COUNTIF('Stephanie'!$B$6:$B$300,$A526)&gt;0,"Stephanie",""),IF(COUNTIF('Fox'!$B$6:$B$300,$A526)&gt;0,"Fox",""),IF(COUNTIF('Bruna'!$B$6:$B$300,$A526)&gt;0,"Bruna",""),IF(COUNTIF('Stella'!$B$6:$B$300,$A526)&gt;0,"Stella",""),IF(COUNTIF('Igor'!$B$6:$B$300,$A526)&gt;0,"Igor","")))</f>
        <v/>
      </c>
      <c r="J526" s="24">
        <f>IF(OR($A526="",(COUNTIF('Clarice'!$B$6:$B$300,$A526)+COUNTIF('Luisa'!$B$6:$B$300,$A526)+COUNTIF('Lui'!$B$6:$B$300,$A526)+COUNTIF('Thaís'!$B$6:$B$300,$A526)+COUNTIF('Daniel'!$B$6:$B$300,$A526)+COUNTIF('Fernando'!$B$6:$B$300,$A526)+COUNTIF('Stephanie'!$B$6:$B$300,$A526)+COUNTIF('Fox'!$B$6:$B$300,$A526)+COUNTIF('Bruna'!$B$6:$B$300,$A526)+COUNTIF('Stella'!$B$6:$B$300,$A526)+COUNTIF('Igor'!$B$6:$B$300,$A526))=0),"",(COUNTIFS('Clarice'!$B$6:$B$300,$A526,'Clarice'!$F$6:$F$300,"Concluído")+COUNTIFS('Luisa'!$B$6:$B$300,$A526,'Luisa'!$F$6:$F$300,"Concluído")+COUNTIFS('Lui'!$B$6:$B$300,$A526,'Lui'!$F$6:$F$300,"Concluído")+COUNTIFS('Thaís'!$B$6:$B$300,$A526,'Thaís'!$F$6:$F$300,"Concluído")+COUNTIFS('Daniel'!$B$6:$B$300,$A526,'Daniel'!$F$6:$F$300,"Concluído")+COUNTIFS('Fernando'!$B$6:$B$300,$A526,'Fernando'!$F$6:$F$300,"Concluído")+COUNTIFS('Stephanie'!$B$6:$B$300,$A526,'Stephanie'!$F$6:$F$300,"Concluído")+COUNTIFS('Fox'!$B$6:$B$300,$A526,'Fox'!$F$6:$F$300,"Concluído")+COUNTIFS('Bruna'!$B$6:$B$300,$A526,'Bruna'!$F$6:$F$300,"Concluído")+COUNTIFS('Stella'!$B$6:$B$300,$A526,'Stella'!$F$6:$F$300,"Concluído")+COUNTIFS('Igor'!$B$6:$B$300,$A526,'Igor'!$F$6:$F$300,"Concluído"))&amp;" / "&amp;(COUNTIF('Clarice'!$B$6:$B$300,$A526)+COUNTIF('Luisa'!$B$6:$B$300,$A526)+COUNTIF('Lui'!$B$6:$B$300,$A526)+COUNTIF('Thaís'!$B$6:$B$300,$A526)+COUNTIF('Daniel'!$B$6:$B$300,$A526)+COUNTIF('Fernando'!$B$6:$B$300,$A526)+COUNTIF('Stephanie'!$B$6:$B$300,$A526)+COUNTIF('Fox'!$B$6:$B$300,$A526)+COUNTIF('Bruna'!$B$6:$B$300,$A526)+COUNTIF('Stella'!$B$6:$B$300,$A526)+COUNTIF('Igor'!$B$6:$B$300,$A526)))</f>
        <v/>
      </c>
      <c r="P526" s="25">
        <f>IF($A526="","",IF(M526&lt;&gt;"",M526,IF(K526&lt;&gt;"",K526,"")))</f>
        <v/>
      </c>
      <c r="Q526" s="25">
        <f>IF($A526="","",IF(N526&lt;&gt;"",N526,IF(L526&lt;&gt;"",L526,"")))</f>
        <v/>
      </c>
      <c r="S526" s="23">
        <f t="array" ref="S526">IF($A526="","",_xlfn.TEXTJOIN(CHAR(10),TRUE,IF('Clarice'!$B$6:$B$300=$A526,"Clarice"&amp;IF('Clarice'!$E$6:$E$300="",""," : "&amp;'Clarice'!$E$6:$E$300)&amp;" ["&amp;'Clarice'!$F$6:$F$300&amp;"]",""),IF('Luisa'!$B$6:$B$300=$A526,"Luisa"&amp;IF('Luisa'!$E$6:$E$300="",""," : "&amp;'Luisa'!$E$6:$E$300)&amp;" ["&amp;'Luisa'!$F$6:$F$300&amp;"]",""),IF('Lui'!$B$6:$B$300=$A526,"Lui"&amp;IF('Lui'!$E$6:$E$300="",""," : "&amp;'Lui'!$E$6:$E$300)&amp;" ["&amp;'Lui'!$F$6:$F$300&amp;"]",""),IF('Thaís'!$B$6:$B$300=$A526,"Thaís"&amp;IF('Thaís'!$E$6:$E$300="",""," : "&amp;'Thaís'!$E$6:$E$300)&amp;" ["&amp;'Thaís'!$F$6:$F$300&amp;"]",""),IF('Daniel'!$B$6:$B$300=$A526,"Daniel"&amp;IF('Daniel'!$E$6:$E$300="",""," : "&amp;'Daniel'!$E$6:$E$300)&amp;" ["&amp;'Daniel'!$F$6:$F$300&amp;"]",""),IF('Fernando'!$B$6:$B$300=$A526,"Fernando"&amp;IF('Fernando'!$E$6:$E$300="",""," : "&amp;'Fernando'!$E$6:$E$300)&amp;" ["&amp;'Fernando'!$F$6:$F$300&amp;"]",""),IF('Stephanie'!$B$6:$B$300=$A526,"Stephanie"&amp;IF('Stephanie'!$E$6:$E$300="",""," : "&amp;'Stephanie'!$E$6:$E$300)&amp;" ["&amp;'Stephanie'!$F$6:$F$300&amp;"]",""),IF('Fox'!$B$6:$B$300=$A526,"Fox"&amp;IF('Fox'!$E$6:$E$300="",""," : "&amp;'Fox'!$E$6:$E$300)&amp;" ["&amp;'Fox'!$F$6:$F$300&amp;"]",""),IF('Bruna'!$B$6:$B$300=$A526,"Bruna"&amp;IF('Bruna'!$E$6:$E$300="",""," : "&amp;'Bruna'!$E$6:$E$300)&amp;" ["&amp;'Bruna'!$F$6:$F$300&amp;"]",""),IF('Stella'!$B$6:$B$300=$A526,"Stella"&amp;IF('Stella'!$E$6:$E$300="",""," : "&amp;'Stella'!$E$6:$E$300)&amp;" ["&amp;'Stella'!$F$6:$F$300&amp;"]",""),IF('Igor'!$B$6:$B$300=$A526,"Igor"&amp;IF('Igor'!$E$6:$E$300="",""," : "&amp;'Igor'!$E$6:$E$300)&amp;" ["&amp;'Igor'!$F$6:$F$300&amp;"]","")))</f>
        <v/>
      </c>
    </row>
    <row r="527">
      <c r="G527" s="23">
        <f>IF($A527="","",_xlfn.TEXTJOIN("; ",TRUE,IF(COUNTIF('Clarice'!$B$6:$B$300,$A527)&gt;0,"Clarice",""),IF(COUNTIF('Luisa'!$B$6:$B$300,$A527)&gt;0,"Luisa",""),IF(COUNTIF('Lui'!$B$6:$B$300,$A527)&gt;0,"Lui",""),IF(COUNTIF('Thaís'!$B$6:$B$300,$A527)&gt;0,"Thaís",""),IF(COUNTIF('Daniel'!$B$6:$B$300,$A527)&gt;0,"Daniel",""),IF(COUNTIF('Fernando'!$B$6:$B$300,$A527)&gt;0,"Fernando",""),IF(COUNTIF('Stephanie'!$B$6:$B$300,$A527)&gt;0,"Stephanie",""),IF(COUNTIF('Fox'!$B$6:$B$300,$A527)&gt;0,"Fox",""),IF(COUNTIF('Bruna'!$B$6:$B$300,$A527)&gt;0,"Bruna",""),IF(COUNTIF('Stella'!$B$6:$B$300,$A527)&gt;0,"Stella",""),IF(COUNTIF('Igor'!$B$6:$B$300,$A527)&gt;0,"Igor","")))</f>
        <v/>
      </c>
      <c r="J527" s="24">
        <f>IF(OR($A527="",(COUNTIF('Clarice'!$B$6:$B$300,$A527)+COUNTIF('Luisa'!$B$6:$B$300,$A527)+COUNTIF('Lui'!$B$6:$B$300,$A527)+COUNTIF('Thaís'!$B$6:$B$300,$A527)+COUNTIF('Daniel'!$B$6:$B$300,$A527)+COUNTIF('Fernando'!$B$6:$B$300,$A527)+COUNTIF('Stephanie'!$B$6:$B$300,$A527)+COUNTIF('Fox'!$B$6:$B$300,$A527)+COUNTIF('Bruna'!$B$6:$B$300,$A527)+COUNTIF('Stella'!$B$6:$B$300,$A527)+COUNTIF('Igor'!$B$6:$B$300,$A527))=0),"",(COUNTIFS('Clarice'!$B$6:$B$300,$A527,'Clarice'!$F$6:$F$300,"Concluído")+COUNTIFS('Luisa'!$B$6:$B$300,$A527,'Luisa'!$F$6:$F$300,"Concluído")+COUNTIFS('Lui'!$B$6:$B$300,$A527,'Lui'!$F$6:$F$300,"Concluído")+COUNTIFS('Thaís'!$B$6:$B$300,$A527,'Thaís'!$F$6:$F$300,"Concluído")+COUNTIFS('Daniel'!$B$6:$B$300,$A527,'Daniel'!$F$6:$F$300,"Concluído")+COUNTIFS('Fernando'!$B$6:$B$300,$A527,'Fernando'!$F$6:$F$300,"Concluído")+COUNTIFS('Stephanie'!$B$6:$B$300,$A527,'Stephanie'!$F$6:$F$300,"Concluído")+COUNTIFS('Fox'!$B$6:$B$300,$A527,'Fox'!$F$6:$F$300,"Concluído")+COUNTIFS('Bruna'!$B$6:$B$300,$A527,'Bruna'!$F$6:$F$300,"Concluído")+COUNTIFS('Stella'!$B$6:$B$300,$A527,'Stella'!$F$6:$F$300,"Concluído")+COUNTIFS('Igor'!$B$6:$B$300,$A527,'Igor'!$F$6:$F$300,"Concluído"))&amp;" / "&amp;(COUNTIF('Clarice'!$B$6:$B$300,$A527)+COUNTIF('Luisa'!$B$6:$B$300,$A527)+COUNTIF('Lui'!$B$6:$B$300,$A527)+COUNTIF('Thaís'!$B$6:$B$300,$A527)+COUNTIF('Daniel'!$B$6:$B$300,$A527)+COUNTIF('Fernando'!$B$6:$B$300,$A527)+COUNTIF('Stephanie'!$B$6:$B$300,$A527)+COUNTIF('Fox'!$B$6:$B$300,$A527)+COUNTIF('Bruna'!$B$6:$B$300,$A527)+COUNTIF('Stella'!$B$6:$B$300,$A527)+COUNTIF('Igor'!$B$6:$B$300,$A527)))</f>
        <v/>
      </c>
      <c r="P527" s="25">
        <f>IF($A527="","",IF(M527&lt;&gt;"",M527,IF(K527&lt;&gt;"",K527,"")))</f>
        <v/>
      </c>
      <c r="Q527" s="25">
        <f>IF($A527="","",IF(N527&lt;&gt;"",N527,IF(L527&lt;&gt;"",L527,"")))</f>
        <v/>
      </c>
      <c r="S527" s="23">
        <f t="array" ref="S527">IF($A527="","",_xlfn.TEXTJOIN(CHAR(10),TRUE,IF('Clarice'!$B$6:$B$300=$A527,"Clarice"&amp;IF('Clarice'!$E$6:$E$300="",""," : "&amp;'Clarice'!$E$6:$E$300)&amp;" ["&amp;'Clarice'!$F$6:$F$300&amp;"]",""),IF('Luisa'!$B$6:$B$300=$A527,"Luisa"&amp;IF('Luisa'!$E$6:$E$300="",""," : "&amp;'Luisa'!$E$6:$E$300)&amp;" ["&amp;'Luisa'!$F$6:$F$300&amp;"]",""),IF('Lui'!$B$6:$B$300=$A527,"Lui"&amp;IF('Lui'!$E$6:$E$300="",""," : "&amp;'Lui'!$E$6:$E$300)&amp;" ["&amp;'Lui'!$F$6:$F$300&amp;"]",""),IF('Thaís'!$B$6:$B$300=$A527,"Thaís"&amp;IF('Thaís'!$E$6:$E$300="",""," : "&amp;'Thaís'!$E$6:$E$300)&amp;" ["&amp;'Thaís'!$F$6:$F$300&amp;"]",""),IF('Daniel'!$B$6:$B$300=$A527,"Daniel"&amp;IF('Daniel'!$E$6:$E$300="",""," : "&amp;'Daniel'!$E$6:$E$300)&amp;" ["&amp;'Daniel'!$F$6:$F$300&amp;"]",""),IF('Fernando'!$B$6:$B$300=$A527,"Fernando"&amp;IF('Fernando'!$E$6:$E$300="",""," : "&amp;'Fernando'!$E$6:$E$300)&amp;" ["&amp;'Fernando'!$F$6:$F$300&amp;"]",""),IF('Stephanie'!$B$6:$B$300=$A527,"Stephanie"&amp;IF('Stephanie'!$E$6:$E$300="",""," : "&amp;'Stephanie'!$E$6:$E$300)&amp;" ["&amp;'Stephanie'!$F$6:$F$300&amp;"]",""),IF('Fox'!$B$6:$B$300=$A527,"Fox"&amp;IF('Fox'!$E$6:$E$300="",""," : "&amp;'Fox'!$E$6:$E$300)&amp;" ["&amp;'Fox'!$F$6:$F$300&amp;"]",""),IF('Bruna'!$B$6:$B$300=$A527,"Bruna"&amp;IF('Bruna'!$E$6:$E$300="",""," : "&amp;'Bruna'!$E$6:$E$300)&amp;" ["&amp;'Bruna'!$F$6:$F$300&amp;"]",""),IF('Stella'!$B$6:$B$300=$A527,"Stella"&amp;IF('Stella'!$E$6:$E$300="",""," : "&amp;'Stella'!$E$6:$E$300)&amp;" ["&amp;'Stella'!$F$6:$F$300&amp;"]",""),IF('Igor'!$B$6:$B$300=$A527,"Igor"&amp;IF('Igor'!$E$6:$E$300="",""," : "&amp;'Igor'!$E$6:$E$300)&amp;" ["&amp;'Igor'!$F$6:$F$300&amp;"]","")))</f>
        <v/>
      </c>
    </row>
    <row r="528">
      <c r="G528" s="23">
        <f>IF($A528="","",_xlfn.TEXTJOIN("; ",TRUE,IF(COUNTIF('Clarice'!$B$6:$B$300,$A528)&gt;0,"Clarice",""),IF(COUNTIF('Luisa'!$B$6:$B$300,$A528)&gt;0,"Luisa",""),IF(COUNTIF('Lui'!$B$6:$B$300,$A528)&gt;0,"Lui",""),IF(COUNTIF('Thaís'!$B$6:$B$300,$A528)&gt;0,"Thaís",""),IF(COUNTIF('Daniel'!$B$6:$B$300,$A528)&gt;0,"Daniel",""),IF(COUNTIF('Fernando'!$B$6:$B$300,$A528)&gt;0,"Fernando",""),IF(COUNTIF('Stephanie'!$B$6:$B$300,$A528)&gt;0,"Stephanie",""),IF(COUNTIF('Fox'!$B$6:$B$300,$A528)&gt;0,"Fox",""),IF(COUNTIF('Bruna'!$B$6:$B$300,$A528)&gt;0,"Bruna",""),IF(COUNTIF('Stella'!$B$6:$B$300,$A528)&gt;0,"Stella",""),IF(COUNTIF('Igor'!$B$6:$B$300,$A528)&gt;0,"Igor","")))</f>
        <v/>
      </c>
      <c r="J528" s="24">
        <f>IF(OR($A528="",(COUNTIF('Clarice'!$B$6:$B$300,$A528)+COUNTIF('Luisa'!$B$6:$B$300,$A528)+COUNTIF('Lui'!$B$6:$B$300,$A528)+COUNTIF('Thaís'!$B$6:$B$300,$A528)+COUNTIF('Daniel'!$B$6:$B$300,$A528)+COUNTIF('Fernando'!$B$6:$B$300,$A528)+COUNTIF('Stephanie'!$B$6:$B$300,$A528)+COUNTIF('Fox'!$B$6:$B$300,$A528)+COUNTIF('Bruna'!$B$6:$B$300,$A528)+COUNTIF('Stella'!$B$6:$B$300,$A528)+COUNTIF('Igor'!$B$6:$B$300,$A528))=0),"",(COUNTIFS('Clarice'!$B$6:$B$300,$A528,'Clarice'!$F$6:$F$300,"Concluído")+COUNTIFS('Luisa'!$B$6:$B$300,$A528,'Luisa'!$F$6:$F$300,"Concluído")+COUNTIFS('Lui'!$B$6:$B$300,$A528,'Lui'!$F$6:$F$300,"Concluído")+COUNTIFS('Thaís'!$B$6:$B$300,$A528,'Thaís'!$F$6:$F$300,"Concluído")+COUNTIFS('Daniel'!$B$6:$B$300,$A528,'Daniel'!$F$6:$F$300,"Concluído")+COUNTIFS('Fernando'!$B$6:$B$300,$A528,'Fernando'!$F$6:$F$300,"Concluído")+COUNTIFS('Stephanie'!$B$6:$B$300,$A528,'Stephanie'!$F$6:$F$300,"Concluído")+COUNTIFS('Fox'!$B$6:$B$300,$A528,'Fox'!$F$6:$F$300,"Concluído")+COUNTIFS('Bruna'!$B$6:$B$300,$A528,'Bruna'!$F$6:$F$300,"Concluído")+COUNTIFS('Stella'!$B$6:$B$300,$A528,'Stella'!$F$6:$F$300,"Concluído")+COUNTIFS('Igor'!$B$6:$B$300,$A528,'Igor'!$F$6:$F$300,"Concluído"))&amp;" / "&amp;(COUNTIF('Clarice'!$B$6:$B$300,$A528)+COUNTIF('Luisa'!$B$6:$B$300,$A528)+COUNTIF('Lui'!$B$6:$B$300,$A528)+COUNTIF('Thaís'!$B$6:$B$300,$A528)+COUNTIF('Daniel'!$B$6:$B$300,$A528)+COUNTIF('Fernando'!$B$6:$B$300,$A528)+COUNTIF('Stephanie'!$B$6:$B$300,$A528)+COUNTIF('Fox'!$B$6:$B$300,$A528)+COUNTIF('Bruna'!$B$6:$B$300,$A528)+COUNTIF('Stella'!$B$6:$B$300,$A528)+COUNTIF('Igor'!$B$6:$B$300,$A528)))</f>
        <v/>
      </c>
      <c r="P528" s="25">
        <f>IF($A528="","",IF(M528&lt;&gt;"",M528,IF(K528&lt;&gt;"",K528,"")))</f>
        <v/>
      </c>
      <c r="Q528" s="25">
        <f>IF($A528="","",IF(N528&lt;&gt;"",N528,IF(L528&lt;&gt;"",L528,"")))</f>
        <v/>
      </c>
      <c r="S528" s="23">
        <f t="array" ref="S528">IF($A528="","",_xlfn.TEXTJOIN(CHAR(10),TRUE,IF('Clarice'!$B$6:$B$300=$A528,"Clarice"&amp;IF('Clarice'!$E$6:$E$300="",""," : "&amp;'Clarice'!$E$6:$E$300)&amp;" ["&amp;'Clarice'!$F$6:$F$300&amp;"]",""),IF('Luisa'!$B$6:$B$300=$A528,"Luisa"&amp;IF('Luisa'!$E$6:$E$300="",""," : "&amp;'Luisa'!$E$6:$E$300)&amp;" ["&amp;'Luisa'!$F$6:$F$300&amp;"]",""),IF('Lui'!$B$6:$B$300=$A528,"Lui"&amp;IF('Lui'!$E$6:$E$300="",""," : "&amp;'Lui'!$E$6:$E$300)&amp;" ["&amp;'Lui'!$F$6:$F$300&amp;"]",""),IF('Thaís'!$B$6:$B$300=$A528,"Thaís"&amp;IF('Thaís'!$E$6:$E$300="",""," : "&amp;'Thaís'!$E$6:$E$300)&amp;" ["&amp;'Thaís'!$F$6:$F$300&amp;"]",""),IF('Daniel'!$B$6:$B$300=$A528,"Daniel"&amp;IF('Daniel'!$E$6:$E$300="",""," : "&amp;'Daniel'!$E$6:$E$300)&amp;" ["&amp;'Daniel'!$F$6:$F$300&amp;"]",""),IF('Fernando'!$B$6:$B$300=$A528,"Fernando"&amp;IF('Fernando'!$E$6:$E$300="",""," : "&amp;'Fernando'!$E$6:$E$300)&amp;" ["&amp;'Fernando'!$F$6:$F$300&amp;"]",""),IF('Stephanie'!$B$6:$B$300=$A528,"Stephanie"&amp;IF('Stephanie'!$E$6:$E$300="",""," : "&amp;'Stephanie'!$E$6:$E$300)&amp;" ["&amp;'Stephanie'!$F$6:$F$300&amp;"]",""),IF('Fox'!$B$6:$B$300=$A528,"Fox"&amp;IF('Fox'!$E$6:$E$300="",""," : "&amp;'Fox'!$E$6:$E$300)&amp;" ["&amp;'Fox'!$F$6:$F$300&amp;"]",""),IF('Bruna'!$B$6:$B$300=$A528,"Bruna"&amp;IF('Bruna'!$E$6:$E$300="",""," : "&amp;'Bruna'!$E$6:$E$300)&amp;" ["&amp;'Bruna'!$F$6:$F$300&amp;"]",""),IF('Stella'!$B$6:$B$300=$A528,"Stella"&amp;IF('Stella'!$E$6:$E$300="",""," : "&amp;'Stella'!$E$6:$E$300)&amp;" ["&amp;'Stella'!$F$6:$F$300&amp;"]",""),IF('Igor'!$B$6:$B$300=$A528,"Igor"&amp;IF('Igor'!$E$6:$E$300="",""," : "&amp;'Igor'!$E$6:$E$300)&amp;" ["&amp;'Igor'!$F$6:$F$300&amp;"]","")))</f>
        <v/>
      </c>
    </row>
    <row r="529">
      <c r="G529" s="23">
        <f>IF($A529="","",_xlfn.TEXTJOIN("; ",TRUE,IF(COUNTIF('Clarice'!$B$6:$B$300,$A529)&gt;0,"Clarice",""),IF(COUNTIF('Luisa'!$B$6:$B$300,$A529)&gt;0,"Luisa",""),IF(COUNTIF('Lui'!$B$6:$B$300,$A529)&gt;0,"Lui",""),IF(COUNTIF('Thaís'!$B$6:$B$300,$A529)&gt;0,"Thaís",""),IF(COUNTIF('Daniel'!$B$6:$B$300,$A529)&gt;0,"Daniel",""),IF(COUNTIF('Fernando'!$B$6:$B$300,$A529)&gt;0,"Fernando",""),IF(COUNTIF('Stephanie'!$B$6:$B$300,$A529)&gt;0,"Stephanie",""),IF(COUNTIF('Fox'!$B$6:$B$300,$A529)&gt;0,"Fox",""),IF(COUNTIF('Bruna'!$B$6:$B$300,$A529)&gt;0,"Bruna",""),IF(COUNTIF('Stella'!$B$6:$B$300,$A529)&gt;0,"Stella",""),IF(COUNTIF('Igor'!$B$6:$B$300,$A529)&gt;0,"Igor","")))</f>
        <v/>
      </c>
      <c r="J529" s="24">
        <f>IF(OR($A529="",(COUNTIF('Clarice'!$B$6:$B$300,$A529)+COUNTIF('Luisa'!$B$6:$B$300,$A529)+COUNTIF('Lui'!$B$6:$B$300,$A529)+COUNTIF('Thaís'!$B$6:$B$300,$A529)+COUNTIF('Daniel'!$B$6:$B$300,$A529)+COUNTIF('Fernando'!$B$6:$B$300,$A529)+COUNTIF('Stephanie'!$B$6:$B$300,$A529)+COUNTIF('Fox'!$B$6:$B$300,$A529)+COUNTIF('Bruna'!$B$6:$B$300,$A529)+COUNTIF('Stella'!$B$6:$B$300,$A529)+COUNTIF('Igor'!$B$6:$B$300,$A529))=0),"",(COUNTIFS('Clarice'!$B$6:$B$300,$A529,'Clarice'!$F$6:$F$300,"Concluído")+COUNTIFS('Luisa'!$B$6:$B$300,$A529,'Luisa'!$F$6:$F$300,"Concluído")+COUNTIFS('Lui'!$B$6:$B$300,$A529,'Lui'!$F$6:$F$300,"Concluído")+COUNTIFS('Thaís'!$B$6:$B$300,$A529,'Thaís'!$F$6:$F$300,"Concluído")+COUNTIFS('Daniel'!$B$6:$B$300,$A529,'Daniel'!$F$6:$F$300,"Concluído")+COUNTIFS('Fernando'!$B$6:$B$300,$A529,'Fernando'!$F$6:$F$300,"Concluído")+COUNTIFS('Stephanie'!$B$6:$B$300,$A529,'Stephanie'!$F$6:$F$300,"Concluído")+COUNTIFS('Fox'!$B$6:$B$300,$A529,'Fox'!$F$6:$F$300,"Concluído")+COUNTIFS('Bruna'!$B$6:$B$300,$A529,'Bruna'!$F$6:$F$300,"Concluído")+COUNTIFS('Stella'!$B$6:$B$300,$A529,'Stella'!$F$6:$F$300,"Concluído")+COUNTIFS('Igor'!$B$6:$B$300,$A529,'Igor'!$F$6:$F$300,"Concluído"))&amp;" / "&amp;(COUNTIF('Clarice'!$B$6:$B$300,$A529)+COUNTIF('Luisa'!$B$6:$B$300,$A529)+COUNTIF('Lui'!$B$6:$B$300,$A529)+COUNTIF('Thaís'!$B$6:$B$300,$A529)+COUNTIF('Daniel'!$B$6:$B$300,$A529)+COUNTIF('Fernando'!$B$6:$B$300,$A529)+COUNTIF('Stephanie'!$B$6:$B$300,$A529)+COUNTIF('Fox'!$B$6:$B$300,$A529)+COUNTIF('Bruna'!$B$6:$B$300,$A529)+COUNTIF('Stella'!$B$6:$B$300,$A529)+COUNTIF('Igor'!$B$6:$B$300,$A529)))</f>
        <v/>
      </c>
      <c r="P529" s="25">
        <f>IF($A529="","",IF(M529&lt;&gt;"",M529,IF(K529&lt;&gt;"",K529,"")))</f>
        <v/>
      </c>
      <c r="Q529" s="25">
        <f>IF($A529="","",IF(N529&lt;&gt;"",N529,IF(L529&lt;&gt;"",L529,"")))</f>
        <v/>
      </c>
      <c r="S529" s="23">
        <f t="array" ref="S529">IF($A529="","",_xlfn.TEXTJOIN(CHAR(10),TRUE,IF('Clarice'!$B$6:$B$300=$A529,"Clarice"&amp;IF('Clarice'!$E$6:$E$300="",""," : "&amp;'Clarice'!$E$6:$E$300)&amp;" ["&amp;'Clarice'!$F$6:$F$300&amp;"]",""),IF('Luisa'!$B$6:$B$300=$A529,"Luisa"&amp;IF('Luisa'!$E$6:$E$300="",""," : "&amp;'Luisa'!$E$6:$E$300)&amp;" ["&amp;'Luisa'!$F$6:$F$300&amp;"]",""),IF('Lui'!$B$6:$B$300=$A529,"Lui"&amp;IF('Lui'!$E$6:$E$300="",""," : "&amp;'Lui'!$E$6:$E$300)&amp;" ["&amp;'Lui'!$F$6:$F$300&amp;"]",""),IF('Thaís'!$B$6:$B$300=$A529,"Thaís"&amp;IF('Thaís'!$E$6:$E$300="",""," : "&amp;'Thaís'!$E$6:$E$300)&amp;" ["&amp;'Thaís'!$F$6:$F$300&amp;"]",""),IF('Daniel'!$B$6:$B$300=$A529,"Daniel"&amp;IF('Daniel'!$E$6:$E$300="",""," : "&amp;'Daniel'!$E$6:$E$300)&amp;" ["&amp;'Daniel'!$F$6:$F$300&amp;"]",""),IF('Fernando'!$B$6:$B$300=$A529,"Fernando"&amp;IF('Fernando'!$E$6:$E$300="",""," : "&amp;'Fernando'!$E$6:$E$300)&amp;" ["&amp;'Fernando'!$F$6:$F$300&amp;"]",""),IF('Stephanie'!$B$6:$B$300=$A529,"Stephanie"&amp;IF('Stephanie'!$E$6:$E$300="",""," : "&amp;'Stephanie'!$E$6:$E$300)&amp;" ["&amp;'Stephanie'!$F$6:$F$300&amp;"]",""),IF('Fox'!$B$6:$B$300=$A529,"Fox"&amp;IF('Fox'!$E$6:$E$300="",""," : "&amp;'Fox'!$E$6:$E$300)&amp;" ["&amp;'Fox'!$F$6:$F$300&amp;"]",""),IF('Bruna'!$B$6:$B$300=$A529,"Bruna"&amp;IF('Bruna'!$E$6:$E$300="",""," : "&amp;'Bruna'!$E$6:$E$300)&amp;" ["&amp;'Bruna'!$F$6:$F$300&amp;"]",""),IF('Stella'!$B$6:$B$300=$A529,"Stella"&amp;IF('Stella'!$E$6:$E$300="",""," : "&amp;'Stella'!$E$6:$E$300)&amp;" ["&amp;'Stella'!$F$6:$F$300&amp;"]",""),IF('Igor'!$B$6:$B$300=$A529,"Igor"&amp;IF('Igor'!$E$6:$E$300="",""," : "&amp;'Igor'!$E$6:$E$300)&amp;" ["&amp;'Igor'!$F$6:$F$300&amp;"]","")))</f>
        <v/>
      </c>
    </row>
    <row r="530">
      <c r="G530" s="23">
        <f>IF($A530="","",_xlfn.TEXTJOIN("; ",TRUE,IF(COUNTIF('Clarice'!$B$6:$B$300,$A530)&gt;0,"Clarice",""),IF(COUNTIF('Luisa'!$B$6:$B$300,$A530)&gt;0,"Luisa",""),IF(COUNTIF('Lui'!$B$6:$B$300,$A530)&gt;0,"Lui",""),IF(COUNTIF('Thaís'!$B$6:$B$300,$A530)&gt;0,"Thaís",""),IF(COUNTIF('Daniel'!$B$6:$B$300,$A530)&gt;0,"Daniel",""),IF(COUNTIF('Fernando'!$B$6:$B$300,$A530)&gt;0,"Fernando",""),IF(COUNTIF('Stephanie'!$B$6:$B$300,$A530)&gt;0,"Stephanie",""),IF(COUNTIF('Fox'!$B$6:$B$300,$A530)&gt;0,"Fox",""),IF(COUNTIF('Bruna'!$B$6:$B$300,$A530)&gt;0,"Bruna",""),IF(COUNTIF('Stella'!$B$6:$B$300,$A530)&gt;0,"Stella",""),IF(COUNTIF('Igor'!$B$6:$B$300,$A530)&gt;0,"Igor","")))</f>
        <v/>
      </c>
      <c r="J530" s="24">
        <f>IF(OR($A530="",(COUNTIF('Clarice'!$B$6:$B$300,$A530)+COUNTIF('Luisa'!$B$6:$B$300,$A530)+COUNTIF('Lui'!$B$6:$B$300,$A530)+COUNTIF('Thaís'!$B$6:$B$300,$A530)+COUNTIF('Daniel'!$B$6:$B$300,$A530)+COUNTIF('Fernando'!$B$6:$B$300,$A530)+COUNTIF('Stephanie'!$B$6:$B$300,$A530)+COUNTIF('Fox'!$B$6:$B$300,$A530)+COUNTIF('Bruna'!$B$6:$B$300,$A530)+COUNTIF('Stella'!$B$6:$B$300,$A530)+COUNTIF('Igor'!$B$6:$B$300,$A530))=0),"",(COUNTIFS('Clarice'!$B$6:$B$300,$A530,'Clarice'!$F$6:$F$300,"Concluído")+COUNTIFS('Luisa'!$B$6:$B$300,$A530,'Luisa'!$F$6:$F$300,"Concluído")+COUNTIFS('Lui'!$B$6:$B$300,$A530,'Lui'!$F$6:$F$300,"Concluído")+COUNTIFS('Thaís'!$B$6:$B$300,$A530,'Thaís'!$F$6:$F$300,"Concluído")+COUNTIFS('Daniel'!$B$6:$B$300,$A530,'Daniel'!$F$6:$F$300,"Concluído")+COUNTIFS('Fernando'!$B$6:$B$300,$A530,'Fernando'!$F$6:$F$300,"Concluído")+COUNTIFS('Stephanie'!$B$6:$B$300,$A530,'Stephanie'!$F$6:$F$300,"Concluído")+COUNTIFS('Fox'!$B$6:$B$300,$A530,'Fox'!$F$6:$F$300,"Concluído")+COUNTIFS('Bruna'!$B$6:$B$300,$A530,'Bruna'!$F$6:$F$300,"Concluído")+COUNTIFS('Stella'!$B$6:$B$300,$A530,'Stella'!$F$6:$F$300,"Concluído")+COUNTIFS('Igor'!$B$6:$B$300,$A530,'Igor'!$F$6:$F$300,"Concluído"))&amp;" / "&amp;(COUNTIF('Clarice'!$B$6:$B$300,$A530)+COUNTIF('Luisa'!$B$6:$B$300,$A530)+COUNTIF('Lui'!$B$6:$B$300,$A530)+COUNTIF('Thaís'!$B$6:$B$300,$A530)+COUNTIF('Daniel'!$B$6:$B$300,$A530)+COUNTIF('Fernando'!$B$6:$B$300,$A530)+COUNTIF('Stephanie'!$B$6:$B$300,$A530)+COUNTIF('Fox'!$B$6:$B$300,$A530)+COUNTIF('Bruna'!$B$6:$B$300,$A530)+COUNTIF('Stella'!$B$6:$B$300,$A530)+COUNTIF('Igor'!$B$6:$B$300,$A530)))</f>
        <v/>
      </c>
      <c r="P530" s="25">
        <f>IF($A530="","",IF(M530&lt;&gt;"",M530,IF(K530&lt;&gt;"",K530,"")))</f>
        <v/>
      </c>
      <c r="Q530" s="25">
        <f>IF($A530="","",IF(N530&lt;&gt;"",N530,IF(L530&lt;&gt;"",L530,"")))</f>
        <v/>
      </c>
      <c r="S530" s="23">
        <f t="array" ref="S530">IF($A530="","",_xlfn.TEXTJOIN(CHAR(10),TRUE,IF('Clarice'!$B$6:$B$300=$A530,"Clarice"&amp;IF('Clarice'!$E$6:$E$300="",""," : "&amp;'Clarice'!$E$6:$E$300)&amp;" ["&amp;'Clarice'!$F$6:$F$300&amp;"]",""),IF('Luisa'!$B$6:$B$300=$A530,"Luisa"&amp;IF('Luisa'!$E$6:$E$300="",""," : "&amp;'Luisa'!$E$6:$E$300)&amp;" ["&amp;'Luisa'!$F$6:$F$300&amp;"]",""),IF('Lui'!$B$6:$B$300=$A530,"Lui"&amp;IF('Lui'!$E$6:$E$300="",""," : "&amp;'Lui'!$E$6:$E$300)&amp;" ["&amp;'Lui'!$F$6:$F$300&amp;"]",""),IF('Thaís'!$B$6:$B$300=$A530,"Thaís"&amp;IF('Thaís'!$E$6:$E$300="",""," : "&amp;'Thaís'!$E$6:$E$300)&amp;" ["&amp;'Thaís'!$F$6:$F$300&amp;"]",""),IF('Daniel'!$B$6:$B$300=$A530,"Daniel"&amp;IF('Daniel'!$E$6:$E$300="",""," : "&amp;'Daniel'!$E$6:$E$300)&amp;" ["&amp;'Daniel'!$F$6:$F$300&amp;"]",""),IF('Fernando'!$B$6:$B$300=$A530,"Fernando"&amp;IF('Fernando'!$E$6:$E$300="",""," : "&amp;'Fernando'!$E$6:$E$300)&amp;" ["&amp;'Fernando'!$F$6:$F$300&amp;"]",""),IF('Stephanie'!$B$6:$B$300=$A530,"Stephanie"&amp;IF('Stephanie'!$E$6:$E$300="",""," : "&amp;'Stephanie'!$E$6:$E$300)&amp;" ["&amp;'Stephanie'!$F$6:$F$300&amp;"]",""),IF('Fox'!$B$6:$B$300=$A530,"Fox"&amp;IF('Fox'!$E$6:$E$300="",""," : "&amp;'Fox'!$E$6:$E$300)&amp;" ["&amp;'Fox'!$F$6:$F$300&amp;"]",""),IF('Bruna'!$B$6:$B$300=$A530,"Bruna"&amp;IF('Bruna'!$E$6:$E$300="",""," : "&amp;'Bruna'!$E$6:$E$300)&amp;" ["&amp;'Bruna'!$F$6:$F$300&amp;"]",""),IF('Stella'!$B$6:$B$300=$A530,"Stella"&amp;IF('Stella'!$E$6:$E$300="",""," : "&amp;'Stella'!$E$6:$E$300)&amp;" ["&amp;'Stella'!$F$6:$F$300&amp;"]",""),IF('Igor'!$B$6:$B$300=$A530,"Igor"&amp;IF('Igor'!$E$6:$E$300="",""," : "&amp;'Igor'!$E$6:$E$300)&amp;" ["&amp;'Igor'!$F$6:$F$300&amp;"]","")))</f>
        <v/>
      </c>
    </row>
    <row r="531">
      <c r="G531" s="23">
        <f>IF($A531="","",_xlfn.TEXTJOIN("; ",TRUE,IF(COUNTIF('Clarice'!$B$6:$B$300,$A531)&gt;0,"Clarice",""),IF(COUNTIF('Luisa'!$B$6:$B$300,$A531)&gt;0,"Luisa",""),IF(COUNTIF('Lui'!$B$6:$B$300,$A531)&gt;0,"Lui",""),IF(COUNTIF('Thaís'!$B$6:$B$300,$A531)&gt;0,"Thaís",""),IF(COUNTIF('Daniel'!$B$6:$B$300,$A531)&gt;0,"Daniel",""),IF(COUNTIF('Fernando'!$B$6:$B$300,$A531)&gt;0,"Fernando",""),IF(COUNTIF('Stephanie'!$B$6:$B$300,$A531)&gt;0,"Stephanie",""),IF(COUNTIF('Fox'!$B$6:$B$300,$A531)&gt;0,"Fox",""),IF(COUNTIF('Bruna'!$B$6:$B$300,$A531)&gt;0,"Bruna",""),IF(COUNTIF('Stella'!$B$6:$B$300,$A531)&gt;0,"Stella",""),IF(COUNTIF('Igor'!$B$6:$B$300,$A531)&gt;0,"Igor","")))</f>
        <v/>
      </c>
      <c r="J531" s="24">
        <f>IF(OR($A531="",(COUNTIF('Clarice'!$B$6:$B$300,$A531)+COUNTIF('Luisa'!$B$6:$B$300,$A531)+COUNTIF('Lui'!$B$6:$B$300,$A531)+COUNTIF('Thaís'!$B$6:$B$300,$A531)+COUNTIF('Daniel'!$B$6:$B$300,$A531)+COUNTIF('Fernando'!$B$6:$B$300,$A531)+COUNTIF('Stephanie'!$B$6:$B$300,$A531)+COUNTIF('Fox'!$B$6:$B$300,$A531)+COUNTIF('Bruna'!$B$6:$B$300,$A531)+COUNTIF('Stella'!$B$6:$B$300,$A531)+COUNTIF('Igor'!$B$6:$B$300,$A531))=0),"",(COUNTIFS('Clarice'!$B$6:$B$300,$A531,'Clarice'!$F$6:$F$300,"Concluído")+COUNTIFS('Luisa'!$B$6:$B$300,$A531,'Luisa'!$F$6:$F$300,"Concluído")+COUNTIFS('Lui'!$B$6:$B$300,$A531,'Lui'!$F$6:$F$300,"Concluído")+COUNTIFS('Thaís'!$B$6:$B$300,$A531,'Thaís'!$F$6:$F$300,"Concluído")+COUNTIFS('Daniel'!$B$6:$B$300,$A531,'Daniel'!$F$6:$F$300,"Concluído")+COUNTIFS('Fernando'!$B$6:$B$300,$A531,'Fernando'!$F$6:$F$300,"Concluído")+COUNTIFS('Stephanie'!$B$6:$B$300,$A531,'Stephanie'!$F$6:$F$300,"Concluído")+COUNTIFS('Fox'!$B$6:$B$300,$A531,'Fox'!$F$6:$F$300,"Concluído")+COUNTIFS('Bruna'!$B$6:$B$300,$A531,'Bruna'!$F$6:$F$300,"Concluído")+COUNTIFS('Stella'!$B$6:$B$300,$A531,'Stella'!$F$6:$F$300,"Concluído")+COUNTIFS('Igor'!$B$6:$B$300,$A531,'Igor'!$F$6:$F$300,"Concluído"))&amp;" / "&amp;(COUNTIF('Clarice'!$B$6:$B$300,$A531)+COUNTIF('Luisa'!$B$6:$B$300,$A531)+COUNTIF('Lui'!$B$6:$B$300,$A531)+COUNTIF('Thaís'!$B$6:$B$300,$A531)+COUNTIF('Daniel'!$B$6:$B$300,$A531)+COUNTIF('Fernando'!$B$6:$B$300,$A531)+COUNTIF('Stephanie'!$B$6:$B$300,$A531)+COUNTIF('Fox'!$B$6:$B$300,$A531)+COUNTIF('Bruna'!$B$6:$B$300,$A531)+COUNTIF('Stella'!$B$6:$B$300,$A531)+COUNTIF('Igor'!$B$6:$B$300,$A531)))</f>
        <v/>
      </c>
      <c r="P531" s="25">
        <f>IF($A531="","",IF(M531&lt;&gt;"",M531,IF(K531&lt;&gt;"",K531,"")))</f>
        <v/>
      </c>
      <c r="Q531" s="25">
        <f>IF($A531="","",IF(N531&lt;&gt;"",N531,IF(L531&lt;&gt;"",L531,"")))</f>
        <v/>
      </c>
      <c r="S531" s="23">
        <f t="array" ref="S531">IF($A531="","",_xlfn.TEXTJOIN(CHAR(10),TRUE,IF('Clarice'!$B$6:$B$300=$A531,"Clarice"&amp;IF('Clarice'!$E$6:$E$300="",""," : "&amp;'Clarice'!$E$6:$E$300)&amp;" ["&amp;'Clarice'!$F$6:$F$300&amp;"]",""),IF('Luisa'!$B$6:$B$300=$A531,"Luisa"&amp;IF('Luisa'!$E$6:$E$300="",""," : "&amp;'Luisa'!$E$6:$E$300)&amp;" ["&amp;'Luisa'!$F$6:$F$300&amp;"]",""),IF('Lui'!$B$6:$B$300=$A531,"Lui"&amp;IF('Lui'!$E$6:$E$300="",""," : "&amp;'Lui'!$E$6:$E$300)&amp;" ["&amp;'Lui'!$F$6:$F$300&amp;"]",""),IF('Thaís'!$B$6:$B$300=$A531,"Thaís"&amp;IF('Thaís'!$E$6:$E$300="",""," : "&amp;'Thaís'!$E$6:$E$300)&amp;" ["&amp;'Thaís'!$F$6:$F$300&amp;"]",""),IF('Daniel'!$B$6:$B$300=$A531,"Daniel"&amp;IF('Daniel'!$E$6:$E$300="",""," : "&amp;'Daniel'!$E$6:$E$300)&amp;" ["&amp;'Daniel'!$F$6:$F$300&amp;"]",""),IF('Fernando'!$B$6:$B$300=$A531,"Fernando"&amp;IF('Fernando'!$E$6:$E$300="",""," : "&amp;'Fernando'!$E$6:$E$300)&amp;" ["&amp;'Fernando'!$F$6:$F$300&amp;"]",""),IF('Stephanie'!$B$6:$B$300=$A531,"Stephanie"&amp;IF('Stephanie'!$E$6:$E$300="",""," : "&amp;'Stephanie'!$E$6:$E$300)&amp;" ["&amp;'Stephanie'!$F$6:$F$300&amp;"]",""),IF('Fox'!$B$6:$B$300=$A531,"Fox"&amp;IF('Fox'!$E$6:$E$300="",""," : "&amp;'Fox'!$E$6:$E$300)&amp;" ["&amp;'Fox'!$F$6:$F$300&amp;"]",""),IF('Bruna'!$B$6:$B$300=$A531,"Bruna"&amp;IF('Bruna'!$E$6:$E$300="",""," : "&amp;'Bruna'!$E$6:$E$300)&amp;" ["&amp;'Bruna'!$F$6:$F$300&amp;"]",""),IF('Stella'!$B$6:$B$300=$A531,"Stella"&amp;IF('Stella'!$E$6:$E$300="",""," : "&amp;'Stella'!$E$6:$E$300)&amp;" ["&amp;'Stella'!$F$6:$F$300&amp;"]",""),IF('Igor'!$B$6:$B$300=$A531,"Igor"&amp;IF('Igor'!$E$6:$E$300="",""," : "&amp;'Igor'!$E$6:$E$300)&amp;" ["&amp;'Igor'!$F$6:$F$300&amp;"]","")))</f>
        <v/>
      </c>
    </row>
    <row r="532">
      <c r="G532" s="23">
        <f>IF($A532="","",_xlfn.TEXTJOIN("; ",TRUE,IF(COUNTIF('Clarice'!$B$6:$B$300,$A532)&gt;0,"Clarice",""),IF(COUNTIF('Luisa'!$B$6:$B$300,$A532)&gt;0,"Luisa",""),IF(COUNTIF('Lui'!$B$6:$B$300,$A532)&gt;0,"Lui",""),IF(COUNTIF('Thaís'!$B$6:$B$300,$A532)&gt;0,"Thaís",""),IF(COUNTIF('Daniel'!$B$6:$B$300,$A532)&gt;0,"Daniel",""),IF(COUNTIF('Fernando'!$B$6:$B$300,$A532)&gt;0,"Fernando",""),IF(COUNTIF('Stephanie'!$B$6:$B$300,$A532)&gt;0,"Stephanie",""),IF(COUNTIF('Fox'!$B$6:$B$300,$A532)&gt;0,"Fox",""),IF(COUNTIF('Bruna'!$B$6:$B$300,$A532)&gt;0,"Bruna",""),IF(COUNTIF('Stella'!$B$6:$B$300,$A532)&gt;0,"Stella",""),IF(COUNTIF('Igor'!$B$6:$B$300,$A532)&gt;0,"Igor","")))</f>
        <v/>
      </c>
      <c r="J532" s="24">
        <f>IF(OR($A532="",(COUNTIF('Clarice'!$B$6:$B$300,$A532)+COUNTIF('Luisa'!$B$6:$B$300,$A532)+COUNTIF('Lui'!$B$6:$B$300,$A532)+COUNTIF('Thaís'!$B$6:$B$300,$A532)+COUNTIF('Daniel'!$B$6:$B$300,$A532)+COUNTIF('Fernando'!$B$6:$B$300,$A532)+COUNTIF('Stephanie'!$B$6:$B$300,$A532)+COUNTIF('Fox'!$B$6:$B$300,$A532)+COUNTIF('Bruna'!$B$6:$B$300,$A532)+COUNTIF('Stella'!$B$6:$B$300,$A532)+COUNTIF('Igor'!$B$6:$B$300,$A532))=0),"",(COUNTIFS('Clarice'!$B$6:$B$300,$A532,'Clarice'!$F$6:$F$300,"Concluído")+COUNTIFS('Luisa'!$B$6:$B$300,$A532,'Luisa'!$F$6:$F$300,"Concluído")+COUNTIFS('Lui'!$B$6:$B$300,$A532,'Lui'!$F$6:$F$300,"Concluído")+COUNTIFS('Thaís'!$B$6:$B$300,$A532,'Thaís'!$F$6:$F$300,"Concluído")+COUNTIFS('Daniel'!$B$6:$B$300,$A532,'Daniel'!$F$6:$F$300,"Concluído")+COUNTIFS('Fernando'!$B$6:$B$300,$A532,'Fernando'!$F$6:$F$300,"Concluído")+COUNTIFS('Stephanie'!$B$6:$B$300,$A532,'Stephanie'!$F$6:$F$300,"Concluído")+COUNTIFS('Fox'!$B$6:$B$300,$A532,'Fox'!$F$6:$F$300,"Concluído")+COUNTIFS('Bruna'!$B$6:$B$300,$A532,'Bruna'!$F$6:$F$300,"Concluído")+COUNTIFS('Stella'!$B$6:$B$300,$A532,'Stella'!$F$6:$F$300,"Concluído")+COUNTIFS('Igor'!$B$6:$B$300,$A532,'Igor'!$F$6:$F$300,"Concluído"))&amp;" / "&amp;(COUNTIF('Clarice'!$B$6:$B$300,$A532)+COUNTIF('Luisa'!$B$6:$B$300,$A532)+COUNTIF('Lui'!$B$6:$B$300,$A532)+COUNTIF('Thaís'!$B$6:$B$300,$A532)+COUNTIF('Daniel'!$B$6:$B$300,$A532)+COUNTIF('Fernando'!$B$6:$B$300,$A532)+COUNTIF('Stephanie'!$B$6:$B$300,$A532)+COUNTIF('Fox'!$B$6:$B$300,$A532)+COUNTIF('Bruna'!$B$6:$B$300,$A532)+COUNTIF('Stella'!$B$6:$B$300,$A532)+COUNTIF('Igor'!$B$6:$B$300,$A532)))</f>
        <v/>
      </c>
      <c r="P532" s="25">
        <f>IF($A532="","",IF(M532&lt;&gt;"",M532,IF(K532&lt;&gt;"",K532,"")))</f>
        <v/>
      </c>
      <c r="Q532" s="25">
        <f>IF($A532="","",IF(N532&lt;&gt;"",N532,IF(L532&lt;&gt;"",L532,"")))</f>
        <v/>
      </c>
      <c r="S532" s="23">
        <f t="array" ref="S532">IF($A532="","",_xlfn.TEXTJOIN(CHAR(10),TRUE,IF('Clarice'!$B$6:$B$300=$A532,"Clarice"&amp;IF('Clarice'!$E$6:$E$300="",""," : "&amp;'Clarice'!$E$6:$E$300)&amp;" ["&amp;'Clarice'!$F$6:$F$300&amp;"]",""),IF('Luisa'!$B$6:$B$300=$A532,"Luisa"&amp;IF('Luisa'!$E$6:$E$300="",""," : "&amp;'Luisa'!$E$6:$E$300)&amp;" ["&amp;'Luisa'!$F$6:$F$300&amp;"]",""),IF('Lui'!$B$6:$B$300=$A532,"Lui"&amp;IF('Lui'!$E$6:$E$300="",""," : "&amp;'Lui'!$E$6:$E$300)&amp;" ["&amp;'Lui'!$F$6:$F$300&amp;"]",""),IF('Thaís'!$B$6:$B$300=$A532,"Thaís"&amp;IF('Thaís'!$E$6:$E$300="",""," : "&amp;'Thaís'!$E$6:$E$300)&amp;" ["&amp;'Thaís'!$F$6:$F$300&amp;"]",""),IF('Daniel'!$B$6:$B$300=$A532,"Daniel"&amp;IF('Daniel'!$E$6:$E$300="",""," : "&amp;'Daniel'!$E$6:$E$300)&amp;" ["&amp;'Daniel'!$F$6:$F$300&amp;"]",""),IF('Fernando'!$B$6:$B$300=$A532,"Fernando"&amp;IF('Fernando'!$E$6:$E$300="",""," : "&amp;'Fernando'!$E$6:$E$300)&amp;" ["&amp;'Fernando'!$F$6:$F$300&amp;"]",""),IF('Stephanie'!$B$6:$B$300=$A532,"Stephanie"&amp;IF('Stephanie'!$E$6:$E$300="",""," : "&amp;'Stephanie'!$E$6:$E$300)&amp;" ["&amp;'Stephanie'!$F$6:$F$300&amp;"]",""),IF('Fox'!$B$6:$B$300=$A532,"Fox"&amp;IF('Fox'!$E$6:$E$300="",""," : "&amp;'Fox'!$E$6:$E$300)&amp;" ["&amp;'Fox'!$F$6:$F$300&amp;"]",""),IF('Bruna'!$B$6:$B$300=$A532,"Bruna"&amp;IF('Bruna'!$E$6:$E$300="",""," : "&amp;'Bruna'!$E$6:$E$300)&amp;" ["&amp;'Bruna'!$F$6:$F$300&amp;"]",""),IF('Stella'!$B$6:$B$300=$A532,"Stella"&amp;IF('Stella'!$E$6:$E$300="",""," : "&amp;'Stella'!$E$6:$E$300)&amp;" ["&amp;'Stella'!$F$6:$F$300&amp;"]",""),IF('Igor'!$B$6:$B$300=$A532,"Igor"&amp;IF('Igor'!$E$6:$E$300="",""," : "&amp;'Igor'!$E$6:$E$300)&amp;" ["&amp;'Igor'!$F$6:$F$300&amp;"]","")))</f>
        <v/>
      </c>
    </row>
    <row r="533">
      <c r="G533" s="23">
        <f>IF($A533="","",_xlfn.TEXTJOIN("; ",TRUE,IF(COUNTIF('Clarice'!$B$6:$B$300,$A533)&gt;0,"Clarice",""),IF(COUNTIF('Luisa'!$B$6:$B$300,$A533)&gt;0,"Luisa",""),IF(COUNTIF('Lui'!$B$6:$B$300,$A533)&gt;0,"Lui",""),IF(COUNTIF('Thaís'!$B$6:$B$300,$A533)&gt;0,"Thaís",""),IF(COUNTIF('Daniel'!$B$6:$B$300,$A533)&gt;0,"Daniel",""),IF(COUNTIF('Fernando'!$B$6:$B$300,$A533)&gt;0,"Fernando",""),IF(COUNTIF('Stephanie'!$B$6:$B$300,$A533)&gt;0,"Stephanie",""),IF(COUNTIF('Fox'!$B$6:$B$300,$A533)&gt;0,"Fox",""),IF(COUNTIF('Bruna'!$B$6:$B$300,$A533)&gt;0,"Bruna",""),IF(COUNTIF('Stella'!$B$6:$B$300,$A533)&gt;0,"Stella",""),IF(COUNTIF('Igor'!$B$6:$B$300,$A533)&gt;0,"Igor","")))</f>
        <v/>
      </c>
      <c r="J533" s="24">
        <f>IF(OR($A533="",(COUNTIF('Clarice'!$B$6:$B$300,$A533)+COUNTIF('Luisa'!$B$6:$B$300,$A533)+COUNTIF('Lui'!$B$6:$B$300,$A533)+COUNTIF('Thaís'!$B$6:$B$300,$A533)+COUNTIF('Daniel'!$B$6:$B$300,$A533)+COUNTIF('Fernando'!$B$6:$B$300,$A533)+COUNTIF('Stephanie'!$B$6:$B$300,$A533)+COUNTIF('Fox'!$B$6:$B$300,$A533)+COUNTIF('Bruna'!$B$6:$B$300,$A533)+COUNTIF('Stella'!$B$6:$B$300,$A533)+COUNTIF('Igor'!$B$6:$B$300,$A533))=0),"",(COUNTIFS('Clarice'!$B$6:$B$300,$A533,'Clarice'!$F$6:$F$300,"Concluído")+COUNTIFS('Luisa'!$B$6:$B$300,$A533,'Luisa'!$F$6:$F$300,"Concluído")+COUNTIFS('Lui'!$B$6:$B$300,$A533,'Lui'!$F$6:$F$300,"Concluído")+COUNTIFS('Thaís'!$B$6:$B$300,$A533,'Thaís'!$F$6:$F$300,"Concluído")+COUNTIFS('Daniel'!$B$6:$B$300,$A533,'Daniel'!$F$6:$F$300,"Concluído")+COUNTIFS('Fernando'!$B$6:$B$300,$A533,'Fernando'!$F$6:$F$300,"Concluído")+COUNTIFS('Stephanie'!$B$6:$B$300,$A533,'Stephanie'!$F$6:$F$300,"Concluído")+COUNTIFS('Fox'!$B$6:$B$300,$A533,'Fox'!$F$6:$F$300,"Concluído")+COUNTIFS('Bruna'!$B$6:$B$300,$A533,'Bruna'!$F$6:$F$300,"Concluído")+COUNTIFS('Stella'!$B$6:$B$300,$A533,'Stella'!$F$6:$F$300,"Concluído")+COUNTIFS('Igor'!$B$6:$B$300,$A533,'Igor'!$F$6:$F$300,"Concluído"))&amp;" / "&amp;(COUNTIF('Clarice'!$B$6:$B$300,$A533)+COUNTIF('Luisa'!$B$6:$B$300,$A533)+COUNTIF('Lui'!$B$6:$B$300,$A533)+COUNTIF('Thaís'!$B$6:$B$300,$A533)+COUNTIF('Daniel'!$B$6:$B$300,$A533)+COUNTIF('Fernando'!$B$6:$B$300,$A533)+COUNTIF('Stephanie'!$B$6:$B$300,$A533)+COUNTIF('Fox'!$B$6:$B$300,$A533)+COUNTIF('Bruna'!$B$6:$B$300,$A533)+COUNTIF('Stella'!$B$6:$B$300,$A533)+COUNTIF('Igor'!$B$6:$B$300,$A533)))</f>
        <v/>
      </c>
      <c r="P533" s="25">
        <f>IF($A533="","",IF(M533&lt;&gt;"",M533,IF(K533&lt;&gt;"",K533,"")))</f>
        <v/>
      </c>
      <c r="Q533" s="25">
        <f>IF($A533="","",IF(N533&lt;&gt;"",N533,IF(L533&lt;&gt;"",L533,"")))</f>
        <v/>
      </c>
      <c r="S533" s="23">
        <f t="array" ref="S533">IF($A533="","",_xlfn.TEXTJOIN(CHAR(10),TRUE,IF('Clarice'!$B$6:$B$300=$A533,"Clarice"&amp;IF('Clarice'!$E$6:$E$300="",""," : "&amp;'Clarice'!$E$6:$E$300)&amp;" ["&amp;'Clarice'!$F$6:$F$300&amp;"]",""),IF('Luisa'!$B$6:$B$300=$A533,"Luisa"&amp;IF('Luisa'!$E$6:$E$300="",""," : "&amp;'Luisa'!$E$6:$E$300)&amp;" ["&amp;'Luisa'!$F$6:$F$300&amp;"]",""),IF('Lui'!$B$6:$B$300=$A533,"Lui"&amp;IF('Lui'!$E$6:$E$300="",""," : "&amp;'Lui'!$E$6:$E$300)&amp;" ["&amp;'Lui'!$F$6:$F$300&amp;"]",""),IF('Thaís'!$B$6:$B$300=$A533,"Thaís"&amp;IF('Thaís'!$E$6:$E$300="",""," : "&amp;'Thaís'!$E$6:$E$300)&amp;" ["&amp;'Thaís'!$F$6:$F$300&amp;"]",""),IF('Daniel'!$B$6:$B$300=$A533,"Daniel"&amp;IF('Daniel'!$E$6:$E$300="",""," : "&amp;'Daniel'!$E$6:$E$300)&amp;" ["&amp;'Daniel'!$F$6:$F$300&amp;"]",""),IF('Fernando'!$B$6:$B$300=$A533,"Fernando"&amp;IF('Fernando'!$E$6:$E$300="",""," : "&amp;'Fernando'!$E$6:$E$300)&amp;" ["&amp;'Fernando'!$F$6:$F$300&amp;"]",""),IF('Stephanie'!$B$6:$B$300=$A533,"Stephanie"&amp;IF('Stephanie'!$E$6:$E$300="",""," : "&amp;'Stephanie'!$E$6:$E$300)&amp;" ["&amp;'Stephanie'!$F$6:$F$300&amp;"]",""),IF('Fox'!$B$6:$B$300=$A533,"Fox"&amp;IF('Fox'!$E$6:$E$300="",""," : "&amp;'Fox'!$E$6:$E$300)&amp;" ["&amp;'Fox'!$F$6:$F$300&amp;"]",""),IF('Bruna'!$B$6:$B$300=$A533,"Bruna"&amp;IF('Bruna'!$E$6:$E$300="",""," : "&amp;'Bruna'!$E$6:$E$300)&amp;" ["&amp;'Bruna'!$F$6:$F$300&amp;"]",""),IF('Stella'!$B$6:$B$300=$A533,"Stella"&amp;IF('Stella'!$E$6:$E$300="",""," : "&amp;'Stella'!$E$6:$E$300)&amp;" ["&amp;'Stella'!$F$6:$F$300&amp;"]",""),IF('Igor'!$B$6:$B$300=$A533,"Igor"&amp;IF('Igor'!$E$6:$E$300="",""," : "&amp;'Igor'!$E$6:$E$300)&amp;" ["&amp;'Igor'!$F$6:$F$300&amp;"]","")))</f>
        <v/>
      </c>
    </row>
    <row r="534">
      <c r="G534" s="23">
        <f>IF($A534="","",_xlfn.TEXTJOIN("; ",TRUE,IF(COUNTIF('Clarice'!$B$6:$B$300,$A534)&gt;0,"Clarice",""),IF(COUNTIF('Luisa'!$B$6:$B$300,$A534)&gt;0,"Luisa",""),IF(COUNTIF('Lui'!$B$6:$B$300,$A534)&gt;0,"Lui",""),IF(COUNTIF('Thaís'!$B$6:$B$300,$A534)&gt;0,"Thaís",""),IF(COUNTIF('Daniel'!$B$6:$B$300,$A534)&gt;0,"Daniel",""),IF(COUNTIF('Fernando'!$B$6:$B$300,$A534)&gt;0,"Fernando",""),IF(COUNTIF('Stephanie'!$B$6:$B$300,$A534)&gt;0,"Stephanie",""),IF(COUNTIF('Fox'!$B$6:$B$300,$A534)&gt;0,"Fox",""),IF(COUNTIF('Bruna'!$B$6:$B$300,$A534)&gt;0,"Bruna",""),IF(COUNTIF('Stella'!$B$6:$B$300,$A534)&gt;0,"Stella",""),IF(COUNTIF('Igor'!$B$6:$B$300,$A534)&gt;0,"Igor","")))</f>
        <v/>
      </c>
      <c r="J534" s="24">
        <f>IF(OR($A534="",(COUNTIF('Clarice'!$B$6:$B$300,$A534)+COUNTIF('Luisa'!$B$6:$B$300,$A534)+COUNTIF('Lui'!$B$6:$B$300,$A534)+COUNTIF('Thaís'!$B$6:$B$300,$A534)+COUNTIF('Daniel'!$B$6:$B$300,$A534)+COUNTIF('Fernando'!$B$6:$B$300,$A534)+COUNTIF('Stephanie'!$B$6:$B$300,$A534)+COUNTIF('Fox'!$B$6:$B$300,$A534)+COUNTIF('Bruna'!$B$6:$B$300,$A534)+COUNTIF('Stella'!$B$6:$B$300,$A534)+COUNTIF('Igor'!$B$6:$B$300,$A534))=0),"",(COUNTIFS('Clarice'!$B$6:$B$300,$A534,'Clarice'!$F$6:$F$300,"Concluído")+COUNTIFS('Luisa'!$B$6:$B$300,$A534,'Luisa'!$F$6:$F$300,"Concluído")+COUNTIFS('Lui'!$B$6:$B$300,$A534,'Lui'!$F$6:$F$300,"Concluído")+COUNTIFS('Thaís'!$B$6:$B$300,$A534,'Thaís'!$F$6:$F$300,"Concluído")+COUNTIFS('Daniel'!$B$6:$B$300,$A534,'Daniel'!$F$6:$F$300,"Concluído")+COUNTIFS('Fernando'!$B$6:$B$300,$A534,'Fernando'!$F$6:$F$300,"Concluído")+COUNTIFS('Stephanie'!$B$6:$B$300,$A534,'Stephanie'!$F$6:$F$300,"Concluído")+COUNTIFS('Fox'!$B$6:$B$300,$A534,'Fox'!$F$6:$F$300,"Concluído")+COUNTIFS('Bruna'!$B$6:$B$300,$A534,'Bruna'!$F$6:$F$300,"Concluído")+COUNTIFS('Stella'!$B$6:$B$300,$A534,'Stella'!$F$6:$F$300,"Concluído")+COUNTIFS('Igor'!$B$6:$B$300,$A534,'Igor'!$F$6:$F$300,"Concluído"))&amp;" / "&amp;(COUNTIF('Clarice'!$B$6:$B$300,$A534)+COUNTIF('Luisa'!$B$6:$B$300,$A534)+COUNTIF('Lui'!$B$6:$B$300,$A534)+COUNTIF('Thaís'!$B$6:$B$300,$A534)+COUNTIF('Daniel'!$B$6:$B$300,$A534)+COUNTIF('Fernando'!$B$6:$B$300,$A534)+COUNTIF('Stephanie'!$B$6:$B$300,$A534)+COUNTIF('Fox'!$B$6:$B$300,$A534)+COUNTIF('Bruna'!$B$6:$B$300,$A534)+COUNTIF('Stella'!$B$6:$B$300,$A534)+COUNTIF('Igor'!$B$6:$B$300,$A534)))</f>
        <v/>
      </c>
      <c r="P534" s="25">
        <f>IF($A534="","",IF(M534&lt;&gt;"",M534,IF(K534&lt;&gt;"",K534,"")))</f>
        <v/>
      </c>
      <c r="Q534" s="25">
        <f>IF($A534="","",IF(N534&lt;&gt;"",N534,IF(L534&lt;&gt;"",L534,"")))</f>
        <v/>
      </c>
      <c r="S534" s="23">
        <f t="array" ref="S534">IF($A534="","",_xlfn.TEXTJOIN(CHAR(10),TRUE,IF('Clarice'!$B$6:$B$300=$A534,"Clarice"&amp;IF('Clarice'!$E$6:$E$300="",""," : "&amp;'Clarice'!$E$6:$E$300)&amp;" ["&amp;'Clarice'!$F$6:$F$300&amp;"]",""),IF('Luisa'!$B$6:$B$300=$A534,"Luisa"&amp;IF('Luisa'!$E$6:$E$300="",""," : "&amp;'Luisa'!$E$6:$E$300)&amp;" ["&amp;'Luisa'!$F$6:$F$300&amp;"]",""),IF('Lui'!$B$6:$B$300=$A534,"Lui"&amp;IF('Lui'!$E$6:$E$300="",""," : "&amp;'Lui'!$E$6:$E$300)&amp;" ["&amp;'Lui'!$F$6:$F$300&amp;"]",""),IF('Thaís'!$B$6:$B$300=$A534,"Thaís"&amp;IF('Thaís'!$E$6:$E$300="",""," : "&amp;'Thaís'!$E$6:$E$300)&amp;" ["&amp;'Thaís'!$F$6:$F$300&amp;"]",""),IF('Daniel'!$B$6:$B$300=$A534,"Daniel"&amp;IF('Daniel'!$E$6:$E$300="",""," : "&amp;'Daniel'!$E$6:$E$300)&amp;" ["&amp;'Daniel'!$F$6:$F$300&amp;"]",""),IF('Fernando'!$B$6:$B$300=$A534,"Fernando"&amp;IF('Fernando'!$E$6:$E$300="",""," : "&amp;'Fernando'!$E$6:$E$300)&amp;" ["&amp;'Fernando'!$F$6:$F$300&amp;"]",""),IF('Stephanie'!$B$6:$B$300=$A534,"Stephanie"&amp;IF('Stephanie'!$E$6:$E$300="",""," : "&amp;'Stephanie'!$E$6:$E$300)&amp;" ["&amp;'Stephanie'!$F$6:$F$300&amp;"]",""),IF('Fox'!$B$6:$B$300=$A534,"Fox"&amp;IF('Fox'!$E$6:$E$300="",""," : "&amp;'Fox'!$E$6:$E$300)&amp;" ["&amp;'Fox'!$F$6:$F$300&amp;"]",""),IF('Bruna'!$B$6:$B$300=$A534,"Bruna"&amp;IF('Bruna'!$E$6:$E$300="",""," : "&amp;'Bruna'!$E$6:$E$300)&amp;" ["&amp;'Bruna'!$F$6:$F$300&amp;"]",""),IF('Stella'!$B$6:$B$300=$A534,"Stella"&amp;IF('Stella'!$E$6:$E$300="",""," : "&amp;'Stella'!$E$6:$E$300)&amp;" ["&amp;'Stella'!$F$6:$F$300&amp;"]",""),IF('Igor'!$B$6:$B$300=$A534,"Igor"&amp;IF('Igor'!$E$6:$E$300="",""," : "&amp;'Igor'!$E$6:$E$300)&amp;" ["&amp;'Igor'!$F$6:$F$300&amp;"]","")))</f>
        <v/>
      </c>
    </row>
    <row r="535">
      <c r="G535" s="23">
        <f>IF($A535="","",_xlfn.TEXTJOIN("; ",TRUE,IF(COUNTIF('Clarice'!$B$6:$B$300,$A535)&gt;0,"Clarice",""),IF(COUNTIF('Luisa'!$B$6:$B$300,$A535)&gt;0,"Luisa",""),IF(COUNTIF('Lui'!$B$6:$B$300,$A535)&gt;0,"Lui",""),IF(COUNTIF('Thaís'!$B$6:$B$300,$A535)&gt;0,"Thaís",""),IF(COUNTIF('Daniel'!$B$6:$B$300,$A535)&gt;0,"Daniel",""),IF(COUNTIF('Fernando'!$B$6:$B$300,$A535)&gt;0,"Fernando",""),IF(COUNTIF('Stephanie'!$B$6:$B$300,$A535)&gt;0,"Stephanie",""),IF(COUNTIF('Fox'!$B$6:$B$300,$A535)&gt;0,"Fox",""),IF(COUNTIF('Bruna'!$B$6:$B$300,$A535)&gt;0,"Bruna",""),IF(COUNTIF('Stella'!$B$6:$B$300,$A535)&gt;0,"Stella",""),IF(COUNTIF('Igor'!$B$6:$B$300,$A535)&gt;0,"Igor","")))</f>
        <v/>
      </c>
      <c r="J535" s="24">
        <f>IF(OR($A535="",(COUNTIF('Clarice'!$B$6:$B$300,$A535)+COUNTIF('Luisa'!$B$6:$B$300,$A535)+COUNTIF('Lui'!$B$6:$B$300,$A535)+COUNTIF('Thaís'!$B$6:$B$300,$A535)+COUNTIF('Daniel'!$B$6:$B$300,$A535)+COUNTIF('Fernando'!$B$6:$B$300,$A535)+COUNTIF('Stephanie'!$B$6:$B$300,$A535)+COUNTIF('Fox'!$B$6:$B$300,$A535)+COUNTIF('Bruna'!$B$6:$B$300,$A535)+COUNTIF('Stella'!$B$6:$B$300,$A535)+COUNTIF('Igor'!$B$6:$B$300,$A535))=0),"",(COUNTIFS('Clarice'!$B$6:$B$300,$A535,'Clarice'!$F$6:$F$300,"Concluído")+COUNTIFS('Luisa'!$B$6:$B$300,$A535,'Luisa'!$F$6:$F$300,"Concluído")+COUNTIFS('Lui'!$B$6:$B$300,$A535,'Lui'!$F$6:$F$300,"Concluído")+COUNTIFS('Thaís'!$B$6:$B$300,$A535,'Thaís'!$F$6:$F$300,"Concluído")+COUNTIFS('Daniel'!$B$6:$B$300,$A535,'Daniel'!$F$6:$F$300,"Concluído")+COUNTIFS('Fernando'!$B$6:$B$300,$A535,'Fernando'!$F$6:$F$300,"Concluído")+COUNTIFS('Stephanie'!$B$6:$B$300,$A535,'Stephanie'!$F$6:$F$300,"Concluído")+COUNTIFS('Fox'!$B$6:$B$300,$A535,'Fox'!$F$6:$F$300,"Concluído")+COUNTIFS('Bruna'!$B$6:$B$300,$A535,'Bruna'!$F$6:$F$300,"Concluído")+COUNTIFS('Stella'!$B$6:$B$300,$A535,'Stella'!$F$6:$F$300,"Concluído")+COUNTIFS('Igor'!$B$6:$B$300,$A535,'Igor'!$F$6:$F$300,"Concluído"))&amp;" / "&amp;(COUNTIF('Clarice'!$B$6:$B$300,$A535)+COUNTIF('Luisa'!$B$6:$B$300,$A535)+COUNTIF('Lui'!$B$6:$B$300,$A535)+COUNTIF('Thaís'!$B$6:$B$300,$A535)+COUNTIF('Daniel'!$B$6:$B$300,$A535)+COUNTIF('Fernando'!$B$6:$B$300,$A535)+COUNTIF('Stephanie'!$B$6:$B$300,$A535)+COUNTIF('Fox'!$B$6:$B$300,$A535)+COUNTIF('Bruna'!$B$6:$B$300,$A535)+COUNTIF('Stella'!$B$6:$B$300,$A535)+COUNTIF('Igor'!$B$6:$B$300,$A535)))</f>
        <v/>
      </c>
      <c r="P535" s="25">
        <f>IF($A535="","",IF(M535&lt;&gt;"",M535,IF(K535&lt;&gt;"",K535,"")))</f>
        <v/>
      </c>
      <c r="Q535" s="25">
        <f>IF($A535="","",IF(N535&lt;&gt;"",N535,IF(L535&lt;&gt;"",L535,"")))</f>
        <v/>
      </c>
      <c r="S535" s="23">
        <f t="array" ref="S535">IF($A535="","",_xlfn.TEXTJOIN(CHAR(10),TRUE,IF('Clarice'!$B$6:$B$300=$A535,"Clarice"&amp;IF('Clarice'!$E$6:$E$300="",""," : "&amp;'Clarice'!$E$6:$E$300)&amp;" ["&amp;'Clarice'!$F$6:$F$300&amp;"]",""),IF('Luisa'!$B$6:$B$300=$A535,"Luisa"&amp;IF('Luisa'!$E$6:$E$300="",""," : "&amp;'Luisa'!$E$6:$E$300)&amp;" ["&amp;'Luisa'!$F$6:$F$300&amp;"]",""),IF('Lui'!$B$6:$B$300=$A535,"Lui"&amp;IF('Lui'!$E$6:$E$300="",""," : "&amp;'Lui'!$E$6:$E$300)&amp;" ["&amp;'Lui'!$F$6:$F$300&amp;"]",""),IF('Thaís'!$B$6:$B$300=$A535,"Thaís"&amp;IF('Thaís'!$E$6:$E$300="",""," : "&amp;'Thaís'!$E$6:$E$300)&amp;" ["&amp;'Thaís'!$F$6:$F$300&amp;"]",""),IF('Daniel'!$B$6:$B$300=$A535,"Daniel"&amp;IF('Daniel'!$E$6:$E$300="",""," : "&amp;'Daniel'!$E$6:$E$300)&amp;" ["&amp;'Daniel'!$F$6:$F$300&amp;"]",""),IF('Fernando'!$B$6:$B$300=$A535,"Fernando"&amp;IF('Fernando'!$E$6:$E$300="",""," : "&amp;'Fernando'!$E$6:$E$300)&amp;" ["&amp;'Fernando'!$F$6:$F$300&amp;"]",""),IF('Stephanie'!$B$6:$B$300=$A535,"Stephanie"&amp;IF('Stephanie'!$E$6:$E$300="",""," : "&amp;'Stephanie'!$E$6:$E$300)&amp;" ["&amp;'Stephanie'!$F$6:$F$300&amp;"]",""),IF('Fox'!$B$6:$B$300=$A535,"Fox"&amp;IF('Fox'!$E$6:$E$300="",""," : "&amp;'Fox'!$E$6:$E$300)&amp;" ["&amp;'Fox'!$F$6:$F$300&amp;"]",""),IF('Bruna'!$B$6:$B$300=$A535,"Bruna"&amp;IF('Bruna'!$E$6:$E$300="",""," : "&amp;'Bruna'!$E$6:$E$300)&amp;" ["&amp;'Bruna'!$F$6:$F$300&amp;"]",""),IF('Stella'!$B$6:$B$300=$A535,"Stella"&amp;IF('Stella'!$E$6:$E$300="",""," : "&amp;'Stella'!$E$6:$E$300)&amp;" ["&amp;'Stella'!$F$6:$F$300&amp;"]",""),IF('Igor'!$B$6:$B$300=$A535,"Igor"&amp;IF('Igor'!$E$6:$E$300="",""," : "&amp;'Igor'!$E$6:$E$300)&amp;" ["&amp;'Igor'!$F$6:$F$300&amp;"]","")))</f>
        <v/>
      </c>
    </row>
    <row r="536">
      <c r="G536" s="23">
        <f>IF($A536="","",_xlfn.TEXTJOIN("; ",TRUE,IF(COUNTIF('Clarice'!$B$6:$B$300,$A536)&gt;0,"Clarice",""),IF(COUNTIF('Luisa'!$B$6:$B$300,$A536)&gt;0,"Luisa",""),IF(COUNTIF('Lui'!$B$6:$B$300,$A536)&gt;0,"Lui",""),IF(COUNTIF('Thaís'!$B$6:$B$300,$A536)&gt;0,"Thaís",""),IF(COUNTIF('Daniel'!$B$6:$B$300,$A536)&gt;0,"Daniel",""),IF(COUNTIF('Fernando'!$B$6:$B$300,$A536)&gt;0,"Fernando",""),IF(COUNTIF('Stephanie'!$B$6:$B$300,$A536)&gt;0,"Stephanie",""),IF(COUNTIF('Fox'!$B$6:$B$300,$A536)&gt;0,"Fox",""),IF(COUNTIF('Bruna'!$B$6:$B$300,$A536)&gt;0,"Bruna",""),IF(COUNTIF('Stella'!$B$6:$B$300,$A536)&gt;0,"Stella",""),IF(COUNTIF('Igor'!$B$6:$B$300,$A536)&gt;0,"Igor","")))</f>
        <v/>
      </c>
      <c r="J536" s="24">
        <f>IF(OR($A536="",(COUNTIF('Clarice'!$B$6:$B$300,$A536)+COUNTIF('Luisa'!$B$6:$B$300,$A536)+COUNTIF('Lui'!$B$6:$B$300,$A536)+COUNTIF('Thaís'!$B$6:$B$300,$A536)+COUNTIF('Daniel'!$B$6:$B$300,$A536)+COUNTIF('Fernando'!$B$6:$B$300,$A536)+COUNTIF('Stephanie'!$B$6:$B$300,$A536)+COUNTIF('Fox'!$B$6:$B$300,$A536)+COUNTIF('Bruna'!$B$6:$B$300,$A536)+COUNTIF('Stella'!$B$6:$B$300,$A536)+COUNTIF('Igor'!$B$6:$B$300,$A536))=0),"",(COUNTIFS('Clarice'!$B$6:$B$300,$A536,'Clarice'!$F$6:$F$300,"Concluído")+COUNTIFS('Luisa'!$B$6:$B$300,$A536,'Luisa'!$F$6:$F$300,"Concluído")+COUNTIFS('Lui'!$B$6:$B$300,$A536,'Lui'!$F$6:$F$300,"Concluído")+COUNTIFS('Thaís'!$B$6:$B$300,$A536,'Thaís'!$F$6:$F$300,"Concluído")+COUNTIFS('Daniel'!$B$6:$B$300,$A536,'Daniel'!$F$6:$F$300,"Concluído")+COUNTIFS('Fernando'!$B$6:$B$300,$A536,'Fernando'!$F$6:$F$300,"Concluído")+COUNTIFS('Stephanie'!$B$6:$B$300,$A536,'Stephanie'!$F$6:$F$300,"Concluído")+COUNTIFS('Fox'!$B$6:$B$300,$A536,'Fox'!$F$6:$F$300,"Concluído")+COUNTIFS('Bruna'!$B$6:$B$300,$A536,'Bruna'!$F$6:$F$300,"Concluído")+COUNTIFS('Stella'!$B$6:$B$300,$A536,'Stella'!$F$6:$F$300,"Concluído")+COUNTIFS('Igor'!$B$6:$B$300,$A536,'Igor'!$F$6:$F$300,"Concluído"))&amp;" / "&amp;(COUNTIF('Clarice'!$B$6:$B$300,$A536)+COUNTIF('Luisa'!$B$6:$B$300,$A536)+COUNTIF('Lui'!$B$6:$B$300,$A536)+COUNTIF('Thaís'!$B$6:$B$300,$A536)+COUNTIF('Daniel'!$B$6:$B$300,$A536)+COUNTIF('Fernando'!$B$6:$B$300,$A536)+COUNTIF('Stephanie'!$B$6:$B$300,$A536)+COUNTIF('Fox'!$B$6:$B$300,$A536)+COUNTIF('Bruna'!$B$6:$B$300,$A536)+COUNTIF('Stella'!$B$6:$B$300,$A536)+COUNTIF('Igor'!$B$6:$B$300,$A536)))</f>
        <v/>
      </c>
      <c r="P536" s="25">
        <f>IF($A536="","",IF(M536&lt;&gt;"",M536,IF(K536&lt;&gt;"",K536,"")))</f>
        <v/>
      </c>
      <c r="Q536" s="25">
        <f>IF($A536="","",IF(N536&lt;&gt;"",N536,IF(L536&lt;&gt;"",L536,"")))</f>
        <v/>
      </c>
      <c r="S536" s="23">
        <f t="array" ref="S536">IF($A536="","",_xlfn.TEXTJOIN(CHAR(10),TRUE,IF('Clarice'!$B$6:$B$300=$A536,"Clarice"&amp;IF('Clarice'!$E$6:$E$300="",""," : "&amp;'Clarice'!$E$6:$E$300)&amp;" ["&amp;'Clarice'!$F$6:$F$300&amp;"]",""),IF('Luisa'!$B$6:$B$300=$A536,"Luisa"&amp;IF('Luisa'!$E$6:$E$300="",""," : "&amp;'Luisa'!$E$6:$E$300)&amp;" ["&amp;'Luisa'!$F$6:$F$300&amp;"]",""),IF('Lui'!$B$6:$B$300=$A536,"Lui"&amp;IF('Lui'!$E$6:$E$300="",""," : "&amp;'Lui'!$E$6:$E$300)&amp;" ["&amp;'Lui'!$F$6:$F$300&amp;"]",""),IF('Thaís'!$B$6:$B$300=$A536,"Thaís"&amp;IF('Thaís'!$E$6:$E$300="",""," : "&amp;'Thaís'!$E$6:$E$300)&amp;" ["&amp;'Thaís'!$F$6:$F$300&amp;"]",""),IF('Daniel'!$B$6:$B$300=$A536,"Daniel"&amp;IF('Daniel'!$E$6:$E$300="",""," : "&amp;'Daniel'!$E$6:$E$300)&amp;" ["&amp;'Daniel'!$F$6:$F$300&amp;"]",""),IF('Fernando'!$B$6:$B$300=$A536,"Fernando"&amp;IF('Fernando'!$E$6:$E$300="",""," : "&amp;'Fernando'!$E$6:$E$300)&amp;" ["&amp;'Fernando'!$F$6:$F$300&amp;"]",""),IF('Stephanie'!$B$6:$B$300=$A536,"Stephanie"&amp;IF('Stephanie'!$E$6:$E$300="",""," : "&amp;'Stephanie'!$E$6:$E$300)&amp;" ["&amp;'Stephanie'!$F$6:$F$300&amp;"]",""),IF('Fox'!$B$6:$B$300=$A536,"Fox"&amp;IF('Fox'!$E$6:$E$300="",""," : "&amp;'Fox'!$E$6:$E$300)&amp;" ["&amp;'Fox'!$F$6:$F$300&amp;"]",""),IF('Bruna'!$B$6:$B$300=$A536,"Bruna"&amp;IF('Bruna'!$E$6:$E$300="",""," : "&amp;'Bruna'!$E$6:$E$300)&amp;" ["&amp;'Bruna'!$F$6:$F$300&amp;"]",""),IF('Stella'!$B$6:$B$300=$A536,"Stella"&amp;IF('Stella'!$E$6:$E$300="",""," : "&amp;'Stella'!$E$6:$E$300)&amp;" ["&amp;'Stella'!$F$6:$F$300&amp;"]",""),IF('Igor'!$B$6:$B$300=$A536,"Igor"&amp;IF('Igor'!$E$6:$E$300="",""," : "&amp;'Igor'!$E$6:$E$300)&amp;" ["&amp;'Igor'!$F$6:$F$300&amp;"]","")))</f>
        <v/>
      </c>
    </row>
    <row r="537">
      <c r="G537" s="23">
        <f>IF($A537="","",_xlfn.TEXTJOIN("; ",TRUE,IF(COUNTIF('Clarice'!$B$6:$B$300,$A537)&gt;0,"Clarice",""),IF(COUNTIF('Luisa'!$B$6:$B$300,$A537)&gt;0,"Luisa",""),IF(COUNTIF('Lui'!$B$6:$B$300,$A537)&gt;0,"Lui",""),IF(COUNTIF('Thaís'!$B$6:$B$300,$A537)&gt;0,"Thaís",""),IF(COUNTIF('Daniel'!$B$6:$B$300,$A537)&gt;0,"Daniel",""),IF(COUNTIF('Fernando'!$B$6:$B$300,$A537)&gt;0,"Fernando",""),IF(COUNTIF('Stephanie'!$B$6:$B$300,$A537)&gt;0,"Stephanie",""),IF(COUNTIF('Fox'!$B$6:$B$300,$A537)&gt;0,"Fox",""),IF(COUNTIF('Bruna'!$B$6:$B$300,$A537)&gt;0,"Bruna",""),IF(COUNTIF('Stella'!$B$6:$B$300,$A537)&gt;0,"Stella",""),IF(COUNTIF('Igor'!$B$6:$B$300,$A537)&gt;0,"Igor","")))</f>
        <v/>
      </c>
      <c r="J537" s="24">
        <f>IF(OR($A537="",(COUNTIF('Clarice'!$B$6:$B$300,$A537)+COUNTIF('Luisa'!$B$6:$B$300,$A537)+COUNTIF('Lui'!$B$6:$B$300,$A537)+COUNTIF('Thaís'!$B$6:$B$300,$A537)+COUNTIF('Daniel'!$B$6:$B$300,$A537)+COUNTIF('Fernando'!$B$6:$B$300,$A537)+COUNTIF('Stephanie'!$B$6:$B$300,$A537)+COUNTIF('Fox'!$B$6:$B$300,$A537)+COUNTIF('Bruna'!$B$6:$B$300,$A537)+COUNTIF('Stella'!$B$6:$B$300,$A537)+COUNTIF('Igor'!$B$6:$B$300,$A537))=0),"",(COUNTIFS('Clarice'!$B$6:$B$300,$A537,'Clarice'!$F$6:$F$300,"Concluído")+COUNTIFS('Luisa'!$B$6:$B$300,$A537,'Luisa'!$F$6:$F$300,"Concluído")+COUNTIFS('Lui'!$B$6:$B$300,$A537,'Lui'!$F$6:$F$300,"Concluído")+COUNTIFS('Thaís'!$B$6:$B$300,$A537,'Thaís'!$F$6:$F$300,"Concluído")+COUNTIFS('Daniel'!$B$6:$B$300,$A537,'Daniel'!$F$6:$F$300,"Concluído")+COUNTIFS('Fernando'!$B$6:$B$300,$A537,'Fernando'!$F$6:$F$300,"Concluído")+COUNTIFS('Stephanie'!$B$6:$B$300,$A537,'Stephanie'!$F$6:$F$300,"Concluído")+COUNTIFS('Fox'!$B$6:$B$300,$A537,'Fox'!$F$6:$F$300,"Concluído")+COUNTIFS('Bruna'!$B$6:$B$300,$A537,'Bruna'!$F$6:$F$300,"Concluído")+COUNTIFS('Stella'!$B$6:$B$300,$A537,'Stella'!$F$6:$F$300,"Concluído")+COUNTIFS('Igor'!$B$6:$B$300,$A537,'Igor'!$F$6:$F$300,"Concluído"))&amp;" / "&amp;(COUNTIF('Clarice'!$B$6:$B$300,$A537)+COUNTIF('Luisa'!$B$6:$B$300,$A537)+COUNTIF('Lui'!$B$6:$B$300,$A537)+COUNTIF('Thaís'!$B$6:$B$300,$A537)+COUNTIF('Daniel'!$B$6:$B$300,$A537)+COUNTIF('Fernando'!$B$6:$B$300,$A537)+COUNTIF('Stephanie'!$B$6:$B$300,$A537)+COUNTIF('Fox'!$B$6:$B$300,$A537)+COUNTIF('Bruna'!$B$6:$B$300,$A537)+COUNTIF('Stella'!$B$6:$B$300,$A537)+COUNTIF('Igor'!$B$6:$B$300,$A537)))</f>
        <v/>
      </c>
      <c r="P537" s="25">
        <f>IF($A537="","",IF(M537&lt;&gt;"",M537,IF(K537&lt;&gt;"",K537,"")))</f>
        <v/>
      </c>
      <c r="Q537" s="25">
        <f>IF($A537="","",IF(N537&lt;&gt;"",N537,IF(L537&lt;&gt;"",L537,"")))</f>
        <v/>
      </c>
      <c r="S537" s="23">
        <f t="array" ref="S537">IF($A537="","",_xlfn.TEXTJOIN(CHAR(10),TRUE,IF('Clarice'!$B$6:$B$300=$A537,"Clarice"&amp;IF('Clarice'!$E$6:$E$300="",""," : "&amp;'Clarice'!$E$6:$E$300)&amp;" ["&amp;'Clarice'!$F$6:$F$300&amp;"]",""),IF('Luisa'!$B$6:$B$300=$A537,"Luisa"&amp;IF('Luisa'!$E$6:$E$300="",""," : "&amp;'Luisa'!$E$6:$E$300)&amp;" ["&amp;'Luisa'!$F$6:$F$300&amp;"]",""),IF('Lui'!$B$6:$B$300=$A537,"Lui"&amp;IF('Lui'!$E$6:$E$300="",""," : "&amp;'Lui'!$E$6:$E$300)&amp;" ["&amp;'Lui'!$F$6:$F$300&amp;"]",""),IF('Thaís'!$B$6:$B$300=$A537,"Thaís"&amp;IF('Thaís'!$E$6:$E$300="",""," : "&amp;'Thaís'!$E$6:$E$300)&amp;" ["&amp;'Thaís'!$F$6:$F$300&amp;"]",""),IF('Daniel'!$B$6:$B$300=$A537,"Daniel"&amp;IF('Daniel'!$E$6:$E$300="",""," : "&amp;'Daniel'!$E$6:$E$300)&amp;" ["&amp;'Daniel'!$F$6:$F$300&amp;"]",""),IF('Fernando'!$B$6:$B$300=$A537,"Fernando"&amp;IF('Fernando'!$E$6:$E$300="",""," : "&amp;'Fernando'!$E$6:$E$300)&amp;" ["&amp;'Fernando'!$F$6:$F$300&amp;"]",""),IF('Stephanie'!$B$6:$B$300=$A537,"Stephanie"&amp;IF('Stephanie'!$E$6:$E$300="",""," : "&amp;'Stephanie'!$E$6:$E$300)&amp;" ["&amp;'Stephanie'!$F$6:$F$300&amp;"]",""),IF('Fox'!$B$6:$B$300=$A537,"Fox"&amp;IF('Fox'!$E$6:$E$300="",""," : "&amp;'Fox'!$E$6:$E$300)&amp;" ["&amp;'Fox'!$F$6:$F$300&amp;"]",""),IF('Bruna'!$B$6:$B$300=$A537,"Bruna"&amp;IF('Bruna'!$E$6:$E$300="",""," : "&amp;'Bruna'!$E$6:$E$300)&amp;" ["&amp;'Bruna'!$F$6:$F$300&amp;"]",""),IF('Stella'!$B$6:$B$300=$A537,"Stella"&amp;IF('Stella'!$E$6:$E$300="",""," : "&amp;'Stella'!$E$6:$E$300)&amp;" ["&amp;'Stella'!$F$6:$F$300&amp;"]",""),IF('Igor'!$B$6:$B$300=$A537,"Igor"&amp;IF('Igor'!$E$6:$E$300="",""," : "&amp;'Igor'!$E$6:$E$300)&amp;" ["&amp;'Igor'!$F$6:$F$300&amp;"]","")))</f>
        <v/>
      </c>
    </row>
    <row r="538">
      <c r="G538" s="23">
        <f>IF($A538="","",_xlfn.TEXTJOIN("; ",TRUE,IF(COUNTIF('Clarice'!$B$6:$B$300,$A538)&gt;0,"Clarice",""),IF(COUNTIF('Luisa'!$B$6:$B$300,$A538)&gt;0,"Luisa",""),IF(COUNTIF('Lui'!$B$6:$B$300,$A538)&gt;0,"Lui",""),IF(COUNTIF('Thaís'!$B$6:$B$300,$A538)&gt;0,"Thaís",""),IF(COUNTIF('Daniel'!$B$6:$B$300,$A538)&gt;0,"Daniel",""),IF(COUNTIF('Fernando'!$B$6:$B$300,$A538)&gt;0,"Fernando",""),IF(COUNTIF('Stephanie'!$B$6:$B$300,$A538)&gt;0,"Stephanie",""),IF(COUNTIF('Fox'!$B$6:$B$300,$A538)&gt;0,"Fox",""),IF(COUNTIF('Bruna'!$B$6:$B$300,$A538)&gt;0,"Bruna",""),IF(COUNTIF('Stella'!$B$6:$B$300,$A538)&gt;0,"Stella",""),IF(COUNTIF('Igor'!$B$6:$B$300,$A538)&gt;0,"Igor","")))</f>
        <v/>
      </c>
      <c r="J538" s="24">
        <f>IF(OR($A538="",(COUNTIF('Clarice'!$B$6:$B$300,$A538)+COUNTIF('Luisa'!$B$6:$B$300,$A538)+COUNTIF('Lui'!$B$6:$B$300,$A538)+COUNTIF('Thaís'!$B$6:$B$300,$A538)+COUNTIF('Daniel'!$B$6:$B$300,$A538)+COUNTIF('Fernando'!$B$6:$B$300,$A538)+COUNTIF('Stephanie'!$B$6:$B$300,$A538)+COUNTIF('Fox'!$B$6:$B$300,$A538)+COUNTIF('Bruna'!$B$6:$B$300,$A538)+COUNTIF('Stella'!$B$6:$B$300,$A538)+COUNTIF('Igor'!$B$6:$B$300,$A538))=0),"",(COUNTIFS('Clarice'!$B$6:$B$300,$A538,'Clarice'!$F$6:$F$300,"Concluído")+COUNTIFS('Luisa'!$B$6:$B$300,$A538,'Luisa'!$F$6:$F$300,"Concluído")+COUNTIFS('Lui'!$B$6:$B$300,$A538,'Lui'!$F$6:$F$300,"Concluído")+COUNTIFS('Thaís'!$B$6:$B$300,$A538,'Thaís'!$F$6:$F$300,"Concluído")+COUNTIFS('Daniel'!$B$6:$B$300,$A538,'Daniel'!$F$6:$F$300,"Concluído")+COUNTIFS('Fernando'!$B$6:$B$300,$A538,'Fernando'!$F$6:$F$300,"Concluído")+COUNTIFS('Stephanie'!$B$6:$B$300,$A538,'Stephanie'!$F$6:$F$300,"Concluído")+COUNTIFS('Fox'!$B$6:$B$300,$A538,'Fox'!$F$6:$F$300,"Concluído")+COUNTIFS('Bruna'!$B$6:$B$300,$A538,'Bruna'!$F$6:$F$300,"Concluído")+COUNTIFS('Stella'!$B$6:$B$300,$A538,'Stella'!$F$6:$F$300,"Concluído")+COUNTIFS('Igor'!$B$6:$B$300,$A538,'Igor'!$F$6:$F$300,"Concluído"))&amp;" / "&amp;(COUNTIF('Clarice'!$B$6:$B$300,$A538)+COUNTIF('Luisa'!$B$6:$B$300,$A538)+COUNTIF('Lui'!$B$6:$B$300,$A538)+COUNTIF('Thaís'!$B$6:$B$300,$A538)+COUNTIF('Daniel'!$B$6:$B$300,$A538)+COUNTIF('Fernando'!$B$6:$B$300,$A538)+COUNTIF('Stephanie'!$B$6:$B$300,$A538)+COUNTIF('Fox'!$B$6:$B$300,$A538)+COUNTIF('Bruna'!$B$6:$B$300,$A538)+COUNTIF('Stella'!$B$6:$B$300,$A538)+COUNTIF('Igor'!$B$6:$B$300,$A538)))</f>
        <v/>
      </c>
      <c r="P538" s="25">
        <f>IF($A538="","",IF(M538&lt;&gt;"",M538,IF(K538&lt;&gt;"",K538,"")))</f>
        <v/>
      </c>
      <c r="Q538" s="25">
        <f>IF($A538="","",IF(N538&lt;&gt;"",N538,IF(L538&lt;&gt;"",L538,"")))</f>
        <v/>
      </c>
      <c r="S538" s="23">
        <f t="array" ref="S538">IF($A538="","",_xlfn.TEXTJOIN(CHAR(10),TRUE,IF('Clarice'!$B$6:$B$300=$A538,"Clarice"&amp;IF('Clarice'!$E$6:$E$300="",""," : "&amp;'Clarice'!$E$6:$E$300)&amp;" ["&amp;'Clarice'!$F$6:$F$300&amp;"]",""),IF('Luisa'!$B$6:$B$300=$A538,"Luisa"&amp;IF('Luisa'!$E$6:$E$300="",""," : "&amp;'Luisa'!$E$6:$E$300)&amp;" ["&amp;'Luisa'!$F$6:$F$300&amp;"]",""),IF('Lui'!$B$6:$B$300=$A538,"Lui"&amp;IF('Lui'!$E$6:$E$300="",""," : "&amp;'Lui'!$E$6:$E$300)&amp;" ["&amp;'Lui'!$F$6:$F$300&amp;"]",""),IF('Thaís'!$B$6:$B$300=$A538,"Thaís"&amp;IF('Thaís'!$E$6:$E$300="",""," : "&amp;'Thaís'!$E$6:$E$300)&amp;" ["&amp;'Thaís'!$F$6:$F$300&amp;"]",""),IF('Daniel'!$B$6:$B$300=$A538,"Daniel"&amp;IF('Daniel'!$E$6:$E$300="",""," : "&amp;'Daniel'!$E$6:$E$300)&amp;" ["&amp;'Daniel'!$F$6:$F$300&amp;"]",""),IF('Fernando'!$B$6:$B$300=$A538,"Fernando"&amp;IF('Fernando'!$E$6:$E$300="",""," : "&amp;'Fernando'!$E$6:$E$300)&amp;" ["&amp;'Fernando'!$F$6:$F$300&amp;"]",""),IF('Stephanie'!$B$6:$B$300=$A538,"Stephanie"&amp;IF('Stephanie'!$E$6:$E$300="",""," : "&amp;'Stephanie'!$E$6:$E$300)&amp;" ["&amp;'Stephanie'!$F$6:$F$300&amp;"]",""),IF('Fox'!$B$6:$B$300=$A538,"Fox"&amp;IF('Fox'!$E$6:$E$300="",""," : "&amp;'Fox'!$E$6:$E$300)&amp;" ["&amp;'Fox'!$F$6:$F$300&amp;"]",""),IF('Bruna'!$B$6:$B$300=$A538,"Bruna"&amp;IF('Bruna'!$E$6:$E$300="",""," : "&amp;'Bruna'!$E$6:$E$300)&amp;" ["&amp;'Bruna'!$F$6:$F$300&amp;"]",""),IF('Stella'!$B$6:$B$300=$A538,"Stella"&amp;IF('Stella'!$E$6:$E$300="",""," : "&amp;'Stella'!$E$6:$E$300)&amp;" ["&amp;'Stella'!$F$6:$F$300&amp;"]",""),IF('Igor'!$B$6:$B$300=$A538,"Igor"&amp;IF('Igor'!$E$6:$E$300="",""," : "&amp;'Igor'!$E$6:$E$300)&amp;" ["&amp;'Igor'!$F$6:$F$300&amp;"]","")))</f>
        <v/>
      </c>
    </row>
    <row r="539">
      <c r="G539" s="23">
        <f>IF($A539="","",_xlfn.TEXTJOIN("; ",TRUE,IF(COUNTIF('Clarice'!$B$6:$B$300,$A539)&gt;0,"Clarice",""),IF(COUNTIF('Luisa'!$B$6:$B$300,$A539)&gt;0,"Luisa",""),IF(COUNTIF('Lui'!$B$6:$B$300,$A539)&gt;0,"Lui",""),IF(COUNTIF('Thaís'!$B$6:$B$300,$A539)&gt;0,"Thaís",""),IF(COUNTIF('Daniel'!$B$6:$B$300,$A539)&gt;0,"Daniel",""),IF(COUNTIF('Fernando'!$B$6:$B$300,$A539)&gt;0,"Fernando",""),IF(COUNTIF('Stephanie'!$B$6:$B$300,$A539)&gt;0,"Stephanie",""),IF(COUNTIF('Fox'!$B$6:$B$300,$A539)&gt;0,"Fox",""),IF(COUNTIF('Bruna'!$B$6:$B$300,$A539)&gt;0,"Bruna",""),IF(COUNTIF('Stella'!$B$6:$B$300,$A539)&gt;0,"Stella",""),IF(COUNTIF('Igor'!$B$6:$B$300,$A539)&gt;0,"Igor","")))</f>
        <v/>
      </c>
      <c r="J539" s="24">
        <f>IF(OR($A539="",(COUNTIF('Clarice'!$B$6:$B$300,$A539)+COUNTIF('Luisa'!$B$6:$B$300,$A539)+COUNTIF('Lui'!$B$6:$B$300,$A539)+COUNTIF('Thaís'!$B$6:$B$300,$A539)+COUNTIF('Daniel'!$B$6:$B$300,$A539)+COUNTIF('Fernando'!$B$6:$B$300,$A539)+COUNTIF('Stephanie'!$B$6:$B$300,$A539)+COUNTIF('Fox'!$B$6:$B$300,$A539)+COUNTIF('Bruna'!$B$6:$B$300,$A539)+COUNTIF('Stella'!$B$6:$B$300,$A539)+COUNTIF('Igor'!$B$6:$B$300,$A539))=0),"",(COUNTIFS('Clarice'!$B$6:$B$300,$A539,'Clarice'!$F$6:$F$300,"Concluído")+COUNTIFS('Luisa'!$B$6:$B$300,$A539,'Luisa'!$F$6:$F$300,"Concluído")+COUNTIFS('Lui'!$B$6:$B$300,$A539,'Lui'!$F$6:$F$300,"Concluído")+COUNTIFS('Thaís'!$B$6:$B$300,$A539,'Thaís'!$F$6:$F$300,"Concluído")+COUNTIFS('Daniel'!$B$6:$B$300,$A539,'Daniel'!$F$6:$F$300,"Concluído")+COUNTIFS('Fernando'!$B$6:$B$300,$A539,'Fernando'!$F$6:$F$300,"Concluído")+COUNTIFS('Stephanie'!$B$6:$B$300,$A539,'Stephanie'!$F$6:$F$300,"Concluído")+COUNTIFS('Fox'!$B$6:$B$300,$A539,'Fox'!$F$6:$F$300,"Concluído")+COUNTIFS('Bruna'!$B$6:$B$300,$A539,'Bruna'!$F$6:$F$300,"Concluído")+COUNTIFS('Stella'!$B$6:$B$300,$A539,'Stella'!$F$6:$F$300,"Concluído")+COUNTIFS('Igor'!$B$6:$B$300,$A539,'Igor'!$F$6:$F$300,"Concluído"))&amp;" / "&amp;(COUNTIF('Clarice'!$B$6:$B$300,$A539)+COUNTIF('Luisa'!$B$6:$B$300,$A539)+COUNTIF('Lui'!$B$6:$B$300,$A539)+COUNTIF('Thaís'!$B$6:$B$300,$A539)+COUNTIF('Daniel'!$B$6:$B$300,$A539)+COUNTIF('Fernando'!$B$6:$B$300,$A539)+COUNTIF('Stephanie'!$B$6:$B$300,$A539)+COUNTIF('Fox'!$B$6:$B$300,$A539)+COUNTIF('Bruna'!$B$6:$B$300,$A539)+COUNTIF('Stella'!$B$6:$B$300,$A539)+COUNTIF('Igor'!$B$6:$B$300,$A539)))</f>
        <v/>
      </c>
      <c r="P539" s="25">
        <f>IF($A539="","",IF(M539&lt;&gt;"",M539,IF(K539&lt;&gt;"",K539,"")))</f>
        <v/>
      </c>
      <c r="Q539" s="25">
        <f>IF($A539="","",IF(N539&lt;&gt;"",N539,IF(L539&lt;&gt;"",L539,"")))</f>
        <v/>
      </c>
      <c r="S539" s="23">
        <f t="array" ref="S539">IF($A539="","",_xlfn.TEXTJOIN(CHAR(10),TRUE,IF('Clarice'!$B$6:$B$300=$A539,"Clarice"&amp;IF('Clarice'!$E$6:$E$300="",""," : "&amp;'Clarice'!$E$6:$E$300)&amp;" ["&amp;'Clarice'!$F$6:$F$300&amp;"]",""),IF('Luisa'!$B$6:$B$300=$A539,"Luisa"&amp;IF('Luisa'!$E$6:$E$300="",""," : "&amp;'Luisa'!$E$6:$E$300)&amp;" ["&amp;'Luisa'!$F$6:$F$300&amp;"]",""),IF('Lui'!$B$6:$B$300=$A539,"Lui"&amp;IF('Lui'!$E$6:$E$300="",""," : "&amp;'Lui'!$E$6:$E$300)&amp;" ["&amp;'Lui'!$F$6:$F$300&amp;"]",""),IF('Thaís'!$B$6:$B$300=$A539,"Thaís"&amp;IF('Thaís'!$E$6:$E$300="",""," : "&amp;'Thaís'!$E$6:$E$300)&amp;" ["&amp;'Thaís'!$F$6:$F$300&amp;"]",""),IF('Daniel'!$B$6:$B$300=$A539,"Daniel"&amp;IF('Daniel'!$E$6:$E$300="",""," : "&amp;'Daniel'!$E$6:$E$300)&amp;" ["&amp;'Daniel'!$F$6:$F$300&amp;"]",""),IF('Fernando'!$B$6:$B$300=$A539,"Fernando"&amp;IF('Fernando'!$E$6:$E$300="",""," : "&amp;'Fernando'!$E$6:$E$300)&amp;" ["&amp;'Fernando'!$F$6:$F$300&amp;"]",""),IF('Stephanie'!$B$6:$B$300=$A539,"Stephanie"&amp;IF('Stephanie'!$E$6:$E$300="",""," : "&amp;'Stephanie'!$E$6:$E$300)&amp;" ["&amp;'Stephanie'!$F$6:$F$300&amp;"]",""),IF('Fox'!$B$6:$B$300=$A539,"Fox"&amp;IF('Fox'!$E$6:$E$300="",""," : "&amp;'Fox'!$E$6:$E$300)&amp;" ["&amp;'Fox'!$F$6:$F$300&amp;"]",""),IF('Bruna'!$B$6:$B$300=$A539,"Bruna"&amp;IF('Bruna'!$E$6:$E$300="",""," : "&amp;'Bruna'!$E$6:$E$300)&amp;" ["&amp;'Bruna'!$F$6:$F$300&amp;"]",""),IF('Stella'!$B$6:$B$300=$A539,"Stella"&amp;IF('Stella'!$E$6:$E$300="",""," : "&amp;'Stella'!$E$6:$E$300)&amp;" ["&amp;'Stella'!$F$6:$F$300&amp;"]",""),IF('Igor'!$B$6:$B$300=$A539,"Igor"&amp;IF('Igor'!$E$6:$E$300="",""," : "&amp;'Igor'!$E$6:$E$300)&amp;" ["&amp;'Igor'!$F$6:$F$300&amp;"]","")))</f>
        <v/>
      </c>
    </row>
    <row r="540">
      <c r="G540" s="23">
        <f>IF($A540="","",_xlfn.TEXTJOIN("; ",TRUE,IF(COUNTIF('Clarice'!$B$6:$B$300,$A540)&gt;0,"Clarice",""),IF(COUNTIF('Luisa'!$B$6:$B$300,$A540)&gt;0,"Luisa",""),IF(COUNTIF('Lui'!$B$6:$B$300,$A540)&gt;0,"Lui",""),IF(COUNTIF('Thaís'!$B$6:$B$300,$A540)&gt;0,"Thaís",""),IF(COUNTIF('Daniel'!$B$6:$B$300,$A540)&gt;0,"Daniel",""),IF(COUNTIF('Fernando'!$B$6:$B$300,$A540)&gt;0,"Fernando",""),IF(COUNTIF('Stephanie'!$B$6:$B$300,$A540)&gt;0,"Stephanie",""),IF(COUNTIF('Fox'!$B$6:$B$300,$A540)&gt;0,"Fox",""),IF(COUNTIF('Bruna'!$B$6:$B$300,$A540)&gt;0,"Bruna",""),IF(COUNTIF('Stella'!$B$6:$B$300,$A540)&gt;0,"Stella",""),IF(COUNTIF('Igor'!$B$6:$B$300,$A540)&gt;0,"Igor","")))</f>
        <v/>
      </c>
      <c r="J540" s="24">
        <f>IF(OR($A540="",(COUNTIF('Clarice'!$B$6:$B$300,$A540)+COUNTIF('Luisa'!$B$6:$B$300,$A540)+COUNTIF('Lui'!$B$6:$B$300,$A540)+COUNTIF('Thaís'!$B$6:$B$300,$A540)+COUNTIF('Daniel'!$B$6:$B$300,$A540)+COUNTIF('Fernando'!$B$6:$B$300,$A540)+COUNTIF('Stephanie'!$B$6:$B$300,$A540)+COUNTIF('Fox'!$B$6:$B$300,$A540)+COUNTIF('Bruna'!$B$6:$B$300,$A540)+COUNTIF('Stella'!$B$6:$B$300,$A540)+COUNTIF('Igor'!$B$6:$B$300,$A540))=0),"",(COUNTIFS('Clarice'!$B$6:$B$300,$A540,'Clarice'!$F$6:$F$300,"Concluído")+COUNTIFS('Luisa'!$B$6:$B$300,$A540,'Luisa'!$F$6:$F$300,"Concluído")+COUNTIFS('Lui'!$B$6:$B$300,$A540,'Lui'!$F$6:$F$300,"Concluído")+COUNTIFS('Thaís'!$B$6:$B$300,$A540,'Thaís'!$F$6:$F$300,"Concluído")+COUNTIFS('Daniel'!$B$6:$B$300,$A540,'Daniel'!$F$6:$F$300,"Concluído")+COUNTIFS('Fernando'!$B$6:$B$300,$A540,'Fernando'!$F$6:$F$300,"Concluído")+COUNTIFS('Stephanie'!$B$6:$B$300,$A540,'Stephanie'!$F$6:$F$300,"Concluído")+COUNTIFS('Fox'!$B$6:$B$300,$A540,'Fox'!$F$6:$F$300,"Concluído")+COUNTIFS('Bruna'!$B$6:$B$300,$A540,'Bruna'!$F$6:$F$300,"Concluído")+COUNTIFS('Stella'!$B$6:$B$300,$A540,'Stella'!$F$6:$F$300,"Concluído")+COUNTIFS('Igor'!$B$6:$B$300,$A540,'Igor'!$F$6:$F$300,"Concluído"))&amp;" / "&amp;(COUNTIF('Clarice'!$B$6:$B$300,$A540)+COUNTIF('Luisa'!$B$6:$B$300,$A540)+COUNTIF('Lui'!$B$6:$B$300,$A540)+COUNTIF('Thaís'!$B$6:$B$300,$A540)+COUNTIF('Daniel'!$B$6:$B$300,$A540)+COUNTIF('Fernando'!$B$6:$B$300,$A540)+COUNTIF('Stephanie'!$B$6:$B$300,$A540)+COUNTIF('Fox'!$B$6:$B$300,$A540)+COUNTIF('Bruna'!$B$6:$B$300,$A540)+COUNTIF('Stella'!$B$6:$B$300,$A540)+COUNTIF('Igor'!$B$6:$B$300,$A540)))</f>
        <v/>
      </c>
      <c r="P540" s="25">
        <f>IF($A540="","",IF(M540&lt;&gt;"",M540,IF(K540&lt;&gt;"",K540,"")))</f>
        <v/>
      </c>
      <c r="Q540" s="25">
        <f>IF($A540="","",IF(N540&lt;&gt;"",N540,IF(L540&lt;&gt;"",L540,"")))</f>
        <v/>
      </c>
      <c r="S540" s="23">
        <f t="array" ref="S540">IF($A540="","",_xlfn.TEXTJOIN(CHAR(10),TRUE,IF('Clarice'!$B$6:$B$300=$A540,"Clarice"&amp;IF('Clarice'!$E$6:$E$300="",""," : "&amp;'Clarice'!$E$6:$E$300)&amp;" ["&amp;'Clarice'!$F$6:$F$300&amp;"]",""),IF('Luisa'!$B$6:$B$300=$A540,"Luisa"&amp;IF('Luisa'!$E$6:$E$300="",""," : "&amp;'Luisa'!$E$6:$E$300)&amp;" ["&amp;'Luisa'!$F$6:$F$300&amp;"]",""),IF('Lui'!$B$6:$B$300=$A540,"Lui"&amp;IF('Lui'!$E$6:$E$300="",""," : "&amp;'Lui'!$E$6:$E$300)&amp;" ["&amp;'Lui'!$F$6:$F$300&amp;"]",""),IF('Thaís'!$B$6:$B$300=$A540,"Thaís"&amp;IF('Thaís'!$E$6:$E$300="",""," : "&amp;'Thaís'!$E$6:$E$300)&amp;" ["&amp;'Thaís'!$F$6:$F$300&amp;"]",""),IF('Daniel'!$B$6:$B$300=$A540,"Daniel"&amp;IF('Daniel'!$E$6:$E$300="",""," : "&amp;'Daniel'!$E$6:$E$300)&amp;" ["&amp;'Daniel'!$F$6:$F$300&amp;"]",""),IF('Fernando'!$B$6:$B$300=$A540,"Fernando"&amp;IF('Fernando'!$E$6:$E$300="",""," : "&amp;'Fernando'!$E$6:$E$300)&amp;" ["&amp;'Fernando'!$F$6:$F$300&amp;"]",""),IF('Stephanie'!$B$6:$B$300=$A540,"Stephanie"&amp;IF('Stephanie'!$E$6:$E$300="",""," : "&amp;'Stephanie'!$E$6:$E$300)&amp;" ["&amp;'Stephanie'!$F$6:$F$300&amp;"]",""),IF('Fox'!$B$6:$B$300=$A540,"Fox"&amp;IF('Fox'!$E$6:$E$300="",""," : "&amp;'Fox'!$E$6:$E$300)&amp;" ["&amp;'Fox'!$F$6:$F$300&amp;"]",""),IF('Bruna'!$B$6:$B$300=$A540,"Bruna"&amp;IF('Bruna'!$E$6:$E$300="",""," : "&amp;'Bruna'!$E$6:$E$300)&amp;" ["&amp;'Bruna'!$F$6:$F$300&amp;"]",""),IF('Stella'!$B$6:$B$300=$A540,"Stella"&amp;IF('Stella'!$E$6:$E$300="",""," : "&amp;'Stella'!$E$6:$E$300)&amp;" ["&amp;'Stella'!$F$6:$F$300&amp;"]",""),IF('Igor'!$B$6:$B$300=$A540,"Igor"&amp;IF('Igor'!$E$6:$E$300="",""," : "&amp;'Igor'!$E$6:$E$300)&amp;" ["&amp;'Igor'!$F$6:$F$300&amp;"]","")))</f>
        <v/>
      </c>
    </row>
    <row r="541">
      <c r="G541" s="23">
        <f>IF($A541="","",_xlfn.TEXTJOIN("; ",TRUE,IF(COUNTIF('Clarice'!$B$6:$B$300,$A541)&gt;0,"Clarice",""),IF(COUNTIF('Luisa'!$B$6:$B$300,$A541)&gt;0,"Luisa",""),IF(COUNTIF('Lui'!$B$6:$B$300,$A541)&gt;0,"Lui",""),IF(COUNTIF('Thaís'!$B$6:$B$300,$A541)&gt;0,"Thaís",""),IF(COUNTIF('Daniel'!$B$6:$B$300,$A541)&gt;0,"Daniel",""),IF(COUNTIF('Fernando'!$B$6:$B$300,$A541)&gt;0,"Fernando",""),IF(COUNTIF('Stephanie'!$B$6:$B$300,$A541)&gt;0,"Stephanie",""),IF(COUNTIF('Fox'!$B$6:$B$300,$A541)&gt;0,"Fox",""),IF(COUNTIF('Bruna'!$B$6:$B$300,$A541)&gt;0,"Bruna",""),IF(COUNTIF('Stella'!$B$6:$B$300,$A541)&gt;0,"Stella",""),IF(COUNTIF('Igor'!$B$6:$B$300,$A541)&gt;0,"Igor","")))</f>
        <v/>
      </c>
      <c r="J541" s="24">
        <f>IF(OR($A541="",(COUNTIF('Clarice'!$B$6:$B$300,$A541)+COUNTIF('Luisa'!$B$6:$B$300,$A541)+COUNTIF('Lui'!$B$6:$B$300,$A541)+COUNTIF('Thaís'!$B$6:$B$300,$A541)+COUNTIF('Daniel'!$B$6:$B$300,$A541)+COUNTIF('Fernando'!$B$6:$B$300,$A541)+COUNTIF('Stephanie'!$B$6:$B$300,$A541)+COUNTIF('Fox'!$B$6:$B$300,$A541)+COUNTIF('Bruna'!$B$6:$B$300,$A541)+COUNTIF('Stella'!$B$6:$B$300,$A541)+COUNTIF('Igor'!$B$6:$B$300,$A541))=0),"",(COUNTIFS('Clarice'!$B$6:$B$300,$A541,'Clarice'!$F$6:$F$300,"Concluído")+COUNTIFS('Luisa'!$B$6:$B$300,$A541,'Luisa'!$F$6:$F$300,"Concluído")+COUNTIFS('Lui'!$B$6:$B$300,$A541,'Lui'!$F$6:$F$300,"Concluído")+COUNTIFS('Thaís'!$B$6:$B$300,$A541,'Thaís'!$F$6:$F$300,"Concluído")+COUNTIFS('Daniel'!$B$6:$B$300,$A541,'Daniel'!$F$6:$F$300,"Concluído")+COUNTIFS('Fernando'!$B$6:$B$300,$A541,'Fernando'!$F$6:$F$300,"Concluído")+COUNTIFS('Stephanie'!$B$6:$B$300,$A541,'Stephanie'!$F$6:$F$300,"Concluído")+COUNTIFS('Fox'!$B$6:$B$300,$A541,'Fox'!$F$6:$F$300,"Concluído")+COUNTIFS('Bruna'!$B$6:$B$300,$A541,'Bruna'!$F$6:$F$300,"Concluído")+COUNTIFS('Stella'!$B$6:$B$300,$A541,'Stella'!$F$6:$F$300,"Concluído")+COUNTIFS('Igor'!$B$6:$B$300,$A541,'Igor'!$F$6:$F$300,"Concluído"))&amp;" / "&amp;(COUNTIF('Clarice'!$B$6:$B$300,$A541)+COUNTIF('Luisa'!$B$6:$B$300,$A541)+COUNTIF('Lui'!$B$6:$B$300,$A541)+COUNTIF('Thaís'!$B$6:$B$300,$A541)+COUNTIF('Daniel'!$B$6:$B$300,$A541)+COUNTIF('Fernando'!$B$6:$B$300,$A541)+COUNTIF('Stephanie'!$B$6:$B$300,$A541)+COUNTIF('Fox'!$B$6:$B$300,$A541)+COUNTIF('Bruna'!$B$6:$B$300,$A541)+COUNTIF('Stella'!$B$6:$B$300,$A541)+COUNTIF('Igor'!$B$6:$B$300,$A541)))</f>
        <v/>
      </c>
      <c r="P541" s="25">
        <f>IF($A541="","",IF(M541&lt;&gt;"",M541,IF(K541&lt;&gt;"",K541,"")))</f>
        <v/>
      </c>
      <c r="Q541" s="25">
        <f>IF($A541="","",IF(N541&lt;&gt;"",N541,IF(L541&lt;&gt;"",L541,"")))</f>
        <v/>
      </c>
      <c r="S541" s="23">
        <f t="array" ref="S541">IF($A541="","",_xlfn.TEXTJOIN(CHAR(10),TRUE,IF('Clarice'!$B$6:$B$300=$A541,"Clarice"&amp;IF('Clarice'!$E$6:$E$300="",""," : "&amp;'Clarice'!$E$6:$E$300)&amp;" ["&amp;'Clarice'!$F$6:$F$300&amp;"]",""),IF('Luisa'!$B$6:$B$300=$A541,"Luisa"&amp;IF('Luisa'!$E$6:$E$300="",""," : "&amp;'Luisa'!$E$6:$E$300)&amp;" ["&amp;'Luisa'!$F$6:$F$300&amp;"]",""),IF('Lui'!$B$6:$B$300=$A541,"Lui"&amp;IF('Lui'!$E$6:$E$300="",""," : "&amp;'Lui'!$E$6:$E$300)&amp;" ["&amp;'Lui'!$F$6:$F$300&amp;"]",""),IF('Thaís'!$B$6:$B$300=$A541,"Thaís"&amp;IF('Thaís'!$E$6:$E$300="",""," : "&amp;'Thaís'!$E$6:$E$300)&amp;" ["&amp;'Thaís'!$F$6:$F$300&amp;"]",""),IF('Daniel'!$B$6:$B$300=$A541,"Daniel"&amp;IF('Daniel'!$E$6:$E$300="",""," : "&amp;'Daniel'!$E$6:$E$300)&amp;" ["&amp;'Daniel'!$F$6:$F$300&amp;"]",""),IF('Fernando'!$B$6:$B$300=$A541,"Fernando"&amp;IF('Fernando'!$E$6:$E$300="",""," : "&amp;'Fernando'!$E$6:$E$300)&amp;" ["&amp;'Fernando'!$F$6:$F$300&amp;"]",""),IF('Stephanie'!$B$6:$B$300=$A541,"Stephanie"&amp;IF('Stephanie'!$E$6:$E$300="",""," : "&amp;'Stephanie'!$E$6:$E$300)&amp;" ["&amp;'Stephanie'!$F$6:$F$300&amp;"]",""),IF('Fox'!$B$6:$B$300=$A541,"Fox"&amp;IF('Fox'!$E$6:$E$300="",""," : "&amp;'Fox'!$E$6:$E$300)&amp;" ["&amp;'Fox'!$F$6:$F$300&amp;"]",""),IF('Bruna'!$B$6:$B$300=$A541,"Bruna"&amp;IF('Bruna'!$E$6:$E$300="",""," : "&amp;'Bruna'!$E$6:$E$300)&amp;" ["&amp;'Bruna'!$F$6:$F$300&amp;"]",""),IF('Stella'!$B$6:$B$300=$A541,"Stella"&amp;IF('Stella'!$E$6:$E$300="",""," : "&amp;'Stella'!$E$6:$E$300)&amp;" ["&amp;'Stella'!$F$6:$F$300&amp;"]",""),IF('Igor'!$B$6:$B$300=$A541,"Igor"&amp;IF('Igor'!$E$6:$E$300="",""," : "&amp;'Igor'!$E$6:$E$300)&amp;" ["&amp;'Igor'!$F$6:$F$300&amp;"]","")))</f>
        <v/>
      </c>
    </row>
    <row r="542">
      <c r="G542" s="23">
        <f>IF($A542="","",_xlfn.TEXTJOIN("; ",TRUE,IF(COUNTIF('Clarice'!$B$6:$B$300,$A542)&gt;0,"Clarice",""),IF(COUNTIF('Luisa'!$B$6:$B$300,$A542)&gt;0,"Luisa",""),IF(COUNTIF('Lui'!$B$6:$B$300,$A542)&gt;0,"Lui",""),IF(COUNTIF('Thaís'!$B$6:$B$300,$A542)&gt;0,"Thaís",""),IF(COUNTIF('Daniel'!$B$6:$B$300,$A542)&gt;0,"Daniel",""),IF(COUNTIF('Fernando'!$B$6:$B$300,$A542)&gt;0,"Fernando",""),IF(COUNTIF('Stephanie'!$B$6:$B$300,$A542)&gt;0,"Stephanie",""),IF(COUNTIF('Fox'!$B$6:$B$300,$A542)&gt;0,"Fox",""),IF(COUNTIF('Bruna'!$B$6:$B$300,$A542)&gt;0,"Bruna",""),IF(COUNTIF('Stella'!$B$6:$B$300,$A542)&gt;0,"Stella",""),IF(COUNTIF('Igor'!$B$6:$B$300,$A542)&gt;0,"Igor","")))</f>
        <v/>
      </c>
      <c r="J542" s="24">
        <f>IF(OR($A542="",(COUNTIF('Clarice'!$B$6:$B$300,$A542)+COUNTIF('Luisa'!$B$6:$B$300,$A542)+COUNTIF('Lui'!$B$6:$B$300,$A542)+COUNTIF('Thaís'!$B$6:$B$300,$A542)+COUNTIF('Daniel'!$B$6:$B$300,$A542)+COUNTIF('Fernando'!$B$6:$B$300,$A542)+COUNTIF('Stephanie'!$B$6:$B$300,$A542)+COUNTIF('Fox'!$B$6:$B$300,$A542)+COUNTIF('Bruna'!$B$6:$B$300,$A542)+COUNTIF('Stella'!$B$6:$B$300,$A542)+COUNTIF('Igor'!$B$6:$B$300,$A542))=0),"",(COUNTIFS('Clarice'!$B$6:$B$300,$A542,'Clarice'!$F$6:$F$300,"Concluído")+COUNTIFS('Luisa'!$B$6:$B$300,$A542,'Luisa'!$F$6:$F$300,"Concluído")+COUNTIFS('Lui'!$B$6:$B$300,$A542,'Lui'!$F$6:$F$300,"Concluído")+COUNTIFS('Thaís'!$B$6:$B$300,$A542,'Thaís'!$F$6:$F$300,"Concluído")+COUNTIFS('Daniel'!$B$6:$B$300,$A542,'Daniel'!$F$6:$F$300,"Concluído")+COUNTIFS('Fernando'!$B$6:$B$300,$A542,'Fernando'!$F$6:$F$300,"Concluído")+COUNTIFS('Stephanie'!$B$6:$B$300,$A542,'Stephanie'!$F$6:$F$300,"Concluído")+COUNTIFS('Fox'!$B$6:$B$300,$A542,'Fox'!$F$6:$F$300,"Concluído")+COUNTIFS('Bruna'!$B$6:$B$300,$A542,'Bruna'!$F$6:$F$300,"Concluído")+COUNTIFS('Stella'!$B$6:$B$300,$A542,'Stella'!$F$6:$F$300,"Concluído")+COUNTIFS('Igor'!$B$6:$B$300,$A542,'Igor'!$F$6:$F$300,"Concluído"))&amp;" / "&amp;(COUNTIF('Clarice'!$B$6:$B$300,$A542)+COUNTIF('Luisa'!$B$6:$B$300,$A542)+COUNTIF('Lui'!$B$6:$B$300,$A542)+COUNTIF('Thaís'!$B$6:$B$300,$A542)+COUNTIF('Daniel'!$B$6:$B$300,$A542)+COUNTIF('Fernando'!$B$6:$B$300,$A542)+COUNTIF('Stephanie'!$B$6:$B$300,$A542)+COUNTIF('Fox'!$B$6:$B$300,$A542)+COUNTIF('Bruna'!$B$6:$B$300,$A542)+COUNTIF('Stella'!$B$6:$B$300,$A542)+COUNTIF('Igor'!$B$6:$B$300,$A542)))</f>
        <v/>
      </c>
      <c r="P542" s="25">
        <f>IF($A542="","",IF(M542&lt;&gt;"",M542,IF(K542&lt;&gt;"",K542,"")))</f>
        <v/>
      </c>
      <c r="Q542" s="25">
        <f>IF($A542="","",IF(N542&lt;&gt;"",N542,IF(L542&lt;&gt;"",L542,"")))</f>
        <v/>
      </c>
      <c r="S542" s="23">
        <f t="array" ref="S542">IF($A542="","",_xlfn.TEXTJOIN(CHAR(10),TRUE,IF('Clarice'!$B$6:$B$300=$A542,"Clarice"&amp;IF('Clarice'!$E$6:$E$300="",""," : "&amp;'Clarice'!$E$6:$E$300)&amp;" ["&amp;'Clarice'!$F$6:$F$300&amp;"]",""),IF('Luisa'!$B$6:$B$300=$A542,"Luisa"&amp;IF('Luisa'!$E$6:$E$300="",""," : "&amp;'Luisa'!$E$6:$E$300)&amp;" ["&amp;'Luisa'!$F$6:$F$300&amp;"]",""),IF('Lui'!$B$6:$B$300=$A542,"Lui"&amp;IF('Lui'!$E$6:$E$300="",""," : "&amp;'Lui'!$E$6:$E$300)&amp;" ["&amp;'Lui'!$F$6:$F$300&amp;"]",""),IF('Thaís'!$B$6:$B$300=$A542,"Thaís"&amp;IF('Thaís'!$E$6:$E$300="",""," : "&amp;'Thaís'!$E$6:$E$300)&amp;" ["&amp;'Thaís'!$F$6:$F$300&amp;"]",""),IF('Daniel'!$B$6:$B$300=$A542,"Daniel"&amp;IF('Daniel'!$E$6:$E$300="",""," : "&amp;'Daniel'!$E$6:$E$300)&amp;" ["&amp;'Daniel'!$F$6:$F$300&amp;"]",""),IF('Fernando'!$B$6:$B$300=$A542,"Fernando"&amp;IF('Fernando'!$E$6:$E$300="",""," : "&amp;'Fernando'!$E$6:$E$300)&amp;" ["&amp;'Fernando'!$F$6:$F$300&amp;"]",""),IF('Stephanie'!$B$6:$B$300=$A542,"Stephanie"&amp;IF('Stephanie'!$E$6:$E$300="",""," : "&amp;'Stephanie'!$E$6:$E$300)&amp;" ["&amp;'Stephanie'!$F$6:$F$300&amp;"]",""),IF('Fox'!$B$6:$B$300=$A542,"Fox"&amp;IF('Fox'!$E$6:$E$300="",""," : "&amp;'Fox'!$E$6:$E$300)&amp;" ["&amp;'Fox'!$F$6:$F$300&amp;"]",""),IF('Bruna'!$B$6:$B$300=$A542,"Bruna"&amp;IF('Bruna'!$E$6:$E$300="",""," : "&amp;'Bruna'!$E$6:$E$300)&amp;" ["&amp;'Bruna'!$F$6:$F$300&amp;"]",""),IF('Stella'!$B$6:$B$300=$A542,"Stella"&amp;IF('Stella'!$E$6:$E$300="",""," : "&amp;'Stella'!$E$6:$E$300)&amp;" ["&amp;'Stella'!$F$6:$F$300&amp;"]",""),IF('Igor'!$B$6:$B$300=$A542,"Igor"&amp;IF('Igor'!$E$6:$E$300="",""," : "&amp;'Igor'!$E$6:$E$300)&amp;" ["&amp;'Igor'!$F$6:$F$300&amp;"]","")))</f>
        <v/>
      </c>
    </row>
    <row r="543">
      <c r="G543" s="23">
        <f>IF($A543="","",_xlfn.TEXTJOIN("; ",TRUE,IF(COUNTIF('Clarice'!$B$6:$B$300,$A543)&gt;0,"Clarice",""),IF(COUNTIF('Luisa'!$B$6:$B$300,$A543)&gt;0,"Luisa",""),IF(COUNTIF('Lui'!$B$6:$B$300,$A543)&gt;0,"Lui",""),IF(COUNTIF('Thaís'!$B$6:$B$300,$A543)&gt;0,"Thaís",""),IF(COUNTIF('Daniel'!$B$6:$B$300,$A543)&gt;0,"Daniel",""),IF(COUNTIF('Fernando'!$B$6:$B$300,$A543)&gt;0,"Fernando",""),IF(COUNTIF('Stephanie'!$B$6:$B$300,$A543)&gt;0,"Stephanie",""),IF(COUNTIF('Fox'!$B$6:$B$300,$A543)&gt;0,"Fox",""),IF(COUNTIF('Bruna'!$B$6:$B$300,$A543)&gt;0,"Bruna",""),IF(COUNTIF('Stella'!$B$6:$B$300,$A543)&gt;0,"Stella",""),IF(COUNTIF('Igor'!$B$6:$B$300,$A543)&gt;0,"Igor","")))</f>
        <v/>
      </c>
      <c r="J543" s="24">
        <f>IF(OR($A543="",(COUNTIF('Clarice'!$B$6:$B$300,$A543)+COUNTIF('Luisa'!$B$6:$B$300,$A543)+COUNTIF('Lui'!$B$6:$B$300,$A543)+COUNTIF('Thaís'!$B$6:$B$300,$A543)+COUNTIF('Daniel'!$B$6:$B$300,$A543)+COUNTIF('Fernando'!$B$6:$B$300,$A543)+COUNTIF('Stephanie'!$B$6:$B$300,$A543)+COUNTIF('Fox'!$B$6:$B$300,$A543)+COUNTIF('Bruna'!$B$6:$B$300,$A543)+COUNTIF('Stella'!$B$6:$B$300,$A543)+COUNTIF('Igor'!$B$6:$B$300,$A543))=0),"",(COUNTIFS('Clarice'!$B$6:$B$300,$A543,'Clarice'!$F$6:$F$300,"Concluído")+COUNTIFS('Luisa'!$B$6:$B$300,$A543,'Luisa'!$F$6:$F$300,"Concluído")+COUNTIFS('Lui'!$B$6:$B$300,$A543,'Lui'!$F$6:$F$300,"Concluído")+COUNTIFS('Thaís'!$B$6:$B$300,$A543,'Thaís'!$F$6:$F$300,"Concluído")+COUNTIFS('Daniel'!$B$6:$B$300,$A543,'Daniel'!$F$6:$F$300,"Concluído")+COUNTIFS('Fernando'!$B$6:$B$300,$A543,'Fernando'!$F$6:$F$300,"Concluído")+COUNTIFS('Stephanie'!$B$6:$B$300,$A543,'Stephanie'!$F$6:$F$300,"Concluído")+COUNTIFS('Fox'!$B$6:$B$300,$A543,'Fox'!$F$6:$F$300,"Concluído")+COUNTIFS('Bruna'!$B$6:$B$300,$A543,'Bruna'!$F$6:$F$300,"Concluído")+COUNTIFS('Stella'!$B$6:$B$300,$A543,'Stella'!$F$6:$F$300,"Concluído")+COUNTIFS('Igor'!$B$6:$B$300,$A543,'Igor'!$F$6:$F$300,"Concluído"))&amp;" / "&amp;(COUNTIF('Clarice'!$B$6:$B$300,$A543)+COUNTIF('Luisa'!$B$6:$B$300,$A543)+COUNTIF('Lui'!$B$6:$B$300,$A543)+COUNTIF('Thaís'!$B$6:$B$300,$A543)+COUNTIF('Daniel'!$B$6:$B$300,$A543)+COUNTIF('Fernando'!$B$6:$B$300,$A543)+COUNTIF('Stephanie'!$B$6:$B$300,$A543)+COUNTIF('Fox'!$B$6:$B$300,$A543)+COUNTIF('Bruna'!$B$6:$B$300,$A543)+COUNTIF('Stella'!$B$6:$B$300,$A543)+COUNTIF('Igor'!$B$6:$B$300,$A543)))</f>
        <v/>
      </c>
      <c r="P543" s="25">
        <f>IF($A543="","",IF(M543&lt;&gt;"",M543,IF(K543&lt;&gt;"",K543,"")))</f>
        <v/>
      </c>
      <c r="Q543" s="25">
        <f>IF($A543="","",IF(N543&lt;&gt;"",N543,IF(L543&lt;&gt;"",L543,"")))</f>
        <v/>
      </c>
      <c r="S543" s="23">
        <f t="array" ref="S543">IF($A543="","",_xlfn.TEXTJOIN(CHAR(10),TRUE,IF('Clarice'!$B$6:$B$300=$A543,"Clarice"&amp;IF('Clarice'!$E$6:$E$300="",""," : "&amp;'Clarice'!$E$6:$E$300)&amp;" ["&amp;'Clarice'!$F$6:$F$300&amp;"]",""),IF('Luisa'!$B$6:$B$300=$A543,"Luisa"&amp;IF('Luisa'!$E$6:$E$300="",""," : "&amp;'Luisa'!$E$6:$E$300)&amp;" ["&amp;'Luisa'!$F$6:$F$300&amp;"]",""),IF('Lui'!$B$6:$B$300=$A543,"Lui"&amp;IF('Lui'!$E$6:$E$300="",""," : "&amp;'Lui'!$E$6:$E$300)&amp;" ["&amp;'Lui'!$F$6:$F$300&amp;"]",""),IF('Thaís'!$B$6:$B$300=$A543,"Thaís"&amp;IF('Thaís'!$E$6:$E$300="",""," : "&amp;'Thaís'!$E$6:$E$300)&amp;" ["&amp;'Thaís'!$F$6:$F$300&amp;"]",""),IF('Daniel'!$B$6:$B$300=$A543,"Daniel"&amp;IF('Daniel'!$E$6:$E$300="",""," : "&amp;'Daniel'!$E$6:$E$300)&amp;" ["&amp;'Daniel'!$F$6:$F$300&amp;"]",""),IF('Fernando'!$B$6:$B$300=$A543,"Fernando"&amp;IF('Fernando'!$E$6:$E$300="",""," : "&amp;'Fernando'!$E$6:$E$300)&amp;" ["&amp;'Fernando'!$F$6:$F$300&amp;"]",""),IF('Stephanie'!$B$6:$B$300=$A543,"Stephanie"&amp;IF('Stephanie'!$E$6:$E$300="",""," : "&amp;'Stephanie'!$E$6:$E$300)&amp;" ["&amp;'Stephanie'!$F$6:$F$300&amp;"]",""),IF('Fox'!$B$6:$B$300=$A543,"Fox"&amp;IF('Fox'!$E$6:$E$300="",""," : "&amp;'Fox'!$E$6:$E$300)&amp;" ["&amp;'Fox'!$F$6:$F$300&amp;"]",""),IF('Bruna'!$B$6:$B$300=$A543,"Bruna"&amp;IF('Bruna'!$E$6:$E$300="",""," : "&amp;'Bruna'!$E$6:$E$300)&amp;" ["&amp;'Bruna'!$F$6:$F$300&amp;"]",""),IF('Stella'!$B$6:$B$300=$A543,"Stella"&amp;IF('Stella'!$E$6:$E$300="",""," : "&amp;'Stella'!$E$6:$E$300)&amp;" ["&amp;'Stella'!$F$6:$F$300&amp;"]",""),IF('Igor'!$B$6:$B$300=$A543,"Igor"&amp;IF('Igor'!$E$6:$E$300="",""," : "&amp;'Igor'!$E$6:$E$300)&amp;" ["&amp;'Igor'!$F$6:$F$300&amp;"]","")))</f>
        <v/>
      </c>
    </row>
    <row r="544">
      <c r="G544" s="23">
        <f>IF($A544="","",_xlfn.TEXTJOIN("; ",TRUE,IF(COUNTIF('Clarice'!$B$6:$B$300,$A544)&gt;0,"Clarice",""),IF(COUNTIF('Luisa'!$B$6:$B$300,$A544)&gt;0,"Luisa",""),IF(COUNTIF('Lui'!$B$6:$B$300,$A544)&gt;0,"Lui",""),IF(COUNTIF('Thaís'!$B$6:$B$300,$A544)&gt;0,"Thaís",""),IF(COUNTIF('Daniel'!$B$6:$B$300,$A544)&gt;0,"Daniel",""),IF(COUNTIF('Fernando'!$B$6:$B$300,$A544)&gt;0,"Fernando",""),IF(COUNTIF('Stephanie'!$B$6:$B$300,$A544)&gt;0,"Stephanie",""),IF(COUNTIF('Fox'!$B$6:$B$300,$A544)&gt;0,"Fox",""),IF(COUNTIF('Bruna'!$B$6:$B$300,$A544)&gt;0,"Bruna",""),IF(COUNTIF('Stella'!$B$6:$B$300,$A544)&gt;0,"Stella",""),IF(COUNTIF('Igor'!$B$6:$B$300,$A544)&gt;0,"Igor","")))</f>
        <v/>
      </c>
      <c r="J544" s="24">
        <f>IF(OR($A544="",(COUNTIF('Clarice'!$B$6:$B$300,$A544)+COUNTIF('Luisa'!$B$6:$B$300,$A544)+COUNTIF('Lui'!$B$6:$B$300,$A544)+COUNTIF('Thaís'!$B$6:$B$300,$A544)+COUNTIF('Daniel'!$B$6:$B$300,$A544)+COUNTIF('Fernando'!$B$6:$B$300,$A544)+COUNTIF('Stephanie'!$B$6:$B$300,$A544)+COUNTIF('Fox'!$B$6:$B$300,$A544)+COUNTIF('Bruna'!$B$6:$B$300,$A544)+COUNTIF('Stella'!$B$6:$B$300,$A544)+COUNTIF('Igor'!$B$6:$B$300,$A544))=0),"",(COUNTIFS('Clarice'!$B$6:$B$300,$A544,'Clarice'!$F$6:$F$300,"Concluído")+COUNTIFS('Luisa'!$B$6:$B$300,$A544,'Luisa'!$F$6:$F$300,"Concluído")+COUNTIFS('Lui'!$B$6:$B$300,$A544,'Lui'!$F$6:$F$300,"Concluído")+COUNTIFS('Thaís'!$B$6:$B$300,$A544,'Thaís'!$F$6:$F$300,"Concluído")+COUNTIFS('Daniel'!$B$6:$B$300,$A544,'Daniel'!$F$6:$F$300,"Concluído")+COUNTIFS('Fernando'!$B$6:$B$300,$A544,'Fernando'!$F$6:$F$300,"Concluído")+COUNTIFS('Stephanie'!$B$6:$B$300,$A544,'Stephanie'!$F$6:$F$300,"Concluído")+COUNTIFS('Fox'!$B$6:$B$300,$A544,'Fox'!$F$6:$F$300,"Concluído")+COUNTIFS('Bruna'!$B$6:$B$300,$A544,'Bruna'!$F$6:$F$300,"Concluído")+COUNTIFS('Stella'!$B$6:$B$300,$A544,'Stella'!$F$6:$F$300,"Concluído")+COUNTIFS('Igor'!$B$6:$B$300,$A544,'Igor'!$F$6:$F$300,"Concluído"))&amp;" / "&amp;(COUNTIF('Clarice'!$B$6:$B$300,$A544)+COUNTIF('Luisa'!$B$6:$B$300,$A544)+COUNTIF('Lui'!$B$6:$B$300,$A544)+COUNTIF('Thaís'!$B$6:$B$300,$A544)+COUNTIF('Daniel'!$B$6:$B$300,$A544)+COUNTIF('Fernando'!$B$6:$B$300,$A544)+COUNTIF('Stephanie'!$B$6:$B$300,$A544)+COUNTIF('Fox'!$B$6:$B$300,$A544)+COUNTIF('Bruna'!$B$6:$B$300,$A544)+COUNTIF('Stella'!$B$6:$B$300,$A544)+COUNTIF('Igor'!$B$6:$B$300,$A544)))</f>
        <v/>
      </c>
      <c r="P544" s="25">
        <f>IF($A544="","",IF(M544&lt;&gt;"",M544,IF(K544&lt;&gt;"",K544,"")))</f>
        <v/>
      </c>
      <c r="Q544" s="25">
        <f>IF($A544="","",IF(N544&lt;&gt;"",N544,IF(L544&lt;&gt;"",L544,"")))</f>
        <v/>
      </c>
      <c r="S544" s="23">
        <f t="array" ref="S544">IF($A544="","",_xlfn.TEXTJOIN(CHAR(10),TRUE,IF('Clarice'!$B$6:$B$300=$A544,"Clarice"&amp;IF('Clarice'!$E$6:$E$300="",""," : "&amp;'Clarice'!$E$6:$E$300)&amp;" ["&amp;'Clarice'!$F$6:$F$300&amp;"]",""),IF('Luisa'!$B$6:$B$300=$A544,"Luisa"&amp;IF('Luisa'!$E$6:$E$300="",""," : "&amp;'Luisa'!$E$6:$E$300)&amp;" ["&amp;'Luisa'!$F$6:$F$300&amp;"]",""),IF('Lui'!$B$6:$B$300=$A544,"Lui"&amp;IF('Lui'!$E$6:$E$300="",""," : "&amp;'Lui'!$E$6:$E$300)&amp;" ["&amp;'Lui'!$F$6:$F$300&amp;"]",""),IF('Thaís'!$B$6:$B$300=$A544,"Thaís"&amp;IF('Thaís'!$E$6:$E$300="",""," : "&amp;'Thaís'!$E$6:$E$300)&amp;" ["&amp;'Thaís'!$F$6:$F$300&amp;"]",""),IF('Daniel'!$B$6:$B$300=$A544,"Daniel"&amp;IF('Daniel'!$E$6:$E$300="",""," : "&amp;'Daniel'!$E$6:$E$300)&amp;" ["&amp;'Daniel'!$F$6:$F$300&amp;"]",""),IF('Fernando'!$B$6:$B$300=$A544,"Fernando"&amp;IF('Fernando'!$E$6:$E$300="",""," : "&amp;'Fernando'!$E$6:$E$300)&amp;" ["&amp;'Fernando'!$F$6:$F$300&amp;"]",""),IF('Stephanie'!$B$6:$B$300=$A544,"Stephanie"&amp;IF('Stephanie'!$E$6:$E$300="",""," : "&amp;'Stephanie'!$E$6:$E$300)&amp;" ["&amp;'Stephanie'!$F$6:$F$300&amp;"]",""),IF('Fox'!$B$6:$B$300=$A544,"Fox"&amp;IF('Fox'!$E$6:$E$300="",""," : "&amp;'Fox'!$E$6:$E$300)&amp;" ["&amp;'Fox'!$F$6:$F$300&amp;"]",""),IF('Bruna'!$B$6:$B$300=$A544,"Bruna"&amp;IF('Bruna'!$E$6:$E$300="",""," : "&amp;'Bruna'!$E$6:$E$300)&amp;" ["&amp;'Bruna'!$F$6:$F$300&amp;"]",""),IF('Stella'!$B$6:$B$300=$A544,"Stella"&amp;IF('Stella'!$E$6:$E$300="",""," : "&amp;'Stella'!$E$6:$E$300)&amp;" ["&amp;'Stella'!$F$6:$F$300&amp;"]",""),IF('Igor'!$B$6:$B$300=$A544,"Igor"&amp;IF('Igor'!$E$6:$E$300="",""," : "&amp;'Igor'!$E$6:$E$300)&amp;" ["&amp;'Igor'!$F$6:$F$300&amp;"]","")))</f>
        <v/>
      </c>
    </row>
    <row r="545">
      <c r="G545" s="23">
        <f>IF($A545="","",_xlfn.TEXTJOIN("; ",TRUE,IF(COUNTIF('Clarice'!$B$6:$B$300,$A545)&gt;0,"Clarice",""),IF(COUNTIF('Luisa'!$B$6:$B$300,$A545)&gt;0,"Luisa",""),IF(COUNTIF('Lui'!$B$6:$B$300,$A545)&gt;0,"Lui",""),IF(COUNTIF('Thaís'!$B$6:$B$300,$A545)&gt;0,"Thaís",""),IF(COUNTIF('Daniel'!$B$6:$B$300,$A545)&gt;0,"Daniel",""),IF(COUNTIF('Fernando'!$B$6:$B$300,$A545)&gt;0,"Fernando",""),IF(COUNTIF('Stephanie'!$B$6:$B$300,$A545)&gt;0,"Stephanie",""),IF(COUNTIF('Fox'!$B$6:$B$300,$A545)&gt;0,"Fox",""),IF(COUNTIF('Bruna'!$B$6:$B$300,$A545)&gt;0,"Bruna",""),IF(COUNTIF('Stella'!$B$6:$B$300,$A545)&gt;0,"Stella",""),IF(COUNTIF('Igor'!$B$6:$B$300,$A545)&gt;0,"Igor","")))</f>
        <v/>
      </c>
      <c r="J545" s="24">
        <f>IF(OR($A545="",(COUNTIF('Clarice'!$B$6:$B$300,$A545)+COUNTIF('Luisa'!$B$6:$B$300,$A545)+COUNTIF('Lui'!$B$6:$B$300,$A545)+COUNTIF('Thaís'!$B$6:$B$300,$A545)+COUNTIF('Daniel'!$B$6:$B$300,$A545)+COUNTIF('Fernando'!$B$6:$B$300,$A545)+COUNTIF('Stephanie'!$B$6:$B$300,$A545)+COUNTIF('Fox'!$B$6:$B$300,$A545)+COUNTIF('Bruna'!$B$6:$B$300,$A545)+COUNTIF('Stella'!$B$6:$B$300,$A545)+COUNTIF('Igor'!$B$6:$B$300,$A545))=0),"",(COUNTIFS('Clarice'!$B$6:$B$300,$A545,'Clarice'!$F$6:$F$300,"Concluído")+COUNTIFS('Luisa'!$B$6:$B$300,$A545,'Luisa'!$F$6:$F$300,"Concluído")+COUNTIFS('Lui'!$B$6:$B$300,$A545,'Lui'!$F$6:$F$300,"Concluído")+COUNTIFS('Thaís'!$B$6:$B$300,$A545,'Thaís'!$F$6:$F$300,"Concluído")+COUNTIFS('Daniel'!$B$6:$B$300,$A545,'Daniel'!$F$6:$F$300,"Concluído")+COUNTIFS('Fernando'!$B$6:$B$300,$A545,'Fernando'!$F$6:$F$300,"Concluído")+COUNTIFS('Stephanie'!$B$6:$B$300,$A545,'Stephanie'!$F$6:$F$300,"Concluído")+COUNTIFS('Fox'!$B$6:$B$300,$A545,'Fox'!$F$6:$F$300,"Concluído")+COUNTIFS('Bruna'!$B$6:$B$300,$A545,'Bruna'!$F$6:$F$300,"Concluído")+COUNTIFS('Stella'!$B$6:$B$300,$A545,'Stella'!$F$6:$F$300,"Concluído")+COUNTIFS('Igor'!$B$6:$B$300,$A545,'Igor'!$F$6:$F$300,"Concluído"))&amp;" / "&amp;(COUNTIF('Clarice'!$B$6:$B$300,$A545)+COUNTIF('Luisa'!$B$6:$B$300,$A545)+COUNTIF('Lui'!$B$6:$B$300,$A545)+COUNTIF('Thaís'!$B$6:$B$300,$A545)+COUNTIF('Daniel'!$B$6:$B$300,$A545)+COUNTIF('Fernando'!$B$6:$B$300,$A545)+COUNTIF('Stephanie'!$B$6:$B$300,$A545)+COUNTIF('Fox'!$B$6:$B$300,$A545)+COUNTIF('Bruna'!$B$6:$B$300,$A545)+COUNTIF('Stella'!$B$6:$B$300,$A545)+COUNTIF('Igor'!$B$6:$B$300,$A545)))</f>
        <v/>
      </c>
      <c r="P545" s="25">
        <f>IF($A545="","",IF(M545&lt;&gt;"",M545,IF(K545&lt;&gt;"",K545,"")))</f>
        <v/>
      </c>
      <c r="Q545" s="25">
        <f>IF($A545="","",IF(N545&lt;&gt;"",N545,IF(L545&lt;&gt;"",L545,"")))</f>
        <v/>
      </c>
      <c r="S545" s="23">
        <f t="array" ref="S545">IF($A545="","",_xlfn.TEXTJOIN(CHAR(10),TRUE,IF('Clarice'!$B$6:$B$300=$A545,"Clarice"&amp;IF('Clarice'!$E$6:$E$300="",""," : "&amp;'Clarice'!$E$6:$E$300)&amp;" ["&amp;'Clarice'!$F$6:$F$300&amp;"]",""),IF('Luisa'!$B$6:$B$300=$A545,"Luisa"&amp;IF('Luisa'!$E$6:$E$300="",""," : "&amp;'Luisa'!$E$6:$E$300)&amp;" ["&amp;'Luisa'!$F$6:$F$300&amp;"]",""),IF('Lui'!$B$6:$B$300=$A545,"Lui"&amp;IF('Lui'!$E$6:$E$300="",""," : "&amp;'Lui'!$E$6:$E$300)&amp;" ["&amp;'Lui'!$F$6:$F$300&amp;"]",""),IF('Thaís'!$B$6:$B$300=$A545,"Thaís"&amp;IF('Thaís'!$E$6:$E$300="",""," : "&amp;'Thaís'!$E$6:$E$300)&amp;" ["&amp;'Thaís'!$F$6:$F$300&amp;"]",""),IF('Daniel'!$B$6:$B$300=$A545,"Daniel"&amp;IF('Daniel'!$E$6:$E$300="",""," : "&amp;'Daniel'!$E$6:$E$300)&amp;" ["&amp;'Daniel'!$F$6:$F$300&amp;"]",""),IF('Fernando'!$B$6:$B$300=$A545,"Fernando"&amp;IF('Fernando'!$E$6:$E$300="",""," : "&amp;'Fernando'!$E$6:$E$300)&amp;" ["&amp;'Fernando'!$F$6:$F$300&amp;"]",""),IF('Stephanie'!$B$6:$B$300=$A545,"Stephanie"&amp;IF('Stephanie'!$E$6:$E$300="",""," : "&amp;'Stephanie'!$E$6:$E$300)&amp;" ["&amp;'Stephanie'!$F$6:$F$300&amp;"]",""),IF('Fox'!$B$6:$B$300=$A545,"Fox"&amp;IF('Fox'!$E$6:$E$300="",""," : "&amp;'Fox'!$E$6:$E$300)&amp;" ["&amp;'Fox'!$F$6:$F$300&amp;"]",""),IF('Bruna'!$B$6:$B$300=$A545,"Bruna"&amp;IF('Bruna'!$E$6:$E$300="",""," : "&amp;'Bruna'!$E$6:$E$300)&amp;" ["&amp;'Bruna'!$F$6:$F$300&amp;"]",""),IF('Stella'!$B$6:$B$300=$A545,"Stella"&amp;IF('Stella'!$E$6:$E$300="",""," : "&amp;'Stella'!$E$6:$E$300)&amp;" ["&amp;'Stella'!$F$6:$F$300&amp;"]",""),IF('Igor'!$B$6:$B$300=$A545,"Igor"&amp;IF('Igor'!$E$6:$E$300="",""," : "&amp;'Igor'!$E$6:$E$300)&amp;" ["&amp;'Igor'!$F$6:$F$300&amp;"]","")))</f>
        <v/>
      </c>
    </row>
    <row r="546">
      <c r="G546" s="23">
        <f>IF($A546="","",_xlfn.TEXTJOIN("; ",TRUE,IF(COUNTIF('Clarice'!$B$6:$B$300,$A546)&gt;0,"Clarice",""),IF(COUNTIF('Luisa'!$B$6:$B$300,$A546)&gt;0,"Luisa",""),IF(COUNTIF('Lui'!$B$6:$B$300,$A546)&gt;0,"Lui",""),IF(COUNTIF('Thaís'!$B$6:$B$300,$A546)&gt;0,"Thaís",""),IF(COUNTIF('Daniel'!$B$6:$B$300,$A546)&gt;0,"Daniel",""),IF(COUNTIF('Fernando'!$B$6:$B$300,$A546)&gt;0,"Fernando",""),IF(COUNTIF('Stephanie'!$B$6:$B$300,$A546)&gt;0,"Stephanie",""),IF(COUNTIF('Fox'!$B$6:$B$300,$A546)&gt;0,"Fox",""),IF(COUNTIF('Bruna'!$B$6:$B$300,$A546)&gt;0,"Bruna",""),IF(COUNTIF('Stella'!$B$6:$B$300,$A546)&gt;0,"Stella",""),IF(COUNTIF('Igor'!$B$6:$B$300,$A546)&gt;0,"Igor","")))</f>
        <v/>
      </c>
      <c r="J546" s="24">
        <f>IF(OR($A546="",(COUNTIF('Clarice'!$B$6:$B$300,$A546)+COUNTIF('Luisa'!$B$6:$B$300,$A546)+COUNTIF('Lui'!$B$6:$B$300,$A546)+COUNTIF('Thaís'!$B$6:$B$300,$A546)+COUNTIF('Daniel'!$B$6:$B$300,$A546)+COUNTIF('Fernando'!$B$6:$B$300,$A546)+COUNTIF('Stephanie'!$B$6:$B$300,$A546)+COUNTIF('Fox'!$B$6:$B$300,$A546)+COUNTIF('Bruna'!$B$6:$B$300,$A546)+COUNTIF('Stella'!$B$6:$B$300,$A546)+COUNTIF('Igor'!$B$6:$B$300,$A546))=0),"",(COUNTIFS('Clarice'!$B$6:$B$300,$A546,'Clarice'!$F$6:$F$300,"Concluído")+COUNTIFS('Luisa'!$B$6:$B$300,$A546,'Luisa'!$F$6:$F$300,"Concluído")+COUNTIFS('Lui'!$B$6:$B$300,$A546,'Lui'!$F$6:$F$300,"Concluído")+COUNTIFS('Thaís'!$B$6:$B$300,$A546,'Thaís'!$F$6:$F$300,"Concluído")+COUNTIFS('Daniel'!$B$6:$B$300,$A546,'Daniel'!$F$6:$F$300,"Concluído")+COUNTIFS('Fernando'!$B$6:$B$300,$A546,'Fernando'!$F$6:$F$300,"Concluído")+COUNTIFS('Stephanie'!$B$6:$B$300,$A546,'Stephanie'!$F$6:$F$300,"Concluído")+COUNTIFS('Fox'!$B$6:$B$300,$A546,'Fox'!$F$6:$F$300,"Concluído")+COUNTIFS('Bruna'!$B$6:$B$300,$A546,'Bruna'!$F$6:$F$300,"Concluído")+COUNTIFS('Stella'!$B$6:$B$300,$A546,'Stella'!$F$6:$F$300,"Concluído")+COUNTIFS('Igor'!$B$6:$B$300,$A546,'Igor'!$F$6:$F$300,"Concluído"))&amp;" / "&amp;(COUNTIF('Clarice'!$B$6:$B$300,$A546)+COUNTIF('Luisa'!$B$6:$B$300,$A546)+COUNTIF('Lui'!$B$6:$B$300,$A546)+COUNTIF('Thaís'!$B$6:$B$300,$A546)+COUNTIF('Daniel'!$B$6:$B$300,$A546)+COUNTIF('Fernando'!$B$6:$B$300,$A546)+COUNTIF('Stephanie'!$B$6:$B$300,$A546)+COUNTIF('Fox'!$B$6:$B$300,$A546)+COUNTIF('Bruna'!$B$6:$B$300,$A546)+COUNTIF('Stella'!$B$6:$B$300,$A546)+COUNTIF('Igor'!$B$6:$B$300,$A546)))</f>
        <v/>
      </c>
      <c r="P546" s="25">
        <f>IF($A546="","",IF(M546&lt;&gt;"",M546,IF(K546&lt;&gt;"",K546,"")))</f>
        <v/>
      </c>
      <c r="Q546" s="25">
        <f>IF($A546="","",IF(N546&lt;&gt;"",N546,IF(L546&lt;&gt;"",L546,"")))</f>
        <v/>
      </c>
      <c r="S546" s="23">
        <f t="array" ref="S546">IF($A546="","",_xlfn.TEXTJOIN(CHAR(10),TRUE,IF('Clarice'!$B$6:$B$300=$A546,"Clarice"&amp;IF('Clarice'!$E$6:$E$300="",""," : "&amp;'Clarice'!$E$6:$E$300)&amp;" ["&amp;'Clarice'!$F$6:$F$300&amp;"]",""),IF('Luisa'!$B$6:$B$300=$A546,"Luisa"&amp;IF('Luisa'!$E$6:$E$300="",""," : "&amp;'Luisa'!$E$6:$E$300)&amp;" ["&amp;'Luisa'!$F$6:$F$300&amp;"]",""),IF('Lui'!$B$6:$B$300=$A546,"Lui"&amp;IF('Lui'!$E$6:$E$300="",""," : "&amp;'Lui'!$E$6:$E$300)&amp;" ["&amp;'Lui'!$F$6:$F$300&amp;"]",""),IF('Thaís'!$B$6:$B$300=$A546,"Thaís"&amp;IF('Thaís'!$E$6:$E$300="",""," : "&amp;'Thaís'!$E$6:$E$300)&amp;" ["&amp;'Thaís'!$F$6:$F$300&amp;"]",""),IF('Daniel'!$B$6:$B$300=$A546,"Daniel"&amp;IF('Daniel'!$E$6:$E$300="",""," : "&amp;'Daniel'!$E$6:$E$300)&amp;" ["&amp;'Daniel'!$F$6:$F$300&amp;"]",""),IF('Fernando'!$B$6:$B$300=$A546,"Fernando"&amp;IF('Fernando'!$E$6:$E$300="",""," : "&amp;'Fernando'!$E$6:$E$300)&amp;" ["&amp;'Fernando'!$F$6:$F$300&amp;"]",""),IF('Stephanie'!$B$6:$B$300=$A546,"Stephanie"&amp;IF('Stephanie'!$E$6:$E$300="",""," : "&amp;'Stephanie'!$E$6:$E$300)&amp;" ["&amp;'Stephanie'!$F$6:$F$300&amp;"]",""),IF('Fox'!$B$6:$B$300=$A546,"Fox"&amp;IF('Fox'!$E$6:$E$300="",""," : "&amp;'Fox'!$E$6:$E$300)&amp;" ["&amp;'Fox'!$F$6:$F$300&amp;"]",""),IF('Bruna'!$B$6:$B$300=$A546,"Bruna"&amp;IF('Bruna'!$E$6:$E$300="",""," : "&amp;'Bruna'!$E$6:$E$300)&amp;" ["&amp;'Bruna'!$F$6:$F$300&amp;"]",""),IF('Stella'!$B$6:$B$300=$A546,"Stella"&amp;IF('Stella'!$E$6:$E$300="",""," : "&amp;'Stella'!$E$6:$E$300)&amp;" ["&amp;'Stella'!$F$6:$F$300&amp;"]",""),IF('Igor'!$B$6:$B$300=$A546,"Igor"&amp;IF('Igor'!$E$6:$E$300="",""," : "&amp;'Igor'!$E$6:$E$300)&amp;" ["&amp;'Igor'!$F$6:$F$300&amp;"]","")))</f>
        <v/>
      </c>
    </row>
    <row r="547">
      <c r="G547" s="23">
        <f>IF($A547="","",_xlfn.TEXTJOIN("; ",TRUE,IF(COUNTIF('Clarice'!$B$6:$B$300,$A547)&gt;0,"Clarice",""),IF(COUNTIF('Luisa'!$B$6:$B$300,$A547)&gt;0,"Luisa",""),IF(COUNTIF('Lui'!$B$6:$B$300,$A547)&gt;0,"Lui",""),IF(COUNTIF('Thaís'!$B$6:$B$300,$A547)&gt;0,"Thaís",""),IF(COUNTIF('Daniel'!$B$6:$B$300,$A547)&gt;0,"Daniel",""),IF(COUNTIF('Fernando'!$B$6:$B$300,$A547)&gt;0,"Fernando",""),IF(COUNTIF('Stephanie'!$B$6:$B$300,$A547)&gt;0,"Stephanie",""),IF(COUNTIF('Fox'!$B$6:$B$300,$A547)&gt;0,"Fox",""),IF(COUNTIF('Bruna'!$B$6:$B$300,$A547)&gt;0,"Bruna",""),IF(COUNTIF('Stella'!$B$6:$B$300,$A547)&gt;0,"Stella",""),IF(COUNTIF('Igor'!$B$6:$B$300,$A547)&gt;0,"Igor","")))</f>
        <v/>
      </c>
      <c r="J547" s="24">
        <f>IF(OR($A547="",(COUNTIF('Clarice'!$B$6:$B$300,$A547)+COUNTIF('Luisa'!$B$6:$B$300,$A547)+COUNTIF('Lui'!$B$6:$B$300,$A547)+COUNTIF('Thaís'!$B$6:$B$300,$A547)+COUNTIF('Daniel'!$B$6:$B$300,$A547)+COUNTIF('Fernando'!$B$6:$B$300,$A547)+COUNTIF('Stephanie'!$B$6:$B$300,$A547)+COUNTIF('Fox'!$B$6:$B$300,$A547)+COUNTIF('Bruna'!$B$6:$B$300,$A547)+COUNTIF('Stella'!$B$6:$B$300,$A547)+COUNTIF('Igor'!$B$6:$B$300,$A547))=0),"",(COUNTIFS('Clarice'!$B$6:$B$300,$A547,'Clarice'!$F$6:$F$300,"Concluído")+COUNTIFS('Luisa'!$B$6:$B$300,$A547,'Luisa'!$F$6:$F$300,"Concluído")+COUNTIFS('Lui'!$B$6:$B$300,$A547,'Lui'!$F$6:$F$300,"Concluído")+COUNTIFS('Thaís'!$B$6:$B$300,$A547,'Thaís'!$F$6:$F$300,"Concluído")+COUNTIFS('Daniel'!$B$6:$B$300,$A547,'Daniel'!$F$6:$F$300,"Concluído")+COUNTIFS('Fernando'!$B$6:$B$300,$A547,'Fernando'!$F$6:$F$300,"Concluído")+COUNTIFS('Stephanie'!$B$6:$B$300,$A547,'Stephanie'!$F$6:$F$300,"Concluído")+COUNTIFS('Fox'!$B$6:$B$300,$A547,'Fox'!$F$6:$F$300,"Concluído")+COUNTIFS('Bruna'!$B$6:$B$300,$A547,'Bruna'!$F$6:$F$300,"Concluído")+COUNTIFS('Stella'!$B$6:$B$300,$A547,'Stella'!$F$6:$F$300,"Concluído")+COUNTIFS('Igor'!$B$6:$B$300,$A547,'Igor'!$F$6:$F$300,"Concluído"))&amp;" / "&amp;(COUNTIF('Clarice'!$B$6:$B$300,$A547)+COUNTIF('Luisa'!$B$6:$B$300,$A547)+COUNTIF('Lui'!$B$6:$B$300,$A547)+COUNTIF('Thaís'!$B$6:$B$300,$A547)+COUNTIF('Daniel'!$B$6:$B$300,$A547)+COUNTIF('Fernando'!$B$6:$B$300,$A547)+COUNTIF('Stephanie'!$B$6:$B$300,$A547)+COUNTIF('Fox'!$B$6:$B$300,$A547)+COUNTIF('Bruna'!$B$6:$B$300,$A547)+COUNTIF('Stella'!$B$6:$B$300,$A547)+COUNTIF('Igor'!$B$6:$B$300,$A547)))</f>
        <v/>
      </c>
      <c r="P547" s="25">
        <f>IF($A547="","",IF(M547&lt;&gt;"",M547,IF(K547&lt;&gt;"",K547,"")))</f>
        <v/>
      </c>
      <c r="Q547" s="25">
        <f>IF($A547="","",IF(N547&lt;&gt;"",N547,IF(L547&lt;&gt;"",L547,"")))</f>
        <v/>
      </c>
      <c r="S547" s="23">
        <f t="array" ref="S547">IF($A547="","",_xlfn.TEXTJOIN(CHAR(10),TRUE,IF('Clarice'!$B$6:$B$300=$A547,"Clarice"&amp;IF('Clarice'!$E$6:$E$300="",""," : "&amp;'Clarice'!$E$6:$E$300)&amp;" ["&amp;'Clarice'!$F$6:$F$300&amp;"]",""),IF('Luisa'!$B$6:$B$300=$A547,"Luisa"&amp;IF('Luisa'!$E$6:$E$300="",""," : "&amp;'Luisa'!$E$6:$E$300)&amp;" ["&amp;'Luisa'!$F$6:$F$300&amp;"]",""),IF('Lui'!$B$6:$B$300=$A547,"Lui"&amp;IF('Lui'!$E$6:$E$300="",""," : "&amp;'Lui'!$E$6:$E$300)&amp;" ["&amp;'Lui'!$F$6:$F$300&amp;"]",""),IF('Thaís'!$B$6:$B$300=$A547,"Thaís"&amp;IF('Thaís'!$E$6:$E$300="",""," : "&amp;'Thaís'!$E$6:$E$300)&amp;" ["&amp;'Thaís'!$F$6:$F$300&amp;"]",""),IF('Daniel'!$B$6:$B$300=$A547,"Daniel"&amp;IF('Daniel'!$E$6:$E$300="",""," : "&amp;'Daniel'!$E$6:$E$300)&amp;" ["&amp;'Daniel'!$F$6:$F$300&amp;"]",""),IF('Fernando'!$B$6:$B$300=$A547,"Fernando"&amp;IF('Fernando'!$E$6:$E$300="",""," : "&amp;'Fernando'!$E$6:$E$300)&amp;" ["&amp;'Fernando'!$F$6:$F$300&amp;"]",""),IF('Stephanie'!$B$6:$B$300=$A547,"Stephanie"&amp;IF('Stephanie'!$E$6:$E$300="",""," : "&amp;'Stephanie'!$E$6:$E$300)&amp;" ["&amp;'Stephanie'!$F$6:$F$300&amp;"]",""),IF('Fox'!$B$6:$B$300=$A547,"Fox"&amp;IF('Fox'!$E$6:$E$300="",""," : "&amp;'Fox'!$E$6:$E$300)&amp;" ["&amp;'Fox'!$F$6:$F$300&amp;"]",""),IF('Bruna'!$B$6:$B$300=$A547,"Bruna"&amp;IF('Bruna'!$E$6:$E$300="",""," : "&amp;'Bruna'!$E$6:$E$300)&amp;" ["&amp;'Bruna'!$F$6:$F$300&amp;"]",""),IF('Stella'!$B$6:$B$300=$A547,"Stella"&amp;IF('Stella'!$E$6:$E$300="",""," : "&amp;'Stella'!$E$6:$E$300)&amp;" ["&amp;'Stella'!$F$6:$F$300&amp;"]",""),IF('Igor'!$B$6:$B$300=$A547,"Igor"&amp;IF('Igor'!$E$6:$E$300="",""," : "&amp;'Igor'!$E$6:$E$300)&amp;" ["&amp;'Igor'!$F$6:$F$300&amp;"]","")))</f>
        <v/>
      </c>
    </row>
    <row r="548">
      <c r="G548" s="23">
        <f>IF($A548="","",_xlfn.TEXTJOIN("; ",TRUE,IF(COUNTIF('Clarice'!$B$6:$B$300,$A548)&gt;0,"Clarice",""),IF(COUNTIF('Luisa'!$B$6:$B$300,$A548)&gt;0,"Luisa",""),IF(COUNTIF('Lui'!$B$6:$B$300,$A548)&gt;0,"Lui",""),IF(COUNTIF('Thaís'!$B$6:$B$300,$A548)&gt;0,"Thaís",""),IF(COUNTIF('Daniel'!$B$6:$B$300,$A548)&gt;0,"Daniel",""),IF(COUNTIF('Fernando'!$B$6:$B$300,$A548)&gt;0,"Fernando",""),IF(COUNTIF('Stephanie'!$B$6:$B$300,$A548)&gt;0,"Stephanie",""),IF(COUNTIF('Fox'!$B$6:$B$300,$A548)&gt;0,"Fox",""),IF(COUNTIF('Bruna'!$B$6:$B$300,$A548)&gt;0,"Bruna",""),IF(COUNTIF('Stella'!$B$6:$B$300,$A548)&gt;0,"Stella",""),IF(COUNTIF('Igor'!$B$6:$B$300,$A548)&gt;0,"Igor","")))</f>
        <v/>
      </c>
      <c r="J548" s="24">
        <f>IF(OR($A548="",(COUNTIF('Clarice'!$B$6:$B$300,$A548)+COUNTIF('Luisa'!$B$6:$B$300,$A548)+COUNTIF('Lui'!$B$6:$B$300,$A548)+COUNTIF('Thaís'!$B$6:$B$300,$A548)+COUNTIF('Daniel'!$B$6:$B$300,$A548)+COUNTIF('Fernando'!$B$6:$B$300,$A548)+COUNTIF('Stephanie'!$B$6:$B$300,$A548)+COUNTIF('Fox'!$B$6:$B$300,$A548)+COUNTIF('Bruna'!$B$6:$B$300,$A548)+COUNTIF('Stella'!$B$6:$B$300,$A548)+COUNTIF('Igor'!$B$6:$B$300,$A548))=0),"",(COUNTIFS('Clarice'!$B$6:$B$300,$A548,'Clarice'!$F$6:$F$300,"Concluído")+COUNTIFS('Luisa'!$B$6:$B$300,$A548,'Luisa'!$F$6:$F$300,"Concluído")+COUNTIFS('Lui'!$B$6:$B$300,$A548,'Lui'!$F$6:$F$300,"Concluído")+COUNTIFS('Thaís'!$B$6:$B$300,$A548,'Thaís'!$F$6:$F$300,"Concluído")+COUNTIFS('Daniel'!$B$6:$B$300,$A548,'Daniel'!$F$6:$F$300,"Concluído")+COUNTIFS('Fernando'!$B$6:$B$300,$A548,'Fernando'!$F$6:$F$300,"Concluído")+COUNTIFS('Stephanie'!$B$6:$B$300,$A548,'Stephanie'!$F$6:$F$300,"Concluído")+COUNTIFS('Fox'!$B$6:$B$300,$A548,'Fox'!$F$6:$F$300,"Concluído")+COUNTIFS('Bruna'!$B$6:$B$300,$A548,'Bruna'!$F$6:$F$300,"Concluído")+COUNTIFS('Stella'!$B$6:$B$300,$A548,'Stella'!$F$6:$F$300,"Concluído")+COUNTIFS('Igor'!$B$6:$B$300,$A548,'Igor'!$F$6:$F$300,"Concluído"))&amp;" / "&amp;(COUNTIF('Clarice'!$B$6:$B$300,$A548)+COUNTIF('Luisa'!$B$6:$B$300,$A548)+COUNTIF('Lui'!$B$6:$B$300,$A548)+COUNTIF('Thaís'!$B$6:$B$300,$A548)+COUNTIF('Daniel'!$B$6:$B$300,$A548)+COUNTIF('Fernando'!$B$6:$B$300,$A548)+COUNTIF('Stephanie'!$B$6:$B$300,$A548)+COUNTIF('Fox'!$B$6:$B$300,$A548)+COUNTIF('Bruna'!$B$6:$B$300,$A548)+COUNTIF('Stella'!$B$6:$B$300,$A548)+COUNTIF('Igor'!$B$6:$B$300,$A548)))</f>
        <v/>
      </c>
      <c r="P548" s="25">
        <f>IF($A548="","",IF(M548&lt;&gt;"",M548,IF(K548&lt;&gt;"",K548,"")))</f>
        <v/>
      </c>
      <c r="Q548" s="25">
        <f>IF($A548="","",IF(N548&lt;&gt;"",N548,IF(L548&lt;&gt;"",L548,"")))</f>
        <v/>
      </c>
      <c r="S548" s="23">
        <f t="array" ref="S548">IF($A548="","",_xlfn.TEXTJOIN(CHAR(10),TRUE,IF('Clarice'!$B$6:$B$300=$A548,"Clarice"&amp;IF('Clarice'!$E$6:$E$300="",""," : "&amp;'Clarice'!$E$6:$E$300)&amp;" ["&amp;'Clarice'!$F$6:$F$300&amp;"]",""),IF('Luisa'!$B$6:$B$300=$A548,"Luisa"&amp;IF('Luisa'!$E$6:$E$300="",""," : "&amp;'Luisa'!$E$6:$E$300)&amp;" ["&amp;'Luisa'!$F$6:$F$300&amp;"]",""),IF('Lui'!$B$6:$B$300=$A548,"Lui"&amp;IF('Lui'!$E$6:$E$300="",""," : "&amp;'Lui'!$E$6:$E$300)&amp;" ["&amp;'Lui'!$F$6:$F$300&amp;"]",""),IF('Thaís'!$B$6:$B$300=$A548,"Thaís"&amp;IF('Thaís'!$E$6:$E$300="",""," : "&amp;'Thaís'!$E$6:$E$300)&amp;" ["&amp;'Thaís'!$F$6:$F$300&amp;"]",""),IF('Daniel'!$B$6:$B$300=$A548,"Daniel"&amp;IF('Daniel'!$E$6:$E$300="",""," : "&amp;'Daniel'!$E$6:$E$300)&amp;" ["&amp;'Daniel'!$F$6:$F$300&amp;"]",""),IF('Fernando'!$B$6:$B$300=$A548,"Fernando"&amp;IF('Fernando'!$E$6:$E$300="",""," : "&amp;'Fernando'!$E$6:$E$300)&amp;" ["&amp;'Fernando'!$F$6:$F$300&amp;"]",""),IF('Stephanie'!$B$6:$B$300=$A548,"Stephanie"&amp;IF('Stephanie'!$E$6:$E$300="",""," : "&amp;'Stephanie'!$E$6:$E$300)&amp;" ["&amp;'Stephanie'!$F$6:$F$300&amp;"]",""),IF('Fox'!$B$6:$B$300=$A548,"Fox"&amp;IF('Fox'!$E$6:$E$300="",""," : "&amp;'Fox'!$E$6:$E$300)&amp;" ["&amp;'Fox'!$F$6:$F$300&amp;"]",""),IF('Bruna'!$B$6:$B$300=$A548,"Bruna"&amp;IF('Bruna'!$E$6:$E$300="",""," : "&amp;'Bruna'!$E$6:$E$300)&amp;" ["&amp;'Bruna'!$F$6:$F$300&amp;"]",""),IF('Stella'!$B$6:$B$300=$A548,"Stella"&amp;IF('Stella'!$E$6:$E$300="",""," : "&amp;'Stella'!$E$6:$E$300)&amp;" ["&amp;'Stella'!$F$6:$F$300&amp;"]",""),IF('Igor'!$B$6:$B$300=$A548,"Igor"&amp;IF('Igor'!$E$6:$E$300="",""," : "&amp;'Igor'!$E$6:$E$300)&amp;" ["&amp;'Igor'!$F$6:$F$300&amp;"]","")))</f>
        <v/>
      </c>
    </row>
    <row r="549">
      <c r="G549" s="23">
        <f>IF($A549="","",_xlfn.TEXTJOIN("; ",TRUE,IF(COUNTIF('Clarice'!$B$6:$B$300,$A549)&gt;0,"Clarice",""),IF(COUNTIF('Luisa'!$B$6:$B$300,$A549)&gt;0,"Luisa",""),IF(COUNTIF('Lui'!$B$6:$B$300,$A549)&gt;0,"Lui",""),IF(COUNTIF('Thaís'!$B$6:$B$300,$A549)&gt;0,"Thaís",""),IF(COUNTIF('Daniel'!$B$6:$B$300,$A549)&gt;0,"Daniel",""),IF(COUNTIF('Fernando'!$B$6:$B$300,$A549)&gt;0,"Fernando",""),IF(COUNTIF('Stephanie'!$B$6:$B$300,$A549)&gt;0,"Stephanie",""),IF(COUNTIF('Fox'!$B$6:$B$300,$A549)&gt;0,"Fox",""),IF(COUNTIF('Bruna'!$B$6:$B$300,$A549)&gt;0,"Bruna",""),IF(COUNTIF('Stella'!$B$6:$B$300,$A549)&gt;0,"Stella",""),IF(COUNTIF('Igor'!$B$6:$B$300,$A549)&gt;0,"Igor","")))</f>
        <v/>
      </c>
      <c r="J549" s="24">
        <f>IF(OR($A549="",(COUNTIF('Clarice'!$B$6:$B$300,$A549)+COUNTIF('Luisa'!$B$6:$B$300,$A549)+COUNTIF('Lui'!$B$6:$B$300,$A549)+COUNTIF('Thaís'!$B$6:$B$300,$A549)+COUNTIF('Daniel'!$B$6:$B$300,$A549)+COUNTIF('Fernando'!$B$6:$B$300,$A549)+COUNTIF('Stephanie'!$B$6:$B$300,$A549)+COUNTIF('Fox'!$B$6:$B$300,$A549)+COUNTIF('Bruna'!$B$6:$B$300,$A549)+COUNTIF('Stella'!$B$6:$B$300,$A549)+COUNTIF('Igor'!$B$6:$B$300,$A549))=0),"",(COUNTIFS('Clarice'!$B$6:$B$300,$A549,'Clarice'!$F$6:$F$300,"Concluído")+COUNTIFS('Luisa'!$B$6:$B$300,$A549,'Luisa'!$F$6:$F$300,"Concluído")+COUNTIFS('Lui'!$B$6:$B$300,$A549,'Lui'!$F$6:$F$300,"Concluído")+COUNTIFS('Thaís'!$B$6:$B$300,$A549,'Thaís'!$F$6:$F$300,"Concluído")+COUNTIFS('Daniel'!$B$6:$B$300,$A549,'Daniel'!$F$6:$F$300,"Concluído")+COUNTIFS('Fernando'!$B$6:$B$300,$A549,'Fernando'!$F$6:$F$300,"Concluído")+COUNTIFS('Stephanie'!$B$6:$B$300,$A549,'Stephanie'!$F$6:$F$300,"Concluído")+COUNTIFS('Fox'!$B$6:$B$300,$A549,'Fox'!$F$6:$F$300,"Concluído")+COUNTIFS('Bruna'!$B$6:$B$300,$A549,'Bruna'!$F$6:$F$300,"Concluído")+COUNTIFS('Stella'!$B$6:$B$300,$A549,'Stella'!$F$6:$F$300,"Concluído")+COUNTIFS('Igor'!$B$6:$B$300,$A549,'Igor'!$F$6:$F$300,"Concluído"))&amp;" / "&amp;(COUNTIF('Clarice'!$B$6:$B$300,$A549)+COUNTIF('Luisa'!$B$6:$B$300,$A549)+COUNTIF('Lui'!$B$6:$B$300,$A549)+COUNTIF('Thaís'!$B$6:$B$300,$A549)+COUNTIF('Daniel'!$B$6:$B$300,$A549)+COUNTIF('Fernando'!$B$6:$B$300,$A549)+COUNTIF('Stephanie'!$B$6:$B$300,$A549)+COUNTIF('Fox'!$B$6:$B$300,$A549)+COUNTIF('Bruna'!$B$6:$B$300,$A549)+COUNTIF('Stella'!$B$6:$B$300,$A549)+COUNTIF('Igor'!$B$6:$B$300,$A549)))</f>
        <v/>
      </c>
      <c r="P549" s="25">
        <f>IF($A549="","",IF(M549&lt;&gt;"",M549,IF(K549&lt;&gt;"",K549,"")))</f>
        <v/>
      </c>
      <c r="Q549" s="25">
        <f>IF($A549="","",IF(N549&lt;&gt;"",N549,IF(L549&lt;&gt;"",L549,"")))</f>
        <v/>
      </c>
      <c r="S549" s="23">
        <f t="array" ref="S549">IF($A549="","",_xlfn.TEXTJOIN(CHAR(10),TRUE,IF('Clarice'!$B$6:$B$300=$A549,"Clarice"&amp;IF('Clarice'!$E$6:$E$300="",""," : "&amp;'Clarice'!$E$6:$E$300)&amp;" ["&amp;'Clarice'!$F$6:$F$300&amp;"]",""),IF('Luisa'!$B$6:$B$300=$A549,"Luisa"&amp;IF('Luisa'!$E$6:$E$300="",""," : "&amp;'Luisa'!$E$6:$E$300)&amp;" ["&amp;'Luisa'!$F$6:$F$300&amp;"]",""),IF('Lui'!$B$6:$B$300=$A549,"Lui"&amp;IF('Lui'!$E$6:$E$300="",""," : "&amp;'Lui'!$E$6:$E$300)&amp;" ["&amp;'Lui'!$F$6:$F$300&amp;"]",""),IF('Thaís'!$B$6:$B$300=$A549,"Thaís"&amp;IF('Thaís'!$E$6:$E$300="",""," : "&amp;'Thaís'!$E$6:$E$300)&amp;" ["&amp;'Thaís'!$F$6:$F$300&amp;"]",""),IF('Daniel'!$B$6:$B$300=$A549,"Daniel"&amp;IF('Daniel'!$E$6:$E$300="",""," : "&amp;'Daniel'!$E$6:$E$300)&amp;" ["&amp;'Daniel'!$F$6:$F$300&amp;"]",""),IF('Fernando'!$B$6:$B$300=$A549,"Fernando"&amp;IF('Fernando'!$E$6:$E$300="",""," : "&amp;'Fernando'!$E$6:$E$300)&amp;" ["&amp;'Fernando'!$F$6:$F$300&amp;"]",""),IF('Stephanie'!$B$6:$B$300=$A549,"Stephanie"&amp;IF('Stephanie'!$E$6:$E$300="",""," : "&amp;'Stephanie'!$E$6:$E$300)&amp;" ["&amp;'Stephanie'!$F$6:$F$300&amp;"]",""),IF('Fox'!$B$6:$B$300=$A549,"Fox"&amp;IF('Fox'!$E$6:$E$300="",""," : "&amp;'Fox'!$E$6:$E$300)&amp;" ["&amp;'Fox'!$F$6:$F$300&amp;"]",""),IF('Bruna'!$B$6:$B$300=$A549,"Bruna"&amp;IF('Bruna'!$E$6:$E$300="",""," : "&amp;'Bruna'!$E$6:$E$300)&amp;" ["&amp;'Bruna'!$F$6:$F$300&amp;"]",""),IF('Stella'!$B$6:$B$300=$A549,"Stella"&amp;IF('Stella'!$E$6:$E$300="",""," : "&amp;'Stella'!$E$6:$E$300)&amp;" ["&amp;'Stella'!$F$6:$F$300&amp;"]",""),IF('Igor'!$B$6:$B$300=$A549,"Igor"&amp;IF('Igor'!$E$6:$E$300="",""," : "&amp;'Igor'!$E$6:$E$300)&amp;" ["&amp;'Igor'!$F$6:$F$300&amp;"]","")))</f>
        <v/>
      </c>
    </row>
    <row r="550">
      <c r="G550" s="23">
        <f>IF($A550="","",_xlfn.TEXTJOIN("; ",TRUE,IF(COUNTIF('Clarice'!$B$6:$B$300,$A550)&gt;0,"Clarice",""),IF(COUNTIF('Luisa'!$B$6:$B$300,$A550)&gt;0,"Luisa",""),IF(COUNTIF('Lui'!$B$6:$B$300,$A550)&gt;0,"Lui",""),IF(COUNTIF('Thaís'!$B$6:$B$300,$A550)&gt;0,"Thaís",""),IF(COUNTIF('Daniel'!$B$6:$B$300,$A550)&gt;0,"Daniel",""),IF(COUNTIF('Fernando'!$B$6:$B$300,$A550)&gt;0,"Fernando",""),IF(COUNTIF('Stephanie'!$B$6:$B$300,$A550)&gt;0,"Stephanie",""),IF(COUNTIF('Fox'!$B$6:$B$300,$A550)&gt;0,"Fox",""),IF(COUNTIF('Bruna'!$B$6:$B$300,$A550)&gt;0,"Bruna",""),IF(COUNTIF('Stella'!$B$6:$B$300,$A550)&gt;0,"Stella",""),IF(COUNTIF('Igor'!$B$6:$B$300,$A550)&gt;0,"Igor","")))</f>
        <v/>
      </c>
      <c r="J550" s="24">
        <f>IF(OR($A550="",(COUNTIF('Clarice'!$B$6:$B$300,$A550)+COUNTIF('Luisa'!$B$6:$B$300,$A550)+COUNTIF('Lui'!$B$6:$B$300,$A550)+COUNTIF('Thaís'!$B$6:$B$300,$A550)+COUNTIF('Daniel'!$B$6:$B$300,$A550)+COUNTIF('Fernando'!$B$6:$B$300,$A550)+COUNTIF('Stephanie'!$B$6:$B$300,$A550)+COUNTIF('Fox'!$B$6:$B$300,$A550)+COUNTIF('Bruna'!$B$6:$B$300,$A550)+COUNTIF('Stella'!$B$6:$B$300,$A550)+COUNTIF('Igor'!$B$6:$B$300,$A550))=0),"",(COUNTIFS('Clarice'!$B$6:$B$300,$A550,'Clarice'!$F$6:$F$300,"Concluído")+COUNTIFS('Luisa'!$B$6:$B$300,$A550,'Luisa'!$F$6:$F$300,"Concluído")+COUNTIFS('Lui'!$B$6:$B$300,$A550,'Lui'!$F$6:$F$300,"Concluído")+COUNTIFS('Thaís'!$B$6:$B$300,$A550,'Thaís'!$F$6:$F$300,"Concluído")+COUNTIFS('Daniel'!$B$6:$B$300,$A550,'Daniel'!$F$6:$F$300,"Concluído")+COUNTIFS('Fernando'!$B$6:$B$300,$A550,'Fernando'!$F$6:$F$300,"Concluído")+COUNTIFS('Stephanie'!$B$6:$B$300,$A550,'Stephanie'!$F$6:$F$300,"Concluído")+COUNTIFS('Fox'!$B$6:$B$300,$A550,'Fox'!$F$6:$F$300,"Concluído")+COUNTIFS('Bruna'!$B$6:$B$300,$A550,'Bruna'!$F$6:$F$300,"Concluído")+COUNTIFS('Stella'!$B$6:$B$300,$A550,'Stella'!$F$6:$F$300,"Concluído")+COUNTIFS('Igor'!$B$6:$B$300,$A550,'Igor'!$F$6:$F$300,"Concluído"))&amp;" / "&amp;(COUNTIF('Clarice'!$B$6:$B$300,$A550)+COUNTIF('Luisa'!$B$6:$B$300,$A550)+COUNTIF('Lui'!$B$6:$B$300,$A550)+COUNTIF('Thaís'!$B$6:$B$300,$A550)+COUNTIF('Daniel'!$B$6:$B$300,$A550)+COUNTIF('Fernando'!$B$6:$B$300,$A550)+COUNTIF('Stephanie'!$B$6:$B$300,$A550)+COUNTIF('Fox'!$B$6:$B$300,$A550)+COUNTIF('Bruna'!$B$6:$B$300,$A550)+COUNTIF('Stella'!$B$6:$B$300,$A550)+COUNTIF('Igor'!$B$6:$B$300,$A550)))</f>
        <v/>
      </c>
      <c r="P550" s="25">
        <f>IF($A550="","",IF(M550&lt;&gt;"",M550,IF(K550&lt;&gt;"",K550,"")))</f>
        <v/>
      </c>
      <c r="Q550" s="25">
        <f>IF($A550="","",IF(N550&lt;&gt;"",N550,IF(L550&lt;&gt;"",L550,"")))</f>
        <v/>
      </c>
      <c r="S550" s="23">
        <f t="array" ref="S550">IF($A550="","",_xlfn.TEXTJOIN(CHAR(10),TRUE,IF('Clarice'!$B$6:$B$300=$A550,"Clarice"&amp;IF('Clarice'!$E$6:$E$300="",""," : "&amp;'Clarice'!$E$6:$E$300)&amp;" ["&amp;'Clarice'!$F$6:$F$300&amp;"]",""),IF('Luisa'!$B$6:$B$300=$A550,"Luisa"&amp;IF('Luisa'!$E$6:$E$300="",""," : "&amp;'Luisa'!$E$6:$E$300)&amp;" ["&amp;'Luisa'!$F$6:$F$300&amp;"]",""),IF('Lui'!$B$6:$B$300=$A550,"Lui"&amp;IF('Lui'!$E$6:$E$300="",""," : "&amp;'Lui'!$E$6:$E$300)&amp;" ["&amp;'Lui'!$F$6:$F$300&amp;"]",""),IF('Thaís'!$B$6:$B$300=$A550,"Thaís"&amp;IF('Thaís'!$E$6:$E$300="",""," : "&amp;'Thaís'!$E$6:$E$300)&amp;" ["&amp;'Thaís'!$F$6:$F$300&amp;"]",""),IF('Daniel'!$B$6:$B$300=$A550,"Daniel"&amp;IF('Daniel'!$E$6:$E$300="",""," : "&amp;'Daniel'!$E$6:$E$300)&amp;" ["&amp;'Daniel'!$F$6:$F$300&amp;"]",""),IF('Fernando'!$B$6:$B$300=$A550,"Fernando"&amp;IF('Fernando'!$E$6:$E$300="",""," : "&amp;'Fernando'!$E$6:$E$300)&amp;" ["&amp;'Fernando'!$F$6:$F$300&amp;"]",""),IF('Stephanie'!$B$6:$B$300=$A550,"Stephanie"&amp;IF('Stephanie'!$E$6:$E$300="",""," : "&amp;'Stephanie'!$E$6:$E$300)&amp;" ["&amp;'Stephanie'!$F$6:$F$300&amp;"]",""),IF('Fox'!$B$6:$B$300=$A550,"Fox"&amp;IF('Fox'!$E$6:$E$300="",""," : "&amp;'Fox'!$E$6:$E$300)&amp;" ["&amp;'Fox'!$F$6:$F$300&amp;"]",""),IF('Bruna'!$B$6:$B$300=$A550,"Bruna"&amp;IF('Bruna'!$E$6:$E$300="",""," : "&amp;'Bruna'!$E$6:$E$300)&amp;" ["&amp;'Bruna'!$F$6:$F$300&amp;"]",""),IF('Stella'!$B$6:$B$300=$A550,"Stella"&amp;IF('Stella'!$E$6:$E$300="",""," : "&amp;'Stella'!$E$6:$E$300)&amp;" ["&amp;'Stella'!$F$6:$F$300&amp;"]",""),IF('Igor'!$B$6:$B$300=$A550,"Igor"&amp;IF('Igor'!$E$6:$E$300="",""," : "&amp;'Igor'!$E$6:$E$300)&amp;" ["&amp;'Igor'!$F$6:$F$300&amp;"]","")))</f>
        <v/>
      </c>
    </row>
    <row r="551">
      <c r="G551" s="23">
        <f>IF($A551="","",_xlfn.TEXTJOIN("; ",TRUE,IF(COUNTIF('Clarice'!$B$6:$B$300,$A551)&gt;0,"Clarice",""),IF(COUNTIF('Luisa'!$B$6:$B$300,$A551)&gt;0,"Luisa",""),IF(COUNTIF('Lui'!$B$6:$B$300,$A551)&gt;0,"Lui",""),IF(COUNTIF('Thaís'!$B$6:$B$300,$A551)&gt;0,"Thaís",""),IF(COUNTIF('Daniel'!$B$6:$B$300,$A551)&gt;0,"Daniel",""),IF(COUNTIF('Fernando'!$B$6:$B$300,$A551)&gt;0,"Fernando",""),IF(COUNTIF('Stephanie'!$B$6:$B$300,$A551)&gt;0,"Stephanie",""),IF(COUNTIF('Fox'!$B$6:$B$300,$A551)&gt;0,"Fox",""),IF(COUNTIF('Bruna'!$B$6:$B$300,$A551)&gt;0,"Bruna",""),IF(COUNTIF('Stella'!$B$6:$B$300,$A551)&gt;0,"Stella",""),IF(COUNTIF('Igor'!$B$6:$B$300,$A551)&gt;0,"Igor","")))</f>
        <v/>
      </c>
      <c r="J551" s="24">
        <f>IF(OR($A551="",(COUNTIF('Clarice'!$B$6:$B$300,$A551)+COUNTIF('Luisa'!$B$6:$B$300,$A551)+COUNTIF('Lui'!$B$6:$B$300,$A551)+COUNTIF('Thaís'!$B$6:$B$300,$A551)+COUNTIF('Daniel'!$B$6:$B$300,$A551)+COUNTIF('Fernando'!$B$6:$B$300,$A551)+COUNTIF('Stephanie'!$B$6:$B$300,$A551)+COUNTIF('Fox'!$B$6:$B$300,$A551)+COUNTIF('Bruna'!$B$6:$B$300,$A551)+COUNTIF('Stella'!$B$6:$B$300,$A551)+COUNTIF('Igor'!$B$6:$B$300,$A551))=0),"",(COUNTIFS('Clarice'!$B$6:$B$300,$A551,'Clarice'!$F$6:$F$300,"Concluído")+COUNTIFS('Luisa'!$B$6:$B$300,$A551,'Luisa'!$F$6:$F$300,"Concluído")+COUNTIFS('Lui'!$B$6:$B$300,$A551,'Lui'!$F$6:$F$300,"Concluído")+COUNTIFS('Thaís'!$B$6:$B$300,$A551,'Thaís'!$F$6:$F$300,"Concluído")+COUNTIFS('Daniel'!$B$6:$B$300,$A551,'Daniel'!$F$6:$F$300,"Concluído")+COUNTIFS('Fernando'!$B$6:$B$300,$A551,'Fernando'!$F$6:$F$300,"Concluído")+COUNTIFS('Stephanie'!$B$6:$B$300,$A551,'Stephanie'!$F$6:$F$300,"Concluído")+COUNTIFS('Fox'!$B$6:$B$300,$A551,'Fox'!$F$6:$F$300,"Concluído")+COUNTIFS('Bruna'!$B$6:$B$300,$A551,'Bruna'!$F$6:$F$300,"Concluído")+COUNTIFS('Stella'!$B$6:$B$300,$A551,'Stella'!$F$6:$F$300,"Concluído")+COUNTIFS('Igor'!$B$6:$B$300,$A551,'Igor'!$F$6:$F$300,"Concluído"))&amp;" / "&amp;(COUNTIF('Clarice'!$B$6:$B$300,$A551)+COUNTIF('Luisa'!$B$6:$B$300,$A551)+COUNTIF('Lui'!$B$6:$B$300,$A551)+COUNTIF('Thaís'!$B$6:$B$300,$A551)+COUNTIF('Daniel'!$B$6:$B$300,$A551)+COUNTIF('Fernando'!$B$6:$B$300,$A551)+COUNTIF('Stephanie'!$B$6:$B$300,$A551)+COUNTIF('Fox'!$B$6:$B$300,$A551)+COUNTIF('Bruna'!$B$6:$B$300,$A551)+COUNTIF('Stella'!$B$6:$B$300,$A551)+COUNTIF('Igor'!$B$6:$B$300,$A551)))</f>
        <v/>
      </c>
      <c r="P551" s="25">
        <f>IF($A551="","",IF(M551&lt;&gt;"",M551,IF(K551&lt;&gt;"",K551,"")))</f>
        <v/>
      </c>
      <c r="Q551" s="25">
        <f>IF($A551="","",IF(N551&lt;&gt;"",N551,IF(L551&lt;&gt;"",L551,"")))</f>
        <v/>
      </c>
      <c r="S551" s="23">
        <f t="array" ref="S551">IF($A551="","",_xlfn.TEXTJOIN(CHAR(10),TRUE,IF('Clarice'!$B$6:$B$300=$A551,"Clarice"&amp;IF('Clarice'!$E$6:$E$300="",""," : "&amp;'Clarice'!$E$6:$E$300)&amp;" ["&amp;'Clarice'!$F$6:$F$300&amp;"]",""),IF('Luisa'!$B$6:$B$300=$A551,"Luisa"&amp;IF('Luisa'!$E$6:$E$300="",""," : "&amp;'Luisa'!$E$6:$E$300)&amp;" ["&amp;'Luisa'!$F$6:$F$300&amp;"]",""),IF('Lui'!$B$6:$B$300=$A551,"Lui"&amp;IF('Lui'!$E$6:$E$300="",""," : "&amp;'Lui'!$E$6:$E$300)&amp;" ["&amp;'Lui'!$F$6:$F$300&amp;"]",""),IF('Thaís'!$B$6:$B$300=$A551,"Thaís"&amp;IF('Thaís'!$E$6:$E$300="",""," : "&amp;'Thaís'!$E$6:$E$300)&amp;" ["&amp;'Thaís'!$F$6:$F$300&amp;"]",""),IF('Daniel'!$B$6:$B$300=$A551,"Daniel"&amp;IF('Daniel'!$E$6:$E$300="",""," : "&amp;'Daniel'!$E$6:$E$300)&amp;" ["&amp;'Daniel'!$F$6:$F$300&amp;"]",""),IF('Fernando'!$B$6:$B$300=$A551,"Fernando"&amp;IF('Fernando'!$E$6:$E$300="",""," : "&amp;'Fernando'!$E$6:$E$300)&amp;" ["&amp;'Fernando'!$F$6:$F$300&amp;"]",""),IF('Stephanie'!$B$6:$B$300=$A551,"Stephanie"&amp;IF('Stephanie'!$E$6:$E$300="",""," : "&amp;'Stephanie'!$E$6:$E$300)&amp;" ["&amp;'Stephanie'!$F$6:$F$300&amp;"]",""),IF('Fox'!$B$6:$B$300=$A551,"Fox"&amp;IF('Fox'!$E$6:$E$300="",""," : "&amp;'Fox'!$E$6:$E$300)&amp;" ["&amp;'Fox'!$F$6:$F$300&amp;"]",""),IF('Bruna'!$B$6:$B$300=$A551,"Bruna"&amp;IF('Bruna'!$E$6:$E$300="",""," : "&amp;'Bruna'!$E$6:$E$300)&amp;" ["&amp;'Bruna'!$F$6:$F$300&amp;"]",""),IF('Stella'!$B$6:$B$300=$A551,"Stella"&amp;IF('Stella'!$E$6:$E$300="",""," : "&amp;'Stella'!$E$6:$E$300)&amp;" ["&amp;'Stella'!$F$6:$F$300&amp;"]",""),IF('Igor'!$B$6:$B$300=$A551,"Igor"&amp;IF('Igor'!$E$6:$E$300="",""," : "&amp;'Igor'!$E$6:$E$300)&amp;" ["&amp;'Igor'!$F$6:$F$300&amp;"]","")))</f>
        <v/>
      </c>
    </row>
    <row r="552">
      <c r="G552" s="23">
        <f>IF($A552="","",_xlfn.TEXTJOIN("; ",TRUE,IF(COUNTIF('Clarice'!$B$6:$B$300,$A552)&gt;0,"Clarice",""),IF(COUNTIF('Luisa'!$B$6:$B$300,$A552)&gt;0,"Luisa",""),IF(COUNTIF('Lui'!$B$6:$B$300,$A552)&gt;0,"Lui",""),IF(COUNTIF('Thaís'!$B$6:$B$300,$A552)&gt;0,"Thaís",""),IF(COUNTIF('Daniel'!$B$6:$B$300,$A552)&gt;0,"Daniel",""),IF(COUNTIF('Fernando'!$B$6:$B$300,$A552)&gt;0,"Fernando",""),IF(COUNTIF('Stephanie'!$B$6:$B$300,$A552)&gt;0,"Stephanie",""),IF(COUNTIF('Fox'!$B$6:$B$300,$A552)&gt;0,"Fox",""),IF(COUNTIF('Bruna'!$B$6:$B$300,$A552)&gt;0,"Bruna",""),IF(COUNTIF('Stella'!$B$6:$B$300,$A552)&gt;0,"Stella",""),IF(COUNTIF('Igor'!$B$6:$B$300,$A552)&gt;0,"Igor","")))</f>
        <v/>
      </c>
      <c r="J552" s="24">
        <f>IF(OR($A552="",(COUNTIF('Clarice'!$B$6:$B$300,$A552)+COUNTIF('Luisa'!$B$6:$B$300,$A552)+COUNTIF('Lui'!$B$6:$B$300,$A552)+COUNTIF('Thaís'!$B$6:$B$300,$A552)+COUNTIF('Daniel'!$B$6:$B$300,$A552)+COUNTIF('Fernando'!$B$6:$B$300,$A552)+COUNTIF('Stephanie'!$B$6:$B$300,$A552)+COUNTIF('Fox'!$B$6:$B$300,$A552)+COUNTIF('Bruna'!$B$6:$B$300,$A552)+COUNTIF('Stella'!$B$6:$B$300,$A552)+COUNTIF('Igor'!$B$6:$B$300,$A552))=0),"",(COUNTIFS('Clarice'!$B$6:$B$300,$A552,'Clarice'!$F$6:$F$300,"Concluído")+COUNTIFS('Luisa'!$B$6:$B$300,$A552,'Luisa'!$F$6:$F$300,"Concluído")+COUNTIFS('Lui'!$B$6:$B$300,$A552,'Lui'!$F$6:$F$300,"Concluído")+COUNTIFS('Thaís'!$B$6:$B$300,$A552,'Thaís'!$F$6:$F$300,"Concluído")+COUNTIFS('Daniel'!$B$6:$B$300,$A552,'Daniel'!$F$6:$F$300,"Concluído")+COUNTIFS('Fernando'!$B$6:$B$300,$A552,'Fernando'!$F$6:$F$300,"Concluído")+COUNTIFS('Stephanie'!$B$6:$B$300,$A552,'Stephanie'!$F$6:$F$300,"Concluído")+COUNTIFS('Fox'!$B$6:$B$300,$A552,'Fox'!$F$6:$F$300,"Concluído")+COUNTIFS('Bruna'!$B$6:$B$300,$A552,'Bruna'!$F$6:$F$300,"Concluído")+COUNTIFS('Stella'!$B$6:$B$300,$A552,'Stella'!$F$6:$F$300,"Concluído")+COUNTIFS('Igor'!$B$6:$B$300,$A552,'Igor'!$F$6:$F$300,"Concluído"))&amp;" / "&amp;(COUNTIF('Clarice'!$B$6:$B$300,$A552)+COUNTIF('Luisa'!$B$6:$B$300,$A552)+COUNTIF('Lui'!$B$6:$B$300,$A552)+COUNTIF('Thaís'!$B$6:$B$300,$A552)+COUNTIF('Daniel'!$B$6:$B$300,$A552)+COUNTIF('Fernando'!$B$6:$B$300,$A552)+COUNTIF('Stephanie'!$B$6:$B$300,$A552)+COUNTIF('Fox'!$B$6:$B$300,$A552)+COUNTIF('Bruna'!$B$6:$B$300,$A552)+COUNTIF('Stella'!$B$6:$B$300,$A552)+COUNTIF('Igor'!$B$6:$B$300,$A552)))</f>
        <v/>
      </c>
      <c r="P552" s="25">
        <f>IF($A552="","",IF(M552&lt;&gt;"",M552,IF(K552&lt;&gt;"",K552,"")))</f>
        <v/>
      </c>
      <c r="Q552" s="25">
        <f>IF($A552="","",IF(N552&lt;&gt;"",N552,IF(L552&lt;&gt;"",L552,"")))</f>
        <v/>
      </c>
      <c r="S552" s="23">
        <f t="array" ref="S552">IF($A552="","",_xlfn.TEXTJOIN(CHAR(10),TRUE,IF('Clarice'!$B$6:$B$300=$A552,"Clarice"&amp;IF('Clarice'!$E$6:$E$300="",""," : "&amp;'Clarice'!$E$6:$E$300)&amp;" ["&amp;'Clarice'!$F$6:$F$300&amp;"]",""),IF('Luisa'!$B$6:$B$300=$A552,"Luisa"&amp;IF('Luisa'!$E$6:$E$300="",""," : "&amp;'Luisa'!$E$6:$E$300)&amp;" ["&amp;'Luisa'!$F$6:$F$300&amp;"]",""),IF('Lui'!$B$6:$B$300=$A552,"Lui"&amp;IF('Lui'!$E$6:$E$300="",""," : "&amp;'Lui'!$E$6:$E$300)&amp;" ["&amp;'Lui'!$F$6:$F$300&amp;"]",""),IF('Thaís'!$B$6:$B$300=$A552,"Thaís"&amp;IF('Thaís'!$E$6:$E$300="",""," : "&amp;'Thaís'!$E$6:$E$300)&amp;" ["&amp;'Thaís'!$F$6:$F$300&amp;"]",""),IF('Daniel'!$B$6:$B$300=$A552,"Daniel"&amp;IF('Daniel'!$E$6:$E$300="",""," : "&amp;'Daniel'!$E$6:$E$300)&amp;" ["&amp;'Daniel'!$F$6:$F$300&amp;"]",""),IF('Fernando'!$B$6:$B$300=$A552,"Fernando"&amp;IF('Fernando'!$E$6:$E$300="",""," : "&amp;'Fernando'!$E$6:$E$300)&amp;" ["&amp;'Fernando'!$F$6:$F$300&amp;"]",""),IF('Stephanie'!$B$6:$B$300=$A552,"Stephanie"&amp;IF('Stephanie'!$E$6:$E$300="",""," : "&amp;'Stephanie'!$E$6:$E$300)&amp;" ["&amp;'Stephanie'!$F$6:$F$300&amp;"]",""),IF('Fox'!$B$6:$B$300=$A552,"Fox"&amp;IF('Fox'!$E$6:$E$300="",""," : "&amp;'Fox'!$E$6:$E$300)&amp;" ["&amp;'Fox'!$F$6:$F$300&amp;"]",""),IF('Bruna'!$B$6:$B$300=$A552,"Bruna"&amp;IF('Bruna'!$E$6:$E$300="",""," : "&amp;'Bruna'!$E$6:$E$300)&amp;" ["&amp;'Bruna'!$F$6:$F$300&amp;"]",""),IF('Stella'!$B$6:$B$300=$A552,"Stella"&amp;IF('Stella'!$E$6:$E$300="",""," : "&amp;'Stella'!$E$6:$E$300)&amp;" ["&amp;'Stella'!$F$6:$F$300&amp;"]",""),IF('Igor'!$B$6:$B$300=$A552,"Igor"&amp;IF('Igor'!$E$6:$E$300="",""," : "&amp;'Igor'!$E$6:$E$300)&amp;" ["&amp;'Igor'!$F$6:$F$300&amp;"]","")))</f>
        <v/>
      </c>
    </row>
    <row r="553">
      <c r="G553" s="23">
        <f>IF($A553="","",_xlfn.TEXTJOIN("; ",TRUE,IF(COUNTIF('Clarice'!$B$6:$B$300,$A553)&gt;0,"Clarice",""),IF(COUNTIF('Luisa'!$B$6:$B$300,$A553)&gt;0,"Luisa",""),IF(COUNTIF('Lui'!$B$6:$B$300,$A553)&gt;0,"Lui",""),IF(COUNTIF('Thaís'!$B$6:$B$300,$A553)&gt;0,"Thaís",""),IF(COUNTIF('Daniel'!$B$6:$B$300,$A553)&gt;0,"Daniel",""),IF(COUNTIF('Fernando'!$B$6:$B$300,$A553)&gt;0,"Fernando",""),IF(COUNTIF('Stephanie'!$B$6:$B$300,$A553)&gt;0,"Stephanie",""),IF(COUNTIF('Fox'!$B$6:$B$300,$A553)&gt;0,"Fox",""),IF(COUNTIF('Bruna'!$B$6:$B$300,$A553)&gt;0,"Bruna",""),IF(COUNTIF('Stella'!$B$6:$B$300,$A553)&gt;0,"Stella",""),IF(COUNTIF('Igor'!$B$6:$B$300,$A553)&gt;0,"Igor","")))</f>
        <v/>
      </c>
      <c r="J553" s="24">
        <f>IF(OR($A553="",(COUNTIF('Clarice'!$B$6:$B$300,$A553)+COUNTIF('Luisa'!$B$6:$B$300,$A553)+COUNTIF('Lui'!$B$6:$B$300,$A553)+COUNTIF('Thaís'!$B$6:$B$300,$A553)+COUNTIF('Daniel'!$B$6:$B$300,$A553)+COUNTIF('Fernando'!$B$6:$B$300,$A553)+COUNTIF('Stephanie'!$B$6:$B$300,$A553)+COUNTIF('Fox'!$B$6:$B$300,$A553)+COUNTIF('Bruna'!$B$6:$B$300,$A553)+COUNTIF('Stella'!$B$6:$B$300,$A553)+COUNTIF('Igor'!$B$6:$B$300,$A553))=0),"",(COUNTIFS('Clarice'!$B$6:$B$300,$A553,'Clarice'!$F$6:$F$300,"Concluído")+COUNTIFS('Luisa'!$B$6:$B$300,$A553,'Luisa'!$F$6:$F$300,"Concluído")+COUNTIFS('Lui'!$B$6:$B$300,$A553,'Lui'!$F$6:$F$300,"Concluído")+COUNTIFS('Thaís'!$B$6:$B$300,$A553,'Thaís'!$F$6:$F$300,"Concluído")+COUNTIFS('Daniel'!$B$6:$B$300,$A553,'Daniel'!$F$6:$F$300,"Concluído")+COUNTIFS('Fernando'!$B$6:$B$300,$A553,'Fernando'!$F$6:$F$300,"Concluído")+COUNTIFS('Stephanie'!$B$6:$B$300,$A553,'Stephanie'!$F$6:$F$300,"Concluído")+COUNTIFS('Fox'!$B$6:$B$300,$A553,'Fox'!$F$6:$F$300,"Concluído")+COUNTIFS('Bruna'!$B$6:$B$300,$A553,'Bruna'!$F$6:$F$300,"Concluído")+COUNTIFS('Stella'!$B$6:$B$300,$A553,'Stella'!$F$6:$F$300,"Concluído")+COUNTIFS('Igor'!$B$6:$B$300,$A553,'Igor'!$F$6:$F$300,"Concluído"))&amp;" / "&amp;(COUNTIF('Clarice'!$B$6:$B$300,$A553)+COUNTIF('Luisa'!$B$6:$B$300,$A553)+COUNTIF('Lui'!$B$6:$B$300,$A553)+COUNTIF('Thaís'!$B$6:$B$300,$A553)+COUNTIF('Daniel'!$B$6:$B$300,$A553)+COUNTIF('Fernando'!$B$6:$B$300,$A553)+COUNTIF('Stephanie'!$B$6:$B$300,$A553)+COUNTIF('Fox'!$B$6:$B$300,$A553)+COUNTIF('Bruna'!$B$6:$B$300,$A553)+COUNTIF('Stella'!$B$6:$B$300,$A553)+COUNTIF('Igor'!$B$6:$B$300,$A553)))</f>
        <v/>
      </c>
      <c r="P553" s="25">
        <f>IF($A553="","",IF(M553&lt;&gt;"",M553,IF(K553&lt;&gt;"",K553,"")))</f>
        <v/>
      </c>
      <c r="Q553" s="25">
        <f>IF($A553="","",IF(N553&lt;&gt;"",N553,IF(L553&lt;&gt;"",L553,"")))</f>
        <v/>
      </c>
      <c r="S553" s="23">
        <f t="array" ref="S553">IF($A553="","",_xlfn.TEXTJOIN(CHAR(10),TRUE,IF('Clarice'!$B$6:$B$300=$A553,"Clarice"&amp;IF('Clarice'!$E$6:$E$300="",""," : "&amp;'Clarice'!$E$6:$E$300)&amp;" ["&amp;'Clarice'!$F$6:$F$300&amp;"]",""),IF('Luisa'!$B$6:$B$300=$A553,"Luisa"&amp;IF('Luisa'!$E$6:$E$300="",""," : "&amp;'Luisa'!$E$6:$E$300)&amp;" ["&amp;'Luisa'!$F$6:$F$300&amp;"]",""),IF('Lui'!$B$6:$B$300=$A553,"Lui"&amp;IF('Lui'!$E$6:$E$300="",""," : "&amp;'Lui'!$E$6:$E$300)&amp;" ["&amp;'Lui'!$F$6:$F$300&amp;"]",""),IF('Thaís'!$B$6:$B$300=$A553,"Thaís"&amp;IF('Thaís'!$E$6:$E$300="",""," : "&amp;'Thaís'!$E$6:$E$300)&amp;" ["&amp;'Thaís'!$F$6:$F$300&amp;"]",""),IF('Daniel'!$B$6:$B$300=$A553,"Daniel"&amp;IF('Daniel'!$E$6:$E$300="",""," : "&amp;'Daniel'!$E$6:$E$300)&amp;" ["&amp;'Daniel'!$F$6:$F$300&amp;"]",""),IF('Fernando'!$B$6:$B$300=$A553,"Fernando"&amp;IF('Fernando'!$E$6:$E$300="",""," : "&amp;'Fernando'!$E$6:$E$300)&amp;" ["&amp;'Fernando'!$F$6:$F$300&amp;"]",""),IF('Stephanie'!$B$6:$B$300=$A553,"Stephanie"&amp;IF('Stephanie'!$E$6:$E$300="",""," : "&amp;'Stephanie'!$E$6:$E$300)&amp;" ["&amp;'Stephanie'!$F$6:$F$300&amp;"]",""),IF('Fox'!$B$6:$B$300=$A553,"Fox"&amp;IF('Fox'!$E$6:$E$300="",""," : "&amp;'Fox'!$E$6:$E$300)&amp;" ["&amp;'Fox'!$F$6:$F$300&amp;"]",""),IF('Bruna'!$B$6:$B$300=$A553,"Bruna"&amp;IF('Bruna'!$E$6:$E$300="",""," : "&amp;'Bruna'!$E$6:$E$300)&amp;" ["&amp;'Bruna'!$F$6:$F$300&amp;"]",""),IF('Stella'!$B$6:$B$300=$A553,"Stella"&amp;IF('Stella'!$E$6:$E$300="",""," : "&amp;'Stella'!$E$6:$E$300)&amp;" ["&amp;'Stella'!$F$6:$F$300&amp;"]",""),IF('Igor'!$B$6:$B$300=$A553,"Igor"&amp;IF('Igor'!$E$6:$E$300="",""," : "&amp;'Igor'!$E$6:$E$300)&amp;" ["&amp;'Igor'!$F$6:$F$300&amp;"]","")))</f>
        <v/>
      </c>
    </row>
    <row r="554">
      <c r="G554" s="23">
        <f>IF($A554="","",_xlfn.TEXTJOIN("; ",TRUE,IF(COUNTIF('Clarice'!$B$6:$B$300,$A554)&gt;0,"Clarice",""),IF(COUNTIF('Luisa'!$B$6:$B$300,$A554)&gt;0,"Luisa",""),IF(COUNTIF('Lui'!$B$6:$B$300,$A554)&gt;0,"Lui",""),IF(COUNTIF('Thaís'!$B$6:$B$300,$A554)&gt;0,"Thaís",""),IF(COUNTIF('Daniel'!$B$6:$B$300,$A554)&gt;0,"Daniel",""),IF(COUNTIF('Fernando'!$B$6:$B$300,$A554)&gt;0,"Fernando",""),IF(COUNTIF('Stephanie'!$B$6:$B$300,$A554)&gt;0,"Stephanie",""),IF(COUNTIF('Fox'!$B$6:$B$300,$A554)&gt;0,"Fox",""),IF(COUNTIF('Bruna'!$B$6:$B$300,$A554)&gt;0,"Bruna",""),IF(COUNTIF('Stella'!$B$6:$B$300,$A554)&gt;0,"Stella",""),IF(COUNTIF('Igor'!$B$6:$B$300,$A554)&gt;0,"Igor","")))</f>
        <v/>
      </c>
      <c r="J554" s="24">
        <f>IF(OR($A554="",(COUNTIF('Clarice'!$B$6:$B$300,$A554)+COUNTIF('Luisa'!$B$6:$B$300,$A554)+COUNTIF('Lui'!$B$6:$B$300,$A554)+COUNTIF('Thaís'!$B$6:$B$300,$A554)+COUNTIF('Daniel'!$B$6:$B$300,$A554)+COUNTIF('Fernando'!$B$6:$B$300,$A554)+COUNTIF('Stephanie'!$B$6:$B$300,$A554)+COUNTIF('Fox'!$B$6:$B$300,$A554)+COUNTIF('Bruna'!$B$6:$B$300,$A554)+COUNTIF('Stella'!$B$6:$B$300,$A554)+COUNTIF('Igor'!$B$6:$B$300,$A554))=0),"",(COUNTIFS('Clarice'!$B$6:$B$300,$A554,'Clarice'!$F$6:$F$300,"Concluído")+COUNTIFS('Luisa'!$B$6:$B$300,$A554,'Luisa'!$F$6:$F$300,"Concluído")+COUNTIFS('Lui'!$B$6:$B$300,$A554,'Lui'!$F$6:$F$300,"Concluído")+COUNTIFS('Thaís'!$B$6:$B$300,$A554,'Thaís'!$F$6:$F$300,"Concluído")+COUNTIFS('Daniel'!$B$6:$B$300,$A554,'Daniel'!$F$6:$F$300,"Concluído")+COUNTIFS('Fernando'!$B$6:$B$300,$A554,'Fernando'!$F$6:$F$300,"Concluído")+COUNTIFS('Stephanie'!$B$6:$B$300,$A554,'Stephanie'!$F$6:$F$300,"Concluído")+COUNTIFS('Fox'!$B$6:$B$300,$A554,'Fox'!$F$6:$F$300,"Concluído")+COUNTIFS('Bruna'!$B$6:$B$300,$A554,'Bruna'!$F$6:$F$300,"Concluído")+COUNTIFS('Stella'!$B$6:$B$300,$A554,'Stella'!$F$6:$F$300,"Concluído")+COUNTIFS('Igor'!$B$6:$B$300,$A554,'Igor'!$F$6:$F$300,"Concluído"))&amp;" / "&amp;(COUNTIF('Clarice'!$B$6:$B$300,$A554)+COUNTIF('Luisa'!$B$6:$B$300,$A554)+COUNTIF('Lui'!$B$6:$B$300,$A554)+COUNTIF('Thaís'!$B$6:$B$300,$A554)+COUNTIF('Daniel'!$B$6:$B$300,$A554)+COUNTIF('Fernando'!$B$6:$B$300,$A554)+COUNTIF('Stephanie'!$B$6:$B$300,$A554)+COUNTIF('Fox'!$B$6:$B$300,$A554)+COUNTIF('Bruna'!$B$6:$B$300,$A554)+COUNTIF('Stella'!$B$6:$B$300,$A554)+COUNTIF('Igor'!$B$6:$B$300,$A554)))</f>
        <v/>
      </c>
      <c r="P554" s="25">
        <f>IF($A554="","",IF(M554&lt;&gt;"",M554,IF(K554&lt;&gt;"",K554,"")))</f>
        <v/>
      </c>
      <c r="Q554" s="25">
        <f>IF($A554="","",IF(N554&lt;&gt;"",N554,IF(L554&lt;&gt;"",L554,"")))</f>
        <v/>
      </c>
      <c r="S554" s="23">
        <f t="array" ref="S554">IF($A554="","",_xlfn.TEXTJOIN(CHAR(10),TRUE,IF('Clarice'!$B$6:$B$300=$A554,"Clarice"&amp;IF('Clarice'!$E$6:$E$300="",""," : "&amp;'Clarice'!$E$6:$E$300)&amp;" ["&amp;'Clarice'!$F$6:$F$300&amp;"]",""),IF('Luisa'!$B$6:$B$300=$A554,"Luisa"&amp;IF('Luisa'!$E$6:$E$300="",""," : "&amp;'Luisa'!$E$6:$E$300)&amp;" ["&amp;'Luisa'!$F$6:$F$300&amp;"]",""),IF('Lui'!$B$6:$B$300=$A554,"Lui"&amp;IF('Lui'!$E$6:$E$300="",""," : "&amp;'Lui'!$E$6:$E$300)&amp;" ["&amp;'Lui'!$F$6:$F$300&amp;"]",""),IF('Thaís'!$B$6:$B$300=$A554,"Thaís"&amp;IF('Thaís'!$E$6:$E$300="",""," : "&amp;'Thaís'!$E$6:$E$300)&amp;" ["&amp;'Thaís'!$F$6:$F$300&amp;"]",""),IF('Daniel'!$B$6:$B$300=$A554,"Daniel"&amp;IF('Daniel'!$E$6:$E$300="",""," : "&amp;'Daniel'!$E$6:$E$300)&amp;" ["&amp;'Daniel'!$F$6:$F$300&amp;"]",""),IF('Fernando'!$B$6:$B$300=$A554,"Fernando"&amp;IF('Fernando'!$E$6:$E$300="",""," : "&amp;'Fernando'!$E$6:$E$300)&amp;" ["&amp;'Fernando'!$F$6:$F$300&amp;"]",""),IF('Stephanie'!$B$6:$B$300=$A554,"Stephanie"&amp;IF('Stephanie'!$E$6:$E$300="",""," : "&amp;'Stephanie'!$E$6:$E$300)&amp;" ["&amp;'Stephanie'!$F$6:$F$300&amp;"]",""),IF('Fox'!$B$6:$B$300=$A554,"Fox"&amp;IF('Fox'!$E$6:$E$300="",""," : "&amp;'Fox'!$E$6:$E$300)&amp;" ["&amp;'Fox'!$F$6:$F$300&amp;"]",""),IF('Bruna'!$B$6:$B$300=$A554,"Bruna"&amp;IF('Bruna'!$E$6:$E$300="",""," : "&amp;'Bruna'!$E$6:$E$300)&amp;" ["&amp;'Bruna'!$F$6:$F$300&amp;"]",""),IF('Stella'!$B$6:$B$300=$A554,"Stella"&amp;IF('Stella'!$E$6:$E$300="",""," : "&amp;'Stella'!$E$6:$E$300)&amp;" ["&amp;'Stella'!$F$6:$F$300&amp;"]",""),IF('Igor'!$B$6:$B$300=$A554,"Igor"&amp;IF('Igor'!$E$6:$E$300="",""," : "&amp;'Igor'!$E$6:$E$300)&amp;" ["&amp;'Igor'!$F$6:$F$300&amp;"]","")))</f>
        <v/>
      </c>
    </row>
    <row r="555">
      <c r="G555" s="23">
        <f>IF($A555="","",_xlfn.TEXTJOIN("; ",TRUE,IF(COUNTIF('Clarice'!$B$6:$B$300,$A555)&gt;0,"Clarice",""),IF(COUNTIF('Luisa'!$B$6:$B$300,$A555)&gt;0,"Luisa",""),IF(COUNTIF('Lui'!$B$6:$B$300,$A555)&gt;0,"Lui",""),IF(COUNTIF('Thaís'!$B$6:$B$300,$A555)&gt;0,"Thaís",""),IF(COUNTIF('Daniel'!$B$6:$B$300,$A555)&gt;0,"Daniel",""),IF(COUNTIF('Fernando'!$B$6:$B$300,$A555)&gt;0,"Fernando",""),IF(COUNTIF('Stephanie'!$B$6:$B$300,$A555)&gt;0,"Stephanie",""),IF(COUNTIF('Fox'!$B$6:$B$300,$A555)&gt;0,"Fox",""),IF(COUNTIF('Bruna'!$B$6:$B$300,$A555)&gt;0,"Bruna",""),IF(COUNTIF('Stella'!$B$6:$B$300,$A555)&gt;0,"Stella",""),IF(COUNTIF('Igor'!$B$6:$B$300,$A555)&gt;0,"Igor","")))</f>
        <v/>
      </c>
      <c r="J555" s="24">
        <f>IF(OR($A555="",(COUNTIF('Clarice'!$B$6:$B$300,$A555)+COUNTIF('Luisa'!$B$6:$B$300,$A555)+COUNTIF('Lui'!$B$6:$B$300,$A555)+COUNTIF('Thaís'!$B$6:$B$300,$A555)+COUNTIF('Daniel'!$B$6:$B$300,$A555)+COUNTIF('Fernando'!$B$6:$B$300,$A555)+COUNTIF('Stephanie'!$B$6:$B$300,$A555)+COUNTIF('Fox'!$B$6:$B$300,$A555)+COUNTIF('Bruna'!$B$6:$B$300,$A555)+COUNTIF('Stella'!$B$6:$B$300,$A555)+COUNTIF('Igor'!$B$6:$B$300,$A555))=0),"",(COUNTIFS('Clarice'!$B$6:$B$300,$A555,'Clarice'!$F$6:$F$300,"Concluído")+COUNTIFS('Luisa'!$B$6:$B$300,$A555,'Luisa'!$F$6:$F$300,"Concluído")+COUNTIFS('Lui'!$B$6:$B$300,$A555,'Lui'!$F$6:$F$300,"Concluído")+COUNTIFS('Thaís'!$B$6:$B$300,$A555,'Thaís'!$F$6:$F$300,"Concluído")+COUNTIFS('Daniel'!$B$6:$B$300,$A555,'Daniel'!$F$6:$F$300,"Concluído")+COUNTIFS('Fernando'!$B$6:$B$300,$A555,'Fernando'!$F$6:$F$300,"Concluído")+COUNTIFS('Stephanie'!$B$6:$B$300,$A555,'Stephanie'!$F$6:$F$300,"Concluído")+COUNTIFS('Fox'!$B$6:$B$300,$A555,'Fox'!$F$6:$F$300,"Concluído")+COUNTIFS('Bruna'!$B$6:$B$300,$A555,'Bruna'!$F$6:$F$300,"Concluído")+COUNTIFS('Stella'!$B$6:$B$300,$A555,'Stella'!$F$6:$F$300,"Concluído")+COUNTIFS('Igor'!$B$6:$B$300,$A555,'Igor'!$F$6:$F$300,"Concluído"))&amp;" / "&amp;(COUNTIF('Clarice'!$B$6:$B$300,$A555)+COUNTIF('Luisa'!$B$6:$B$300,$A555)+COUNTIF('Lui'!$B$6:$B$300,$A555)+COUNTIF('Thaís'!$B$6:$B$300,$A555)+COUNTIF('Daniel'!$B$6:$B$300,$A555)+COUNTIF('Fernando'!$B$6:$B$300,$A555)+COUNTIF('Stephanie'!$B$6:$B$300,$A555)+COUNTIF('Fox'!$B$6:$B$300,$A555)+COUNTIF('Bruna'!$B$6:$B$300,$A555)+COUNTIF('Stella'!$B$6:$B$300,$A555)+COUNTIF('Igor'!$B$6:$B$300,$A555)))</f>
        <v/>
      </c>
      <c r="P555" s="25">
        <f>IF($A555="","",IF(M555&lt;&gt;"",M555,IF(K555&lt;&gt;"",K555,"")))</f>
        <v/>
      </c>
      <c r="Q555" s="25">
        <f>IF($A555="","",IF(N555&lt;&gt;"",N555,IF(L555&lt;&gt;"",L555,"")))</f>
        <v/>
      </c>
      <c r="S555" s="23">
        <f t="array" ref="S555">IF($A555="","",_xlfn.TEXTJOIN(CHAR(10),TRUE,IF('Clarice'!$B$6:$B$300=$A555,"Clarice"&amp;IF('Clarice'!$E$6:$E$300="",""," : "&amp;'Clarice'!$E$6:$E$300)&amp;" ["&amp;'Clarice'!$F$6:$F$300&amp;"]",""),IF('Luisa'!$B$6:$B$300=$A555,"Luisa"&amp;IF('Luisa'!$E$6:$E$300="",""," : "&amp;'Luisa'!$E$6:$E$300)&amp;" ["&amp;'Luisa'!$F$6:$F$300&amp;"]",""),IF('Lui'!$B$6:$B$300=$A555,"Lui"&amp;IF('Lui'!$E$6:$E$300="",""," : "&amp;'Lui'!$E$6:$E$300)&amp;" ["&amp;'Lui'!$F$6:$F$300&amp;"]",""),IF('Thaís'!$B$6:$B$300=$A555,"Thaís"&amp;IF('Thaís'!$E$6:$E$300="",""," : "&amp;'Thaís'!$E$6:$E$300)&amp;" ["&amp;'Thaís'!$F$6:$F$300&amp;"]",""),IF('Daniel'!$B$6:$B$300=$A555,"Daniel"&amp;IF('Daniel'!$E$6:$E$300="",""," : "&amp;'Daniel'!$E$6:$E$300)&amp;" ["&amp;'Daniel'!$F$6:$F$300&amp;"]",""),IF('Fernando'!$B$6:$B$300=$A555,"Fernando"&amp;IF('Fernando'!$E$6:$E$300="",""," : "&amp;'Fernando'!$E$6:$E$300)&amp;" ["&amp;'Fernando'!$F$6:$F$300&amp;"]",""),IF('Stephanie'!$B$6:$B$300=$A555,"Stephanie"&amp;IF('Stephanie'!$E$6:$E$300="",""," : "&amp;'Stephanie'!$E$6:$E$300)&amp;" ["&amp;'Stephanie'!$F$6:$F$300&amp;"]",""),IF('Fox'!$B$6:$B$300=$A555,"Fox"&amp;IF('Fox'!$E$6:$E$300="",""," : "&amp;'Fox'!$E$6:$E$300)&amp;" ["&amp;'Fox'!$F$6:$F$300&amp;"]",""),IF('Bruna'!$B$6:$B$300=$A555,"Bruna"&amp;IF('Bruna'!$E$6:$E$300="",""," : "&amp;'Bruna'!$E$6:$E$300)&amp;" ["&amp;'Bruna'!$F$6:$F$300&amp;"]",""),IF('Stella'!$B$6:$B$300=$A555,"Stella"&amp;IF('Stella'!$E$6:$E$300="",""," : "&amp;'Stella'!$E$6:$E$300)&amp;" ["&amp;'Stella'!$F$6:$F$300&amp;"]",""),IF('Igor'!$B$6:$B$300=$A555,"Igor"&amp;IF('Igor'!$E$6:$E$300="",""," : "&amp;'Igor'!$E$6:$E$300)&amp;" ["&amp;'Igor'!$F$6:$F$300&amp;"]","")))</f>
        <v/>
      </c>
    </row>
    <row r="556">
      <c r="G556" s="23">
        <f>IF($A556="","",_xlfn.TEXTJOIN("; ",TRUE,IF(COUNTIF('Clarice'!$B$6:$B$300,$A556)&gt;0,"Clarice",""),IF(COUNTIF('Luisa'!$B$6:$B$300,$A556)&gt;0,"Luisa",""),IF(COUNTIF('Lui'!$B$6:$B$300,$A556)&gt;0,"Lui",""),IF(COUNTIF('Thaís'!$B$6:$B$300,$A556)&gt;0,"Thaís",""),IF(COUNTIF('Daniel'!$B$6:$B$300,$A556)&gt;0,"Daniel",""),IF(COUNTIF('Fernando'!$B$6:$B$300,$A556)&gt;0,"Fernando",""),IF(COUNTIF('Stephanie'!$B$6:$B$300,$A556)&gt;0,"Stephanie",""),IF(COUNTIF('Fox'!$B$6:$B$300,$A556)&gt;0,"Fox",""),IF(COUNTIF('Bruna'!$B$6:$B$300,$A556)&gt;0,"Bruna",""),IF(COUNTIF('Stella'!$B$6:$B$300,$A556)&gt;0,"Stella",""),IF(COUNTIF('Igor'!$B$6:$B$300,$A556)&gt;0,"Igor","")))</f>
        <v/>
      </c>
      <c r="J556" s="24">
        <f>IF(OR($A556="",(COUNTIF('Clarice'!$B$6:$B$300,$A556)+COUNTIF('Luisa'!$B$6:$B$300,$A556)+COUNTIF('Lui'!$B$6:$B$300,$A556)+COUNTIF('Thaís'!$B$6:$B$300,$A556)+COUNTIF('Daniel'!$B$6:$B$300,$A556)+COUNTIF('Fernando'!$B$6:$B$300,$A556)+COUNTIF('Stephanie'!$B$6:$B$300,$A556)+COUNTIF('Fox'!$B$6:$B$300,$A556)+COUNTIF('Bruna'!$B$6:$B$300,$A556)+COUNTIF('Stella'!$B$6:$B$300,$A556)+COUNTIF('Igor'!$B$6:$B$300,$A556))=0),"",(COUNTIFS('Clarice'!$B$6:$B$300,$A556,'Clarice'!$F$6:$F$300,"Concluído")+COUNTIFS('Luisa'!$B$6:$B$300,$A556,'Luisa'!$F$6:$F$300,"Concluído")+COUNTIFS('Lui'!$B$6:$B$300,$A556,'Lui'!$F$6:$F$300,"Concluído")+COUNTIFS('Thaís'!$B$6:$B$300,$A556,'Thaís'!$F$6:$F$300,"Concluído")+COUNTIFS('Daniel'!$B$6:$B$300,$A556,'Daniel'!$F$6:$F$300,"Concluído")+COUNTIFS('Fernando'!$B$6:$B$300,$A556,'Fernando'!$F$6:$F$300,"Concluído")+COUNTIFS('Stephanie'!$B$6:$B$300,$A556,'Stephanie'!$F$6:$F$300,"Concluído")+COUNTIFS('Fox'!$B$6:$B$300,$A556,'Fox'!$F$6:$F$300,"Concluído")+COUNTIFS('Bruna'!$B$6:$B$300,$A556,'Bruna'!$F$6:$F$300,"Concluído")+COUNTIFS('Stella'!$B$6:$B$300,$A556,'Stella'!$F$6:$F$300,"Concluído")+COUNTIFS('Igor'!$B$6:$B$300,$A556,'Igor'!$F$6:$F$300,"Concluído"))&amp;" / "&amp;(COUNTIF('Clarice'!$B$6:$B$300,$A556)+COUNTIF('Luisa'!$B$6:$B$300,$A556)+COUNTIF('Lui'!$B$6:$B$300,$A556)+COUNTIF('Thaís'!$B$6:$B$300,$A556)+COUNTIF('Daniel'!$B$6:$B$300,$A556)+COUNTIF('Fernando'!$B$6:$B$300,$A556)+COUNTIF('Stephanie'!$B$6:$B$300,$A556)+COUNTIF('Fox'!$B$6:$B$300,$A556)+COUNTIF('Bruna'!$B$6:$B$300,$A556)+COUNTIF('Stella'!$B$6:$B$300,$A556)+COUNTIF('Igor'!$B$6:$B$300,$A556)))</f>
        <v/>
      </c>
      <c r="P556" s="25">
        <f>IF($A556="","",IF(M556&lt;&gt;"",M556,IF(K556&lt;&gt;"",K556,"")))</f>
        <v/>
      </c>
      <c r="Q556" s="25">
        <f>IF($A556="","",IF(N556&lt;&gt;"",N556,IF(L556&lt;&gt;"",L556,"")))</f>
        <v/>
      </c>
      <c r="S556" s="23">
        <f t="array" ref="S556">IF($A556="","",_xlfn.TEXTJOIN(CHAR(10),TRUE,IF('Clarice'!$B$6:$B$300=$A556,"Clarice"&amp;IF('Clarice'!$E$6:$E$300="",""," : "&amp;'Clarice'!$E$6:$E$300)&amp;" ["&amp;'Clarice'!$F$6:$F$300&amp;"]",""),IF('Luisa'!$B$6:$B$300=$A556,"Luisa"&amp;IF('Luisa'!$E$6:$E$300="",""," : "&amp;'Luisa'!$E$6:$E$300)&amp;" ["&amp;'Luisa'!$F$6:$F$300&amp;"]",""),IF('Lui'!$B$6:$B$300=$A556,"Lui"&amp;IF('Lui'!$E$6:$E$300="",""," : "&amp;'Lui'!$E$6:$E$300)&amp;" ["&amp;'Lui'!$F$6:$F$300&amp;"]",""),IF('Thaís'!$B$6:$B$300=$A556,"Thaís"&amp;IF('Thaís'!$E$6:$E$300="",""," : "&amp;'Thaís'!$E$6:$E$300)&amp;" ["&amp;'Thaís'!$F$6:$F$300&amp;"]",""),IF('Daniel'!$B$6:$B$300=$A556,"Daniel"&amp;IF('Daniel'!$E$6:$E$300="",""," : "&amp;'Daniel'!$E$6:$E$300)&amp;" ["&amp;'Daniel'!$F$6:$F$300&amp;"]",""),IF('Fernando'!$B$6:$B$300=$A556,"Fernando"&amp;IF('Fernando'!$E$6:$E$300="",""," : "&amp;'Fernando'!$E$6:$E$300)&amp;" ["&amp;'Fernando'!$F$6:$F$300&amp;"]",""),IF('Stephanie'!$B$6:$B$300=$A556,"Stephanie"&amp;IF('Stephanie'!$E$6:$E$300="",""," : "&amp;'Stephanie'!$E$6:$E$300)&amp;" ["&amp;'Stephanie'!$F$6:$F$300&amp;"]",""),IF('Fox'!$B$6:$B$300=$A556,"Fox"&amp;IF('Fox'!$E$6:$E$300="",""," : "&amp;'Fox'!$E$6:$E$300)&amp;" ["&amp;'Fox'!$F$6:$F$300&amp;"]",""),IF('Bruna'!$B$6:$B$300=$A556,"Bruna"&amp;IF('Bruna'!$E$6:$E$300="",""," : "&amp;'Bruna'!$E$6:$E$300)&amp;" ["&amp;'Bruna'!$F$6:$F$300&amp;"]",""),IF('Stella'!$B$6:$B$300=$A556,"Stella"&amp;IF('Stella'!$E$6:$E$300="",""," : "&amp;'Stella'!$E$6:$E$300)&amp;" ["&amp;'Stella'!$F$6:$F$300&amp;"]",""),IF('Igor'!$B$6:$B$300=$A556,"Igor"&amp;IF('Igor'!$E$6:$E$300="",""," : "&amp;'Igor'!$E$6:$E$300)&amp;" ["&amp;'Igor'!$F$6:$F$300&amp;"]","")))</f>
        <v/>
      </c>
    </row>
    <row r="557">
      <c r="G557" s="23">
        <f>IF($A557="","",_xlfn.TEXTJOIN("; ",TRUE,IF(COUNTIF('Clarice'!$B$6:$B$300,$A557)&gt;0,"Clarice",""),IF(COUNTIF('Luisa'!$B$6:$B$300,$A557)&gt;0,"Luisa",""),IF(COUNTIF('Lui'!$B$6:$B$300,$A557)&gt;0,"Lui",""),IF(COUNTIF('Thaís'!$B$6:$B$300,$A557)&gt;0,"Thaís",""),IF(COUNTIF('Daniel'!$B$6:$B$300,$A557)&gt;0,"Daniel",""),IF(COUNTIF('Fernando'!$B$6:$B$300,$A557)&gt;0,"Fernando",""),IF(COUNTIF('Stephanie'!$B$6:$B$300,$A557)&gt;0,"Stephanie",""),IF(COUNTIF('Fox'!$B$6:$B$300,$A557)&gt;0,"Fox",""),IF(COUNTIF('Bruna'!$B$6:$B$300,$A557)&gt;0,"Bruna",""),IF(COUNTIF('Stella'!$B$6:$B$300,$A557)&gt;0,"Stella",""),IF(COUNTIF('Igor'!$B$6:$B$300,$A557)&gt;0,"Igor","")))</f>
        <v/>
      </c>
      <c r="J557" s="24">
        <f>IF(OR($A557="",(COUNTIF('Clarice'!$B$6:$B$300,$A557)+COUNTIF('Luisa'!$B$6:$B$300,$A557)+COUNTIF('Lui'!$B$6:$B$300,$A557)+COUNTIF('Thaís'!$B$6:$B$300,$A557)+COUNTIF('Daniel'!$B$6:$B$300,$A557)+COUNTIF('Fernando'!$B$6:$B$300,$A557)+COUNTIF('Stephanie'!$B$6:$B$300,$A557)+COUNTIF('Fox'!$B$6:$B$300,$A557)+COUNTIF('Bruna'!$B$6:$B$300,$A557)+COUNTIF('Stella'!$B$6:$B$300,$A557)+COUNTIF('Igor'!$B$6:$B$300,$A557))=0),"",(COUNTIFS('Clarice'!$B$6:$B$300,$A557,'Clarice'!$F$6:$F$300,"Concluído")+COUNTIFS('Luisa'!$B$6:$B$300,$A557,'Luisa'!$F$6:$F$300,"Concluído")+COUNTIFS('Lui'!$B$6:$B$300,$A557,'Lui'!$F$6:$F$300,"Concluído")+COUNTIFS('Thaís'!$B$6:$B$300,$A557,'Thaís'!$F$6:$F$300,"Concluído")+COUNTIFS('Daniel'!$B$6:$B$300,$A557,'Daniel'!$F$6:$F$300,"Concluído")+COUNTIFS('Fernando'!$B$6:$B$300,$A557,'Fernando'!$F$6:$F$300,"Concluído")+COUNTIFS('Stephanie'!$B$6:$B$300,$A557,'Stephanie'!$F$6:$F$300,"Concluído")+COUNTIFS('Fox'!$B$6:$B$300,$A557,'Fox'!$F$6:$F$300,"Concluído")+COUNTIFS('Bruna'!$B$6:$B$300,$A557,'Bruna'!$F$6:$F$300,"Concluído")+COUNTIFS('Stella'!$B$6:$B$300,$A557,'Stella'!$F$6:$F$300,"Concluído")+COUNTIFS('Igor'!$B$6:$B$300,$A557,'Igor'!$F$6:$F$300,"Concluído"))&amp;" / "&amp;(COUNTIF('Clarice'!$B$6:$B$300,$A557)+COUNTIF('Luisa'!$B$6:$B$300,$A557)+COUNTIF('Lui'!$B$6:$B$300,$A557)+COUNTIF('Thaís'!$B$6:$B$300,$A557)+COUNTIF('Daniel'!$B$6:$B$300,$A557)+COUNTIF('Fernando'!$B$6:$B$300,$A557)+COUNTIF('Stephanie'!$B$6:$B$300,$A557)+COUNTIF('Fox'!$B$6:$B$300,$A557)+COUNTIF('Bruna'!$B$6:$B$300,$A557)+COUNTIF('Stella'!$B$6:$B$300,$A557)+COUNTIF('Igor'!$B$6:$B$300,$A557)))</f>
        <v/>
      </c>
      <c r="P557" s="25">
        <f>IF($A557="","",IF(M557&lt;&gt;"",M557,IF(K557&lt;&gt;"",K557,"")))</f>
        <v/>
      </c>
      <c r="Q557" s="25">
        <f>IF($A557="","",IF(N557&lt;&gt;"",N557,IF(L557&lt;&gt;"",L557,"")))</f>
        <v/>
      </c>
      <c r="S557" s="23">
        <f t="array" ref="S557">IF($A557="","",_xlfn.TEXTJOIN(CHAR(10),TRUE,IF('Clarice'!$B$6:$B$300=$A557,"Clarice"&amp;IF('Clarice'!$E$6:$E$300="",""," : "&amp;'Clarice'!$E$6:$E$300)&amp;" ["&amp;'Clarice'!$F$6:$F$300&amp;"]",""),IF('Luisa'!$B$6:$B$300=$A557,"Luisa"&amp;IF('Luisa'!$E$6:$E$300="",""," : "&amp;'Luisa'!$E$6:$E$300)&amp;" ["&amp;'Luisa'!$F$6:$F$300&amp;"]",""),IF('Lui'!$B$6:$B$300=$A557,"Lui"&amp;IF('Lui'!$E$6:$E$300="",""," : "&amp;'Lui'!$E$6:$E$300)&amp;" ["&amp;'Lui'!$F$6:$F$300&amp;"]",""),IF('Thaís'!$B$6:$B$300=$A557,"Thaís"&amp;IF('Thaís'!$E$6:$E$300="",""," : "&amp;'Thaís'!$E$6:$E$300)&amp;" ["&amp;'Thaís'!$F$6:$F$300&amp;"]",""),IF('Daniel'!$B$6:$B$300=$A557,"Daniel"&amp;IF('Daniel'!$E$6:$E$300="",""," : "&amp;'Daniel'!$E$6:$E$300)&amp;" ["&amp;'Daniel'!$F$6:$F$300&amp;"]",""),IF('Fernando'!$B$6:$B$300=$A557,"Fernando"&amp;IF('Fernando'!$E$6:$E$300="",""," : "&amp;'Fernando'!$E$6:$E$300)&amp;" ["&amp;'Fernando'!$F$6:$F$300&amp;"]",""),IF('Stephanie'!$B$6:$B$300=$A557,"Stephanie"&amp;IF('Stephanie'!$E$6:$E$300="",""," : "&amp;'Stephanie'!$E$6:$E$300)&amp;" ["&amp;'Stephanie'!$F$6:$F$300&amp;"]",""),IF('Fox'!$B$6:$B$300=$A557,"Fox"&amp;IF('Fox'!$E$6:$E$300="",""," : "&amp;'Fox'!$E$6:$E$300)&amp;" ["&amp;'Fox'!$F$6:$F$300&amp;"]",""),IF('Bruna'!$B$6:$B$300=$A557,"Bruna"&amp;IF('Bruna'!$E$6:$E$300="",""," : "&amp;'Bruna'!$E$6:$E$300)&amp;" ["&amp;'Bruna'!$F$6:$F$300&amp;"]",""),IF('Stella'!$B$6:$B$300=$A557,"Stella"&amp;IF('Stella'!$E$6:$E$300="",""," : "&amp;'Stella'!$E$6:$E$300)&amp;" ["&amp;'Stella'!$F$6:$F$300&amp;"]",""),IF('Igor'!$B$6:$B$300=$A557,"Igor"&amp;IF('Igor'!$E$6:$E$300="",""," : "&amp;'Igor'!$E$6:$E$300)&amp;" ["&amp;'Igor'!$F$6:$F$300&amp;"]","")))</f>
        <v/>
      </c>
    </row>
    <row r="558">
      <c r="G558" s="23">
        <f>IF($A558="","",_xlfn.TEXTJOIN("; ",TRUE,IF(COUNTIF('Clarice'!$B$6:$B$300,$A558)&gt;0,"Clarice",""),IF(COUNTIF('Luisa'!$B$6:$B$300,$A558)&gt;0,"Luisa",""),IF(COUNTIF('Lui'!$B$6:$B$300,$A558)&gt;0,"Lui",""),IF(COUNTIF('Thaís'!$B$6:$B$300,$A558)&gt;0,"Thaís",""),IF(COUNTIF('Daniel'!$B$6:$B$300,$A558)&gt;0,"Daniel",""),IF(COUNTIF('Fernando'!$B$6:$B$300,$A558)&gt;0,"Fernando",""),IF(COUNTIF('Stephanie'!$B$6:$B$300,$A558)&gt;0,"Stephanie",""),IF(COUNTIF('Fox'!$B$6:$B$300,$A558)&gt;0,"Fox",""),IF(COUNTIF('Bruna'!$B$6:$B$300,$A558)&gt;0,"Bruna",""),IF(COUNTIF('Stella'!$B$6:$B$300,$A558)&gt;0,"Stella",""),IF(COUNTIF('Igor'!$B$6:$B$300,$A558)&gt;0,"Igor","")))</f>
        <v/>
      </c>
      <c r="J558" s="24">
        <f>IF(OR($A558="",(COUNTIF('Clarice'!$B$6:$B$300,$A558)+COUNTIF('Luisa'!$B$6:$B$300,$A558)+COUNTIF('Lui'!$B$6:$B$300,$A558)+COUNTIF('Thaís'!$B$6:$B$300,$A558)+COUNTIF('Daniel'!$B$6:$B$300,$A558)+COUNTIF('Fernando'!$B$6:$B$300,$A558)+COUNTIF('Stephanie'!$B$6:$B$300,$A558)+COUNTIF('Fox'!$B$6:$B$300,$A558)+COUNTIF('Bruna'!$B$6:$B$300,$A558)+COUNTIF('Stella'!$B$6:$B$300,$A558)+COUNTIF('Igor'!$B$6:$B$300,$A558))=0),"",(COUNTIFS('Clarice'!$B$6:$B$300,$A558,'Clarice'!$F$6:$F$300,"Concluído")+COUNTIFS('Luisa'!$B$6:$B$300,$A558,'Luisa'!$F$6:$F$300,"Concluído")+COUNTIFS('Lui'!$B$6:$B$300,$A558,'Lui'!$F$6:$F$300,"Concluído")+COUNTIFS('Thaís'!$B$6:$B$300,$A558,'Thaís'!$F$6:$F$300,"Concluído")+COUNTIFS('Daniel'!$B$6:$B$300,$A558,'Daniel'!$F$6:$F$300,"Concluído")+COUNTIFS('Fernando'!$B$6:$B$300,$A558,'Fernando'!$F$6:$F$300,"Concluído")+COUNTIFS('Stephanie'!$B$6:$B$300,$A558,'Stephanie'!$F$6:$F$300,"Concluído")+COUNTIFS('Fox'!$B$6:$B$300,$A558,'Fox'!$F$6:$F$300,"Concluído")+COUNTIFS('Bruna'!$B$6:$B$300,$A558,'Bruna'!$F$6:$F$300,"Concluído")+COUNTIFS('Stella'!$B$6:$B$300,$A558,'Stella'!$F$6:$F$300,"Concluído")+COUNTIFS('Igor'!$B$6:$B$300,$A558,'Igor'!$F$6:$F$300,"Concluído"))&amp;" / "&amp;(COUNTIF('Clarice'!$B$6:$B$300,$A558)+COUNTIF('Luisa'!$B$6:$B$300,$A558)+COUNTIF('Lui'!$B$6:$B$300,$A558)+COUNTIF('Thaís'!$B$6:$B$300,$A558)+COUNTIF('Daniel'!$B$6:$B$300,$A558)+COUNTIF('Fernando'!$B$6:$B$300,$A558)+COUNTIF('Stephanie'!$B$6:$B$300,$A558)+COUNTIF('Fox'!$B$6:$B$300,$A558)+COUNTIF('Bruna'!$B$6:$B$300,$A558)+COUNTIF('Stella'!$B$6:$B$300,$A558)+COUNTIF('Igor'!$B$6:$B$300,$A558)))</f>
        <v/>
      </c>
      <c r="P558" s="25">
        <f>IF($A558="","",IF(M558&lt;&gt;"",M558,IF(K558&lt;&gt;"",K558,"")))</f>
        <v/>
      </c>
      <c r="Q558" s="25">
        <f>IF($A558="","",IF(N558&lt;&gt;"",N558,IF(L558&lt;&gt;"",L558,"")))</f>
        <v/>
      </c>
      <c r="S558" s="23">
        <f t="array" ref="S558">IF($A558="","",_xlfn.TEXTJOIN(CHAR(10),TRUE,IF('Clarice'!$B$6:$B$300=$A558,"Clarice"&amp;IF('Clarice'!$E$6:$E$300="",""," : "&amp;'Clarice'!$E$6:$E$300)&amp;" ["&amp;'Clarice'!$F$6:$F$300&amp;"]",""),IF('Luisa'!$B$6:$B$300=$A558,"Luisa"&amp;IF('Luisa'!$E$6:$E$300="",""," : "&amp;'Luisa'!$E$6:$E$300)&amp;" ["&amp;'Luisa'!$F$6:$F$300&amp;"]",""),IF('Lui'!$B$6:$B$300=$A558,"Lui"&amp;IF('Lui'!$E$6:$E$300="",""," : "&amp;'Lui'!$E$6:$E$300)&amp;" ["&amp;'Lui'!$F$6:$F$300&amp;"]",""),IF('Thaís'!$B$6:$B$300=$A558,"Thaís"&amp;IF('Thaís'!$E$6:$E$300="",""," : "&amp;'Thaís'!$E$6:$E$300)&amp;" ["&amp;'Thaís'!$F$6:$F$300&amp;"]",""),IF('Daniel'!$B$6:$B$300=$A558,"Daniel"&amp;IF('Daniel'!$E$6:$E$300="",""," : "&amp;'Daniel'!$E$6:$E$300)&amp;" ["&amp;'Daniel'!$F$6:$F$300&amp;"]",""),IF('Fernando'!$B$6:$B$300=$A558,"Fernando"&amp;IF('Fernando'!$E$6:$E$300="",""," : "&amp;'Fernando'!$E$6:$E$300)&amp;" ["&amp;'Fernando'!$F$6:$F$300&amp;"]",""),IF('Stephanie'!$B$6:$B$300=$A558,"Stephanie"&amp;IF('Stephanie'!$E$6:$E$300="",""," : "&amp;'Stephanie'!$E$6:$E$300)&amp;" ["&amp;'Stephanie'!$F$6:$F$300&amp;"]",""),IF('Fox'!$B$6:$B$300=$A558,"Fox"&amp;IF('Fox'!$E$6:$E$300="",""," : "&amp;'Fox'!$E$6:$E$300)&amp;" ["&amp;'Fox'!$F$6:$F$300&amp;"]",""),IF('Bruna'!$B$6:$B$300=$A558,"Bruna"&amp;IF('Bruna'!$E$6:$E$300="",""," : "&amp;'Bruna'!$E$6:$E$300)&amp;" ["&amp;'Bruna'!$F$6:$F$300&amp;"]",""),IF('Stella'!$B$6:$B$300=$A558,"Stella"&amp;IF('Stella'!$E$6:$E$300="",""," : "&amp;'Stella'!$E$6:$E$300)&amp;" ["&amp;'Stella'!$F$6:$F$300&amp;"]",""),IF('Igor'!$B$6:$B$300=$A558,"Igor"&amp;IF('Igor'!$E$6:$E$300="",""," : "&amp;'Igor'!$E$6:$E$300)&amp;" ["&amp;'Igor'!$F$6:$F$300&amp;"]","")))</f>
        <v/>
      </c>
    </row>
    <row r="559">
      <c r="G559" s="23">
        <f>IF($A559="","",_xlfn.TEXTJOIN("; ",TRUE,IF(COUNTIF('Clarice'!$B$6:$B$300,$A559)&gt;0,"Clarice",""),IF(COUNTIF('Luisa'!$B$6:$B$300,$A559)&gt;0,"Luisa",""),IF(COUNTIF('Lui'!$B$6:$B$300,$A559)&gt;0,"Lui",""),IF(COUNTIF('Thaís'!$B$6:$B$300,$A559)&gt;0,"Thaís",""),IF(COUNTIF('Daniel'!$B$6:$B$300,$A559)&gt;0,"Daniel",""),IF(COUNTIF('Fernando'!$B$6:$B$300,$A559)&gt;0,"Fernando",""),IF(COUNTIF('Stephanie'!$B$6:$B$300,$A559)&gt;0,"Stephanie",""),IF(COUNTIF('Fox'!$B$6:$B$300,$A559)&gt;0,"Fox",""),IF(COUNTIF('Bruna'!$B$6:$B$300,$A559)&gt;0,"Bruna",""),IF(COUNTIF('Stella'!$B$6:$B$300,$A559)&gt;0,"Stella",""),IF(COUNTIF('Igor'!$B$6:$B$300,$A559)&gt;0,"Igor","")))</f>
        <v/>
      </c>
      <c r="J559" s="24">
        <f>IF(OR($A559="",(COUNTIF('Clarice'!$B$6:$B$300,$A559)+COUNTIF('Luisa'!$B$6:$B$300,$A559)+COUNTIF('Lui'!$B$6:$B$300,$A559)+COUNTIF('Thaís'!$B$6:$B$300,$A559)+COUNTIF('Daniel'!$B$6:$B$300,$A559)+COUNTIF('Fernando'!$B$6:$B$300,$A559)+COUNTIF('Stephanie'!$B$6:$B$300,$A559)+COUNTIF('Fox'!$B$6:$B$300,$A559)+COUNTIF('Bruna'!$B$6:$B$300,$A559)+COUNTIF('Stella'!$B$6:$B$300,$A559)+COUNTIF('Igor'!$B$6:$B$300,$A559))=0),"",(COUNTIFS('Clarice'!$B$6:$B$300,$A559,'Clarice'!$F$6:$F$300,"Concluído")+COUNTIFS('Luisa'!$B$6:$B$300,$A559,'Luisa'!$F$6:$F$300,"Concluído")+COUNTIFS('Lui'!$B$6:$B$300,$A559,'Lui'!$F$6:$F$300,"Concluído")+COUNTIFS('Thaís'!$B$6:$B$300,$A559,'Thaís'!$F$6:$F$300,"Concluído")+COUNTIFS('Daniel'!$B$6:$B$300,$A559,'Daniel'!$F$6:$F$300,"Concluído")+COUNTIFS('Fernando'!$B$6:$B$300,$A559,'Fernando'!$F$6:$F$300,"Concluído")+COUNTIFS('Stephanie'!$B$6:$B$300,$A559,'Stephanie'!$F$6:$F$300,"Concluído")+COUNTIFS('Fox'!$B$6:$B$300,$A559,'Fox'!$F$6:$F$300,"Concluído")+COUNTIFS('Bruna'!$B$6:$B$300,$A559,'Bruna'!$F$6:$F$300,"Concluído")+COUNTIFS('Stella'!$B$6:$B$300,$A559,'Stella'!$F$6:$F$300,"Concluído")+COUNTIFS('Igor'!$B$6:$B$300,$A559,'Igor'!$F$6:$F$300,"Concluído"))&amp;" / "&amp;(COUNTIF('Clarice'!$B$6:$B$300,$A559)+COUNTIF('Luisa'!$B$6:$B$300,$A559)+COUNTIF('Lui'!$B$6:$B$300,$A559)+COUNTIF('Thaís'!$B$6:$B$300,$A559)+COUNTIF('Daniel'!$B$6:$B$300,$A559)+COUNTIF('Fernando'!$B$6:$B$300,$A559)+COUNTIF('Stephanie'!$B$6:$B$300,$A559)+COUNTIF('Fox'!$B$6:$B$300,$A559)+COUNTIF('Bruna'!$B$6:$B$300,$A559)+COUNTIF('Stella'!$B$6:$B$300,$A559)+COUNTIF('Igor'!$B$6:$B$300,$A559)))</f>
        <v/>
      </c>
      <c r="P559" s="25">
        <f>IF($A559="","",IF(M559&lt;&gt;"",M559,IF(K559&lt;&gt;"",K559,"")))</f>
        <v/>
      </c>
      <c r="Q559" s="25">
        <f>IF($A559="","",IF(N559&lt;&gt;"",N559,IF(L559&lt;&gt;"",L559,"")))</f>
        <v/>
      </c>
      <c r="S559" s="23">
        <f t="array" ref="S559">IF($A559="","",_xlfn.TEXTJOIN(CHAR(10),TRUE,IF('Clarice'!$B$6:$B$300=$A559,"Clarice"&amp;IF('Clarice'!$E$6:$E$300="",""," : "&amp;'Clarice'!$E$6:$E$300)&amp;" ["&amp;'Clarice'!$F$6:$F$300&amp;"]",""),IF('Luisa'!$B$6:$B$300=$A559,"Luisa"&amp;IF('Luisa'!$E$6:$E$300="",""," : "&amp;'Luisa'!$E$6:$E$300)&amp;" ["&amp;'Luisa'!$F$6:$F$300&amp;"]",""),IF('Lui'!$B$6:$B$300=$A559,"Lui"&amp;IF('Lui'!$E$6:$E$300="",""," : "&amp;'Lui'!$E$6:$E$300)&amp;" ["&amp;'Lui'!$F$6:$F$300&amp;"]",""),IF('Thaís'!$B$6:$B$300=$A559,"Thaís"&amp;IF('Thaís'!$E$6:$E$300="",""," : "&amp;'Thaís'!$E$6:$E$300)&amp;" ["&amp;'Thaís'!$F$6:$F$300&amp;"]",""),IF('Daniel'!$B$6:$B$300=$A559,"Daniel"&amp;IF('Daniel'!$E$6:$E$300="",""," : "&amp;'Daniel'!$E$6:$E$300)&amp;" ["&amp;'Daniel'!$F$6:$F$300&amp;"]",""),IF('Fernando'!$B$6:$B$300=$A559,"Fernando"&amp;IF('Fernando'!$E$6:$E$300="",""," : "&amp;'Fernando'!$E$6:$E$300)&amp;" ["&amp;'Fernando'!$F$6:$F$300&amp;"]",""),IF('Stephanie'!$B$6:$B$300=$A559,"Stephanie"&amp;IF('Stephanie'!$E$6:$E$300="",""," : "&amp;'Stephanie'!$E$6:$E$300)&amp;" ["&amp;'Stephanie'!$F$6:$F$300&amp;"]",""),IF('Fox'!$B$6:$B$300=$A559,"Fox"&amp;IF('Fox'!$E$6:$E$300="",""," : "&amp;'Fox'!$E$6:$E$300)&amp;" ["&amp;'Fox'!$F$6:$F$300&amp;"]",""),IF('Bruna'!$B$6:$B$300=$A559,"Bruna"&amp;IF('Bruna'!$E$6:$E$300="",""," : "&amp;'Bruna'!$E$6:$E$300)&amp;" ["&amp;'Bruna'!$F$6:$F$300&amp;"]",""),IF('Stella'!$B$6:$B$300=$A559,"Stella"&amp;IF('Stella'!$E$6:$E$300="",""," : "&amp;'Stella'!$E$6:$E$300)&amp;" ["&amp;'Stella'!$F$6:$F$300&amp;"]",""),IF('Igor'!$B$6:$B$300=$A559,"Igor"&amp;IF('Igor'!$E$6:$E$300="",""," : "&amp;'Igor'!$E$6:$E$300)&amp;" ["&amp;'Igor'!$F$6:$F$300&amp;"]","")))</f>
        <v/>
      </c>
    </row>
    <row r="560">
      <c r="G560" s="23">
        <f>IF($A560="","",_xlfn.TEXTJOIN("; ",TRUE,IF(COUNTIF('Clarice'!$B$6:$B$300,$A560)&gt;0,"Clarice",""),IF(COUNTIF('Luisa'!$B$6:$B$300,$A560)&gt;0,"Luisa",""),IF(COUNTIF('Lui'!$B$6:$B$300,$A560)&gt;0,"Lui",""),IF(COUNTIF('Thaís'!$B$6:$B$300,$A560)&gt;0,"Thaís",""),IF(COUNTIF('Daniel'!$B$6:$B$300,$A560)&gt;0,"Daniel",""),IF(COUNTIF('Fernando'!$B$6:$B$300,$A560)&gt;0,"Fernando",""),IF(COUNTIF('Stephanie'!$B$6:$B$300,$A560)&gt;0,"Stephanie",""),IF(COUNTIF('Fox'!$B$6:$B$300,$A560)&gt;0,"Fox",""),IF(COUNTIF('Bruna'!$B$6:$B$300,$A560)&gt;0,"Bruna",""),IF(COUNTIF('Stella'!$B$6:$B$300,$A560)&gt;0,"Stella",""),IF(COUNTIF('Igor'!$B$6:$B$300,$A560)&gt;0,"Igor","")))</f>
        <v/>
      </c>
      <c r="J560" s="24">
        <f>IF(OR($A560="",(COUNTIF('Clarice'!$B$6:$B$300,$A560)+COUNTIF('Luisa'!$B$6:$B$300,$A560)+COUNTIF('Lui'!$B$6:$B$300,$A560)+COUNTIF('Thaís'!$B$6:$B$300,$A560)+COUNTIF('Daniel'!$B$6:$B$300,$A560)+COUNTIF('Fernando'!$B$6:$B$300,$A560)+COUNTIF('Stephanie'!$B$6:$B$300,$A560)+COUNTIF('Fox'!$B$6:$B$300,$A560)+COUNTIF('Bruna'!$B$6:$B$300,$A560)+COUNTIF('Stella'!$B$6:$B$300,$A560)+COUNTIF('Igor'!$B$6:$B$300,$A560))=0),"",(COUNTIFS('Clarice'!$B$6:$B$300,$A560,'Clarice'!$F$6:$F$300,"Concluído")+COUNTIFS('Luisa'!$B$6:$B$300,$A560,'Luisa'!$F$6:$F$300,"Concluído")+COUNTIFS('Lui'!$B$6:$B$300,$A560,'Lui'!$F$6:$F$300,"Concluído")+COUNTIFS('Thaís'!$B$6:$B$300,$A560,'Thaís'!$F$6:$F$300,"Concluído")+COUNTIFS('Daniel'!$B$6:$B$300,$A560,'Daniel'!$F$6:$F$300,"Concluído")+COUNTIFS('Fernando'!$B$6:$B$300,$A560,'Fernando'!$F$6:$F$300,"Concluído")+COUNTIFS('Stephanie'!$B$6:$B$300,$A560,'Stephanie'!$F$6:$F$300,"Concluído")+COUNTIFS('Fox'!$B$6:$B$300,$A560,'Fox'!$F$6:$F$300,"Concluído")+COUNTIFS('Bruna'!$B$6:$B$300,$A560,'Bruna'!$F$6:$F$300,"Concluído")+COUNTIFS('Stella'!$B$6:$B$300,$A560,'Stella'!$F$6:$F$300,"Concluído")+COUNTIFS('Igor'!$B$6:$B$300,$A560,'Igor'!$F$6:$F$300,"Concluído"))&amp;" / "&amp;(COUNTIF('Clarice'!$B$6:$B$300,$A560)+COUNTIF('Luisa'!$B$6:$B$300,$A560)+COUNTIF('Lui'!$B$6:$B$300,$A560)+COUNTIF('Thaís'!$B$6:$B$300,$A560)+COUNTIF('Daniel'!$B$6:$B$300,$A560)+COUNTIF('Fernando'!$B$6:$B$300,$A560)+COUNTIF('Stephanie'!$B$6:$B$300,$A560)+COUNTIF('Fox'!$B$6:$B$300,$A560)+COUNTIF('Bruna'!$B$6:$B$300,$A560)+COUNTIF('Stella'!$B$6:$B$300,$A560)+COUNTIF('Igor'!$B$6:$B$300,$A560)))</f>
        <v/>
      </c>
      <c r="P560" s="25">
        <f>IF($A560="","",IF(M560&lt;&gt;"",M560,IF(K560&lt;&gt;"",K560,"")))</f>
        <v/>
      </c>
      <c r="Q560" s="25">
        <f>IF($A560="","",IF(N560&lt;&gt;"",N560,IF(L560&lt;&gt;"",L560,"")))</f>
        <v/>
      </c>
      <c r="S560" s="23">
        <f t="array" ref="S560">IF($A560="","",_xlfn.TEXTJOIN(CHAR(10),TRUE,IF('Clarice'!$B$6:$B$300=$A560,"Clarice"&amp;IF('Clarice'!$E$6:$E$300="",""," : "&amp;'Clarice'!$E$6:$E$300)&amp;" ["&amp;'Clarice'!$F$6:$F$300&amp;"]",""),IF('Luisa'!$B$6:$B$300=$A560,"Luisa"&amp;IF('Luisa'!$E$6:$E$300="",""," : "&amp;'Luisa'!$E$6:$E$300)&amp;" ["&amp;'Luisa'!$F$6:$F$300&amp;"]",""),IF('Lui'!$B$6:$B$300=$A560,"Lui"&amp;IF('Lui'!$E$6:$E$300="",""," : "&amp;'Lui'!$E$6:$E$300)&amp;" ["&amp;'Lui'!$F$6:$F$300&amp;"]",""),IF('Thaís'!$B$6:$B$300=$A560,"Thaís"&amp;IF('Thaís'!$E$6:$E$300="",""," : "&amp;'Thaís'!$E$6:$E$300)&amp;" ["&amp;'Thaís'!$F$6:$F$300&amp;"]",""),IF('Daniel'!$B$6:$B$300=$A560,"Daniel"&amp;IF('Daniel'!$E$6:$E$300="",""," : "&amp;'Daniel'!$E$6:$E$300)&amp;" ["&amp;'Daniel'!$F$6:$F$300&amp;"]",""),IF('Fernando'!$B$6:$B$300=$A560,"Fernando"&amp;IF('Fernando'!$E$6:$E$300="",""," : "&amp;'Fernando'!$E$6:$E$300)&amp;" ["&amp;'Fernando'!$F$6:$F$300&amp;"]",""),IF('Stephanie'!$B$6:$B$300=$A560,"Stephanie"&amp;IF('Stephanie'!$E$6:$E$300="",""," : "&amp;'Stephanie'!$E$6:$E$300)&amp;" ["&amp;'Stephanie'!$F$6:$F$300&amp;"]",""),IF('Fox'!$B$6:$B$300=$A560,"Fox"&amp;IF('Fox'!$E$6:$E$300="",""," : "&amp;'Fox'!$E$6:$E$300)&amp;" ["&amp;'Fox'!$F$6:$F$300&amp;"]",""),IF('Bruna'!$B$6:$B$300=$A560,"Bruna"&amp;IF('Bruna'!$E$6:$E$300="",""," : "&amp;'Bruna'!$E$6:$E$300)&amp;" ["&amp;'Bruna'!$F$6:$F$300&amp;"]",""),IF('Stella'!$B$6:$B$300=$A560,"Stella"&amp;IF('Stella'!$E$6:$E$300="",""," : "&amp;'Stella'!$E$6:$E$300)&amp;" ["&amp;'Stella'!$F$6:$F$300&amp;"]",""),IF('Igor'!$B$6:$B$300=$A560,"Igor"&amp;IF('Igor'!$E$6:$E$300="",""," : "&amp;'Igor'!$E$6:$E$300)&amp;" ["&amp;'Igor'!$F$6:$F$300&amp;"]","")))</f>
        <v/>
      </c>
    </row>
    <row r="561">
      <c r="G561" s="23">
        <f>IF($A561="","",_xlfn.TEXTJOIN("; ",TRUE,IF(COUNTIF('Clarice'!$B$6:$B$300,$A561)&gt;0,"Clarice",""),IF(COUNTIF('Luisa'!$B$6:$B$300,$A561)&gt;0,"Luisa",""),IF(COUNTIF('Lui'!$B$6:$B$300,$A561)&gt;0,"Lui",""),IF(COUNTIF('Thaís'!$B$6:$B$300,$A561)&gt;0,"Thaís",""),IF(COUNTIF('Daniel'!$B$6:$B$300,$A561)&gt;0,"Daniel",""),IF(COUNTIF('Fernando'!$B$6:$B$300,$A561)&gt;0,"Fernando",""),IF(COUNTIF('Stephanie'!$B$6:$B$300,$A561)&gt;0,"Stephanie",""),IF(COUNTIF('Fox'!$B$6:$B$300,$A561)&gt;0,"Fox",""),IF(COUNTIF('Bruna'!$B$6:$B$300,$A561)&gt;0,"Bruna",""),IF(COUNTIF('Stella'!$B$6:$B$300,$A561)&gt;0,"Stella",""),IF(COUNTIF('Igor'!$B$6:$B$300,$A561)&gt;0,"Igor","")))</f>
        <v/>
      </c>
      <c r="J561" s="24">
        <f>IF(OR($A561="",(COUNTIF('Clarice'!$B$6:$B$300,$A561)+COUNTIF('Luisa'!$B$6:$B$300,$A561)+COUNTIF('Lui'!$B$6:$B$300,$A561)+COUNTIF('Thaís'!$B$6:$B$300,$A561)+COUNTIF('Daniel'!$B$6:$B$300,$A561)+COUNTIF('Fernando'!$B$6:$B$300,$A561)+COUNTIF('Stephanie'!$B$6:$B$300,$A561)+COUNTIF('Fox'!$B$6:$B$300,$A561)+COUNTIF('Bruna'!$B$6:$B$300,$A561)+COUNTIF('Stella'!$B$6:$B$300,$A561)+COUNTIF('Igor'!$B$6:$B$300,$A561))=0),"",(COUNTIFS('Clarice'!$B$6:$B$300,$A561,'Clarice'!$F$6:$F$300,"Concluído")+COUNTIFS('Luisa'!$B$6:$B$300,$A561,'Luisa'!$F$6:$F$300,"Concluído")+COUNTIFS('Lui'!$B$6:$B$300,$A561,'Lui'!$F$6:$F$300,"Concluído")+COUNTIFS('Thaís'!$B$6:$B$300,$A561,'Thaís'!$F$6:$F$300,"Concluído")+COUNTIFS('Daniel'!$B$6:$B$300,$A561,'Daniel'!$F$6:$F$300,"Concluído")+COUNTIFS('Fernando'!$B$6:$B$300,$A561,'Fernando'!$F$6:$F$300,"Concluído")+COUNTIFS('Stephanie'!$B$6:$B$300,$A561,'Stephanie'!$F$6:$F$300,"Concluído")+COUNTIFS('Fox'!$B$6:$B$300,$A561,'Fox'!$F$6:$F$300,"Concluído")+COUNTIFS('Bruna'!$B$6:$B$300,$A561,'Bruna'!$F$6:$F$300,"Concluído")+COUNTIFS('Stella'!$B$6:$B$300,$A561,'Stella'!$F$6:$F$300,"Concluído")+COUNTIFS('Igor'!$B$6:$B$300,$A561,'Igor'!$F$6:$F$300,"Concluído"))&amp;" / "&amp;(COUNTIF('Clarice'!$B$6:$B$300,$A561)+COUNTIF('Luisa'!$B$6:$B$300,$A561)+COUNTIF('Lui'!$B$6:$B$300,$A561)+COUNTIF('Thaís'!$B$6:$B$300,$A561)+COUNTIF('Daniel'!$B$6:$B$300,$A561)+COUNTIF('Fernando'!$B$6:$B$300,$A561)+COUNTIF('Stephanie'!$B$6:$B$300,$A561)+COUNTIF('Fox'!$B$6:$B$300,$A561)+COUNTIF('Bruna'!$B$6:$B$300,$A561)+COUNTIF('Stella'!$B$6:$B$300,$A561)+COUNTIF('Igor'!$B$6:$B$300,$A561)))</f>
        <v/>
      </c>
      <c r="P561" s="25">
        <f>IF($A561="","",IF(M561&lt;&gt;"",M561,IF(K561&lt;&gt;"",K561,"")))</f>
        <v/>
      </c>
      <c r="Q561" s="25">
        <f>IF($A561="","",IF(N561&lt;&gt;"",N561,IF(L561&lt;&gt;"",L561,"")))</f>
        <v/>
      </c>
      <c r="S561" s="23">
        <f t="array" ref="S561">IF($A561="","",_xlfn.TEXTJOIN(CHAR(10),TRUE,IF('Clarice'!$B$6:$B$300=$A561,"Clarice"&amp;IF('Clarice'!$E$6:$E$300="",""," : "&amp;'Clarice'!$E$6:$E$300)&amp;" ["&amp;'Clarice'!$F$6:$F$300&amp;"]",""),IF('Luisa'!$B$6:$B$300=$A561,"Luisa"&amp;IF('Luisa'!$E$6:$E$300="",""," : "&amp;'Luisa'!$E$6:$E$300)&amp;" ["&amp;'Luisa'!$F$6:$F$300&amp;"]",""),IF('Lui'!$B$6:$B$300=$A561,"Lui"&amp;IF('Lui'!$E$6:$E$300="",""," : "&amp;'Lui'!$E$6:$E$300)&amp;" ["&amp;'Lui'!$F$6:$F$300&amp;"]",""),IF('Thaís'!$B$6:$B$300=$A561,"Thaís"&amp;IF('Thaís'!$E$6:$E$300="",""," : "&amp;'Thaís'!$E$6:$E$300)&amp;" ["&amp;'Thaís'!$F$6:$F$300&amp;"]",""),IF('Daniel'!$B$6:$B$300=$A561,"Daniel"&amp;IF('Daniel'!$E$6:$E$300="",""," : "&amp;'Daniel'!$E$6:$E$300)&amp;" ["&amp;'Daniel'!$F$6:$F$300&amp;"]",""),IF('Fernando'!$B$6:$B$300=$A561,"Fernando"&amp;IF('Fernando'!$E$6:$E$300="",""," : "&amp;'Fernando'!$E$6:$E$300)&amp;" ["&amp;'Fernando'!$F$6:$F$300&amp;"]",""),IF('Stephanie'!$B$6:$B$300=$A561,"Stephanie"&amp;IF('Stephanie'!$E$6:$E$300="",""," : "&amp;'Stephanie'!$E$6:$E$300)&amp;" ["&amp;'Stephanie'!$F$6:$F$300&amp;"]",""),IF('Fox'!$B$6:$B$300=$A561,"Fox"&amp;IF('Fox'!$E$6:$E$300="",""," : "&amp;'Fox'!$E$6:$E$300)&amp;" ["&amp;'Fox'!$F$6:$F$300&amp;"]",""),IF('Bruna'!$B$6:$B$300=$A561,"Bruna"&amp;IF('Bruna'!$E$6:$E$300="",""," : "&amp;'Bruna'!$E$6:$E$300)&amp;" ["&amp;'Bruna'!$F$6:$F$300&amp;"]",""),IF('Stella'!$B$6:$B$300=$A561,"Stella"&amp;IF('Stella'!$E$6:$E$300="",""," : "&amp;'Stella'!$E$6:$E$300)&amp;" ["&amp;'Stella'!$F$6:$F$300&amp;"]",""),IF('Igor'!$B$6:$B$300=$A561,"Igor"&amp;IF('Igor'!$E$6:$E$300="",""," : "&amp;'Igor'!$E$6:$E$300)&amp;" ["&amp;'Igor'!$F$6:$F$300&amp;"]","")))</f>
        <v/>
      </c>
    </row>
    <row r="562">
      <c r="G562" s="23">
        <f>IF($A562="","",_xlfn.TEXTJOIN("; ",TRUE,IF(COUNTIF('Clarice'!$B$6:$B$300,$A562)&gt;0,"Clarice",""),IF(COUNTIF('Luisa'!$B$6:$B$300,$A562)&gt;0,"Luisa",""),IF(COUNTIF('Lui'!$B$6:$B$300,$A562)&gt;0,"Lui",""),IF(COUNTIF('Thaís'!$B$6:$B$300,$A562)&gt;0,"Thaís",""),IF(COUNTIF('Daniel'!$B$6:$B$300,$A562)&gt;0,"Daniel",""),IF(COUNTIF('Fernando'!$B$6:$B$300,$A562)&gt;0,"Fernando",""),IF(COUNTIF('Stephanie'!$B$6:$B$300,$A562)&gt;0,"Stephanie",""),IF(COUNTIF('Fox'!$B$6:$B$300,$A562)&gt;0,"Fox",""),IF(COUNTIF('Bruna'!$B$6:$B$300,$A562)&gt;0,"Bruna",""),IF(COUNTIF('Stella'!$B$6:$B$300,$A562)&gt;0,"Stella",""),IF(COUNTIF('Igor'!$B$6:$B$300,$A562)&gt;0,"Igor","")))</f>
        <v/>
      </c>
      <c r="J562" s="24">
        <f>IF(OR($A562="",(COUNTIF('Clarice'!$B$6:$B$300,$A562)+COUNTIF('Luisa'!$B$6:$B$300,$A562)+COUNTIF('Lui'!$B$6:$B$300,$A562)+COUNTIF('Thaís'!$B$6:$B$300,$A562)+COUNTIF('Daniel'!$B$6:$B$300,$A562)+COUNTIF('Fernando'!$B$6:$B$300,$A562)+COUNTIF('Stephanie'!$B$6:$B$300,$A562)+COUNTIF('Fox'!$B$6:$B$300,$A562)+COUNTIF('Bruna'!$B$6:$B$300,$A562)+COUNTIF('Stella'!$B$6:$B$300,$A562)+COUNTIF('Igor'!$B$6:$B$300,$A562))=0),"",(COUNTIFS('Clarice'!$B$6:$B$300,$A562,'Clarice'!$F$6:$F$300,"Concluído")+COUNTIFS('Luisa'!$B$6:$B$300,$A562,'Luisa'!$F$6:$F$300,"Concluído")+COUNTIFS('Lui'!$B$6:$B$300,$A562,'Lui'!$F$6:$F$300,"Concluído")+COUNTIFS('Thaís'!$B$6:$B$300,$A562,'Thaís'!$F$6:$F$300,"Concluído")+COUNTIFS('Daniel'!$B$6:$B$300,$A562,'Daniel'!$F$6:$F$300,"Concluído")+COUNTIFS('Fernando'!$B$6:$B$300,$A562,'Fernando'!$F$6:$F$300,"Concluído")+COUNTIFS('Stephanie'!$B$6:$B$300,$A562,'Stephanie'!$F$6:$F$300,"Concluído")+COUNTIFS('Fox'!$B$6:$B$300,$A562,'Fox'!$F$6:$F$300,"Concluído")+COUNTIFS('Bruna'!$B$6:$B$300,$A562,'Bruna'!$F$6:$F$300,"Concluído")+COUNTIFS('Stella'!$B$6:$B$300,$A562,'Stella'!$F$6:$F$300,"Concluído")+COUNTIFS('Igor'!$B$6:$B$300,$A562,'Igor'!$F$6:$F$300,"Concluído"))&amp;" / "&amp;(COUNTIF('Clarice'!$B$6:$B$300,$A562)+COUNTIF('Luisa'!$B$6:$B$300,$A562)+COUNTIF('Lui'!$B$6:$B$300,$A562)+COUNTIF('Thaís'!$B$6:$B$300,$A562)+COUNTIF('Daniel'!$B$6:$B$300,$A562)+COUNTIF('Fernando'!$B$6:$B$300,$A562)+COUNTIF('Stephanie'!$B$6:$B$300,$A562)+COUNTIF('Fox'!$B$6:$B$300,$A562)+COUNTIF('Bruna'!$B$6:$B$300,$A562)+COUNTIF('Stella'!$B$6:$B$300,$A562)+COUNTIF('Igor'!$B$6:$B$300,$A562)))</f>
        <v/>
      </c>
      <c r="P562" s="25">
        <f>IF($A562="","",IF(M562&lt;&gt;"",M562,IF(K562&lt;&gt;"",K562,"")))</f>
        <v/>
      </c>
      <c r="Q562" s="25">
        <f>IF($A562="","",IF(N562&lt;&gt;"",N562,IF(L562&lt;&gt;"",L562,"")))</f>
        <v/>
      </c>
      <c r="S562" s="23">
        <f t="array" ref="S562">IF($A562="","",_xlfn.TEXTJOIN(CHAR(10),TRUE,IF('Clarice'!$B$6:$B$300=$A562,"Clarice"&amp;IF('Clarice'!$E$6:$E$300="",""," : "&amp;'Clarice'!$E$6:$E$300)&amp;" ["&amp;'Clarice'!$F$6:$F$300&amp;"]",""),IF('Luisa'!$B$6:$B$300=$A562,"Luisa"&amp;IF('Luisa'!$E$6:$E$300="",""," : "&amp;'Luisa'!$E$6:$E$300)&amp;" ["&amp;'Luisa'!$F$6:$F$300&amp;"]",""),IF('Lui'!$B$6:$B$300=$A562,"Lui"&amp;IF('Lui'!$E$6:$E$300="",""," : "&amp;'Lui'!$E$6:$E$300)&amp;" ["&amp;'Lui'!$F$6:$F$300&amp;"]",""),IF('Thaís'!$B$6:$B$300=$A562,"Thaís"&amp;IF('Thaís'!$E$6:$E$300="",""," : "&amp;'Thaís'!$E$6:$E$300)&amp;" ["&amp;'Thaís'!$F$6:$F$300&amp;"]",""),IF('Daniel'!$B$6:$B$300=$A562,"Daniel"&amp;IF('Daniel'!$E$6:$E$300="",""," : "&amp;'Daniel'!$E$6:$E$300)&amp;" ["&amp;'Daniel'!$F$6:$F$300&amp;"]",""),IF('Fernando'!$B$6:$B$300=$A562,"Fernando"&amp;IF('Fernando'!$E$6:$E$300="",""," : "&amp;'Fernando'!$E$6:$E$300)&amp;" ["&amp;'Fernando'!$F$6:$F$300&amp;"]",""),IF('Stephanie'!$B$6:$B$300=$A562,"Stephanie"&amp;IF('Stephanie'!$E$6:$E$300="",""," : "&amp;'Stephanie'!$E$6:$E$300)&amp;" ["&amp;'Stephanie'!$F$6:$F$300&amp;"]",""),IF('Fox'!$B$6:$B$300=$A562,"Fox"&amp;IF('Fox'!$E$6:$E$300="",""," : "&amp;'Fox'!$E$6:$E$300)&amp;" ["&amp;'Fox'!$F$6:$F$300&amp;"]",""),IF('Bruna'!$B$6:$B$300=$A562,"Bruna"&amp;IF('Bruna'!$E$6:$E$300="",""," : "&amp;'Bruna'!$E$6:$E$300)&amp;" ["&amp;'Bruna'!$F$6:$F$300&amp;"]",""),IF('Stella'!$B$6:$B$300=$A562,"Stella"&amp;IF('Stella'!$E$6:$E$300="",""," : "&amp;'Stella'!$E$6:$E$300)&amp;" ["&amp;'Stella'!$F$6:$F$300&amp;"]",""),IF('Igor'!$B$6:$B$300=$A562,"Igor"&amp;IF('Igor'!$E$6:$E$300="",""," : "&amp;'Igor'!$E$6:$E$300)&amp;" ["&amp;'Igor'!$F$6:$F$300&amp;"]","")))</f>
        <v/>
      </c>
    </row>
    <row r="563">
      <c r="G563" s="23">
        <f>IF($A563="","",_xlfn.TEXTJOIN("; ",TRUE,IF(COUNTIF('Clarice'!$B$6:$B$300,$A563)&gt;0,"Clarice",""),IF(COUNTIF('Luisa'!$B$6:$B$300,$A563)&gt;0,"Luisa",""),IF(COUNTIF('Lui'!$B$6:$B$300,$A563)&gt;0,"Lui",""),IF(COUNTIF('Thaís'!$B$6:$B$300,$A563)&gt;0,"Thaís",""),IF(COUNTIF('Daniel'!$B$6:$B$300,$A563)&gt;0,"Daniel",""),IF(COUNTIF('Fernando'!$B$6:$B$300,$A563)&gt;0,"Fernando",""),IF(COUNTIF('Stephanie'!$B$6:$B$300,$A563)&gt;0,"Stephanie",""),IF(COUNTIF('Fox'!$B$6:$B$300,$A563)&gt;0,"Fox",""),IF(COUNTIF('Bruna'!$B$6:$B$300,$A563)&gt;0,"Bruna",""),IF(COUNTIF('Stella'!$B$6:$B$300,$A563)&gt;0,"Stella",""),IF(COUNTIF('Igor'!$B$6:$B$300,$A563)&gt;0,"Igor","")))</f>
        <v/>
      </c>
      <c r="J563" s="24">
        <f>IF(OR($A563="",(COUNTIF('Clarice'!$B$6:$B$300,$A563)+COUNTIF('Luisa'!$B$6:$B$300,$A563)+COUNTIF('Lui'!$B$6:$B$300,$A563)+COUNTIF('Thaís'!$B$6:$B$300,$A563)+COUNTIF('Daniel'!$B$6:$B$300,$A563)+COUNTIF('Fernando'!$B$6:$B$300,$A563)+COUNTIF('Stephanie'!$B$6:$B$300,$A563)+COUNTIF('Fox'!$B$6:$B$300,$A563)+COUNTIF('Bruna'!$B$6:$B$300,$A563)+COUNTIF('Stella'!$B$6:$B$300,$A563)+COUNTIF('Igor'!$B$6:$B$300,$A563))=0),"",(COUNTIFS('Clarice'!$B$6:$B$300,$A563,'Clarice'!$F$6:$F$300,"Concluído")+COUNTIFS('Luisa'!$B$6:$B$300,$A563,'Luisa'!$F$6:$F$300,"Concluído")+COUNTIFS('Lui'!$B$6:$B$300,$A563,'Lui'!$F$6:$F$300,"Concluído")+COUNTIFS('Thaís'!$B$6:$B$300,$A563,'Thaís'!$F$6:$F$300,"Concluído")+COUNTIFS('Daniel'!$B$6:$B$300,$A563,'Daniel'!$F$6:$F$300,"Concluído")+COUNTIFS('Fernando'!$B$6:$B$300,$A563,'Fernando'!$F$6:$F$300,"Concluído")+COUNTIFS('Stephanie'!$B$6:$B$300,$A563,'Stephanie'!$F$6:$F$300,"Concluído")+COUNTIFS('Fox'!$B$6:$B$300,$A563,'Fox'!$F$6:$F$300,"Concluído")+COUNTIFS('Bruna'!$B$6:$B$300,$A563,'Bruna'!$F$6:$F$300,"Concluído")+COUNTIFS('Stella'!$B$6:$B$300,$A563,'Stella'!$F$6:$F$300,"Concluído")+COUNTIFS('Igor'!$B$6:$B$300,$A563,'Igor'!$F$6:$F$300,"Concluído"))&amp;" / "&amp;(COUNTIF('Clarice'!$B$6:$B$300,$A563)+COUNTIF('Luisa'!$B$6:$B$300,$A563)+COUNTIF('Lui'!$B$6:$B$300,$A563)+COUNTIF('Thaís'!$B$6:$B$300,$A563)+COUNTIF('Daniel'!$B$6:$B$300,$A563)+COUNTIF('Fernando'!$B$6:$B$300,$A563)+COUNTIF('Stephanie'!$B$6:$B$300,$A563)+COUNTIF('Fox'!$B$6:$B$300,$A563)+COUNTIF('Bruna'!$B$6:$B$300,$A563)+COUNTIF('Stella'!$B$6:$B$300,$A563)+COUNTIF('Igor'!$B$6:$B$300,$A563)))</f>
        <v/>
      </c>
      <c r="P563" s="25">
        <f>IF($A563="","",IF(M563&lt;&gt;"",M563,IF(K563&lt;&gt;"",K563,"")))</f>
        <v/>
      </c>
      <c r="Q563" s="25">
        <f>IF($A563="","",IF(N563&lt;&gt;"",N563,IF(L563&lt;&gt;"",L563,"")))</f>
        <v/>
      </c>
      <c r="S563" s="23">
        <f t="array" ref="S563">IF($A563="","",_xlfn.TEXTJOIN(CHAR(10),TRUE,IF('Clarice'!$B$6:$B$300=$A563,"Clarice"&amp;IF('Clarice'!$E$6:$E$300="",""," : "&amp;'Clarice'!$E$6:$E$300)&amp;" ["&amp;'Clarice'!$F$6:$F$300&amp;"]",""),IF('Luisa'!$B$6:$B$300=$A563,"Luisa"&amp;IF('Luisa'!$E$6:$E$300="",""," : "&amp;'Luisa'!$E$6:$E$300)&amp;" ["&amp;'Luisa'!$F$6:$F$300&amp;"]",""),IF('Lui'!$B$6:$B$300=$A563,"Lui"&amp;IF('Lui'!$E$6:$E$300="",""," : "&amp;'Lui'!$E$6:$E$300)&amp;" ["&amp;'Lui'!$F$6:$F$300&amp;"]",""),IF('Thaís'!$B$6:$B$300=$A563,"Thaís"&amp;IF('Thaís'!$E$6:$E$300="",""," : "&amp;'Thaís'!$E$6:$E$300)&amp;" ["&amp;'Thaís'!$F$6:$F$300&amp;"]",""),IF('Daniel'!$B$6:$B$300=$A563,"Daniel"&amp;IF('Daniel'!$E$6:$E$300="",""," : "&amp;'Daniel'!$E$6:$E$300)&amp;" ["&amp;'Daniel'!$F$6:$F$300&amp;"]",""),IF('Fernando'!$B$6:$B$300=$A563,"Fernando"&amp;IF('Fernando'!$E$6:$E$300="",""," : "&amp;'Fernando'!$E$6:$E$300)&amp;" ["&amp;'Fernando'!$F$6:$F$300&amp;"]",""),IF('Stephanie'!$B$6:$B$300=$A563,"Stephanie"&amp;IF('Stephanie'!$E$6:$E$300="",""," : "&amp;'Stephanie'!$E$6:$E$300)&amp;" ["&amp;'Stephanie'!$F$6:$F$300&amp;"]",""),IF('Fox'!$B$6:$B$300=$A563,"Fox"&amp;IF('Fox'!$E$6:$E$300="",""," : "&amp;'Fox'!$E$6:$E$300)&amp;" ["&amp;'Fox'!$F$6:$F$300&amp;"]",""),IF('Bruna'!$B$6:$B$300=$A563,"Bruna"&amp;IF('Bruna'!$E$6:$E$300="",""," : "&amp;'Bruna'!$E$6:$E$300)&amp;" ["&amp;'Bruna'!$F$6:$F$300&amp;"]",""),IF('Stella'!$B$6:$B$300=$A563,"Stella"&amp;IF('Stella'!$E$6:$E$300="",""," : "&amp;'Stella'!$E$6:$E$300)&amp;" ["&amp;'Stella'!$F$6:$F$300&amp;"]",""),IF('Igor'!$B$6:$B$300=$A563,"Igor"&amp;IF('Igor'!$E$6:$E$300="",""," : "&amp;'Igor'!$E$6:$E$300)&amp;" ["&amp;'Igor'!$F$6:$F$300&amp;"]","")))</f>
        <v/>
      </c>
    </row>
    <row r="564">
      <c r="G564" s="23">
        <f>IF($A564="","",_xlfn.TEXTJOIN("; ",TRUE,IF(COUNTIF('Clarice'!$B$6:$B$300,$A564)&gt;0,"Clarice",""),IF(COUNTIF('Luisa'!$B$6:$B$300,$A564)&gt;0,"Luisa",""),IF(COUNTIF('Lui'!$B$6:$B$300,$A564)&gt;0,"Lui",""),IF(COUNTIF('Thaís'!$B$6:$B$300,$A564)&gt;0,"Thaís",""),IF(COUNTIF('Daniel'!$B$6:$B$300,$A564)&gt;0,"Daniel",""),IF(COUNTIF('Fernando'!$B$6:$B$300,$A564)&gt;0,"Fernando",""),IF(COUNTIF('Stephanie'!$B$6:$B$300,$A564)&gt;0,"Stephanie",""),IF(COUNTIF('Fox'!$B$6:$B$300,$A564)&gt;0,"Fox",""),IF(COUNTIF('Bruna'!$B$6:$B$300,$A564)&gt;0,"Bruna",""),IF(COUNTIF('Stella'!$B$6:$B$300,$A564)&gt;0,"Stella",""),IF(COUNTIF('Igor'!$B$6:$B$300,$A564)&gt;0,"Igor","")))</f>
        <v/>
      </c>
      <c r="J564" s="24">
        <f>IF(OR($A564="",(COUNTIF('Clarice'!$B$6:$B$300,$A564)+COUNTIF('Luisa'!$B$6:$B$300,$A564)+COUNTIF('Lui'!$B$6:$B$300,$A564)+COUNTIF('Thaís'!$B$6:$B$300,$A564)+COUNTIF('Daniel'!$B$6:$B$300,$A564)+COUNTIF('Fernando'!$B$6:$B$300,$A564)+COUNTIF('Stephanie'!$B$6:$B$300,$A564)+COUNTIF('Fox'!$B$6:$B$300,$A564)+COUNTIF('Bruna'!$B$6:$B$300,$A564)+COUNTIF('Stella'!$B$6:$B$300,$A564)+COUNTIF('Igor'!$B$6:$B$300,$A564))=0),"",(COUNTIFS('Clarice'!$B$6:$B$300,$A564,'Clarice'!$F$6:$F$300,"Concluído")+COUNTIFS('Luisa'!$B$6:$B$300,$A564,'Luisa'!$F$6:$F$300,"Concluído")+COUNTIFS('Lui'!$B$6:$B$300,$A564,'Lui'!$F$6:$F$300,"Concluído")+COUNTIFS('Thaís'!$B$6:$B$300,$A564,'Thaís'!$F$6:$F$300,"Concluído")+COUNTIFS('Daniel'!$B$6:$B$300,$A564,'Daniel'!$F$6:$F$300,"Concluído")+COUNTIFS('Fernando'!$B$6:$B$300,$A564,'Fernando'!$F$6:$F$300,"Concluído")+COUNTIFS('Stephanie'!$B$6:$B$300,$A564,'Stephanie'!$F$6:$F$300,"Concluído")+COUNTIFS('Fox'!$B$6:$B$300,$A564,'Fox'!$F$6:$F$300,"Concluído")+COUNTIFS('Bruna'!$B$6:$B$300,$A564,'Bruna'!$F$6:$F$300,"Concluído")+COUNTIFS('Stella'!$B$6:$B$300,$A564,'Stella'!$F$6:$F$300,"Concluído")+COUNTIFS('Igor'!$B$6:$B$300,$A564,'Igor'!$F$6:$F$300,"Concluído"))&amp;" / "&amp;(COUNTIF('Clarice'!$B$6:$B$300,$A564)+COUNTIF('Luisa'!$B$6:$B$300,$A564)+COUNTIF('Lui'!$B$6:$B$300,$A564)+COUNTIF('Thaís'!$B$6:$B$300,$A564)+COUNTIF('Daniel'!$B$6:$B$300,$A564)+COUNTIF('Fernando'!$B$6:$B$300,$A564)+COUNTIF('Stephanie'!$B$6:$B$300,$A564)+COUNTIF('Fox'!$B$6:$B$300,$A564)+COUNTIF('Bruna'!$B$6:$B$300,$A564)+COUNTIF('Stella'!$B$6:$B$300,$A564)+COUNTIF('Igor'!$B$6:$B$300,$A564)))</f>
        <v/>
      </c>
      <c r="P564" s="25">
        <f>IF($A564="","",IF(M564&lt;&gt;"",M564,IF(K564&lt;&gt;"",K564,"")))</f>
        <v/>
      </c>
      <c r="Q564" s="25">
        <f>IF($A564="","",IF(N564&lt;&gt;"",N564,IF(L564&lt;&gt;"",L564,"")))</f>
        <v/>
      </c>
      <c r="S564" s="23">
        <f t="array" ref="S564">IF($A564="","",_xlfn.TEXTJOIN(CHAR(10),TRUE,IF('Clarice'!$B$6:$B$300=$A564,"Clarice"&amp;IF('Clarice'!$E$6:$E$300="",""," : "&amp;'Clarice'!$E$6:$E$300)&amp;" ["&amp;'Clarice'!$F$6:$F$300&amp;"]",""),IF('Luisa'!$B$6:$B$300=$A564,"Luisa"&amp;IF('Luisa'!$E$6:$E$300="",""," : "&amp;'Luisa'!$E$6:$E$300)&amp;" ["&amp;'Luisa'!$F$6:$F$300&amp;"]",""),IF('Lui'!$B$6:$B$300=$A564,"Lui"&amp;IF('Lui'!$E$6:$E$300="",""," : "&amp;'Lui'!$E$6:$E$300)&amp;" ["&amp;'Lui'!$F$6:$F$300&amp;"]",""),IF('Thaís'!$B$6:$B$300=$A564,"Thaís"&amp;IF('Thaís'!$E$6:$E$300="",""," : "&amp;'Thaís'!$E$6:$E$300)&amp;" ["&amp;'Thaís'!$F$6:$F$300&amp;"]",""),IF('Daniel'!$B$6:$B$300=$A564,"Daniel"&amp;IF('Daniel'!$E$6:$E$300="",""," : "&amp;'Daniel'!$E$6:$E$300)&amp;" ["&amp;'Daniel'!$F$6:$F$300&amp;"]",""),IF('Fernando'!$B$6:$B$300=$A564,"Fernando"&amp;IF('Fernando'!$E$6:$E$300="",""," : "&amp;'Fernando'!$E$6:$E$300)&amp;" ["&amp;'Fernando'!$F$6:$F$300&amp;"]",""),IF('Stephanie'!$B$6:$B$300=$A564,"Stephanie"&amp;IF('Stephanie'!$E$6:$E$300="",""," : "&amp;'Stephanie'!$E$6:$E$300)&amp;" ["&amp;'Stephanie'!$F$6:$F$300&amp;"]",""),IF('Fox'!$B$6:$B$300=$A564,"Fox"&amp;IF('Fox'!$E$6:$E$300="",""," : "&amp;'Fox'!$E$6:$E$300)&amp;" ["&amp;'Fox'!$F$6:$F$300&amp;"]",""),IF('Bruna'!$B$6:$B$300=$A564,"Bruna"&amp;IF('Bruna'!$E$6:$E$300="",""," : "&amp;'Bruna'!$E$6:$E$300)&amp;" ["&amp;'Bruna'!$F$6:$F$300&amp;"]",""),IF('Stella'!$B$6:$B$300=$A564,"Stella"&amp;IF('Stella'!$E$6:$E$300="",""," : "&amp;'Stella'!$E$6:$E$300)&amp;" ["&amp;'Stella'!$F$6:$F$300&amp;"]",""),IF('Igor'!$B$6:$B$300=$A564,"Igor"&amp;IF('Igor'!$E$6:$E$300="",""," : "&amp;'Igor'!$E$6:$E$300)&amp;" ["&amp;'Igor'!$F$6:$F$300&amp;"]","")))</f>
        <v/>
      </c>
    </row>
    <row r="565">
      <c r="G565" s="23">
        <f>IF($A565="","",_xlfn.TEXTJOIN("; ",TRUE,IF(COUNTIF('Clarice'!$B$6:$B$300,$A565)&gt;0,"Clarice",""),IF(COUNTIF('Luisa'!$B$6:$B$300,$A565)&gt;0,"Luisa",""),IF(COUNTIF('Lui'!$B$6:$B$300,$A565)&gt;0,"Lui",""),IF(COUNTIF('Thaís'!$B$6:$B$300,$A565)&gt;0,"Thaís",""),IF(COUNTIF('Daniel'!$B$6:$B$300,$A565)&gt;0,"Daniel",""),IF(COUNTIF('Fernando'!$B$6:$B$300,$A565)&gt;0,"Fernando",""),IF(COUNTIF('Stephanie'!$B$6:$B$300,$A565)&gt;0,"Stephanie",""),IF(COUNTIF('Fox'!$B$6:$B$300,$A565)&gt;0,"Fox",""),IF(COUNTIF('Bruna'!$B$6:$B$300,$A565)&gt;0,"Bruna",""),IF(COUNTIF('Stella'!$B$6:$B$300,$A565)&gt;0,"Stella",""),IF(COUNTIF('Igor'!$B$6:$B$300,$A565)&gt;0,"Igor","")))</f>
        <v/>
      </c>
      <c r="J565" s="24">
        <f>IF(OR($A565="",(COUNTIF('Clarice'!$B$6:$B$300,$A565)+COUNTIF('Luisa'!$B$6:$B$300,$A565)+COUNTIF('Lui'!$B$6:$B$300,$A565)+COUNTIF('Thaís'!$B$6:$B$300,$A565)+COUNTIF('Daniel'!$B$6:$B$300,$A565)+COUNTIF('Fernando'!$B$6:$B$300,$A565)+COUNTIF('Stephanie'!$B$6:$B$300,$A565)+COUNTIF('Fox'!$B$6:$B$300,$A565)+COUNTIF('Bruna'!$B$6:$B$300,$A565)+COUNTIF('Stella'!$B$6:$B$300,$A565)+COUNTIF('Igor'!$B$6:$B$300,$A565))=0),"",(COUNTIFS('Clarice'!$B$6:$B$300,$A565,'Clarice'!$F$6:$F$300,"Concluído")+COUNTIFS('Luisa'!$B$6:$B$300,$A565,'Luisa'!$F$6:$F$300,"Concluído")+COUNTIFS('Lui'!$B$6:$B$300,$A565,'Lui'!$F$6:$F$300,"Concluído")+COUNTIFS('Thaís'!$B$6:$B$300,$A565,'Thaís'!$F$6:$F$300,"Concluído")+COUNTIFS('Daniel'!$B$6:$B$300,$A565,'Daniel'!$F$6:$F$300,"Concluído")+COUNTIFS('Fernando'!$B$6:$B$300,$A565,'Fernando'!$F$6:$F$300,"Concluído")+COUNTIFS('Stephanie'!$B$6:$B$300,$A565,'Stephanie'!$F$6:$F$300,"Concluído")+COUNTIFS('Fox'!$B$6:$B$300,$A565,'Fox'!$F$6:$F$300,"Concluído")+COUNTIFS('Bruna'!$B$6:$B$300,$A565,'Bruna'!$F$6:$F$300,"Concluído")+COUNTIFS('Stella'!$B$6:$B$300,$A565,'Stella'!$F$6:$F$300,"Concluído")+COUNTIFS('Igor'!$B$6:$B$300,$A565,'Igor'!$F$6:$F$300,"Concluído"))&amp;" / "&amp;(COUNTIF('Clarice'!$B$6:$B$300,$A565)+COUNTIF('Luisa'!$B$6:$B$300,$A565)+COUNTIF('Lui'!$B$6:$B$300,$A565)+COUNTIF('Thaís'!$B$6:$B$300,$A565)+COUNTIF('Daniel'!$B$6:$B$300,$A565)+COUNTIF('Fernando'!$B$6:$B$300,$A565)+COUNTIF('Stephanie'!$B$6:$B$300,$A565)+COUNTIF('Fox'!$B$6:$B$300,$A565)+COUNTIF('Bruna'!$B$6:$B$300,$A565)+COUNTIF('Stella'!$B$6:$B$300,$A565)+COUNTIF('Igor'!$B$6:$B$300,$A565)))</f>
        <v/>
      </c>
      <c r="P565" s="25">
        <f>IF($A565="","",IF(M565&lt;&gt;"",M565,IF(K565&lt;&gt;"",K565,"")))</f>
        <v/>
      </c>
      <c r="Q565" s="25">
        <f>IF($A565="","",IF(N565&lt;&gt;"",N565,IF(L565&lt;&gt;"",L565,"")))</f>
        <v/>
      </c>
      <c r="S565" s="23">
        <f t="array" ref="S565">IF($A565="","",_xlfn.TEXTJOIN(CHAR(10),TRUE,IF('Clarice'!$B$6:$B$300=$A565,"Clarice"&amp;IF('Clarice'!$E$6:$E$300="",""," : "&amp;'Clarice'!$E$6:$E$300)&amp;" ["&amp;'Clarice'!$F$6:$F$300&amp;"]",""),IF('Luisa'!$B$6:$B$300=$A565,"Luisa"&amp;IF('Luisa'!$E$6:$E$300="",""," : "&amp;'Luisa'!$E$6:$E$300)&amp;" ["&amp;'Luisa'!$F$6:$F$300&amp;"]",""),IF('Lui'!$B$6:$B$300=$A565,"Lui"&amp;IF('Lui'!$E$6:$E$300="",""," : "&amp;'Lui'!$E$6:$E$300)&amp;" ["&amp;'Lui'!$F$6:$F$300&amp;"]",""),IF('Thaís'!$B$6:$B$300=$A565,"Thaís"&amp;IF('Thaís'!$E$6:$E$300="",""," : "&amp;'Thaís'!$E$6:$E$300)&amp;" ["&amp;'Thaís'!$F$6:$F$300&amp;"]",""),IF('Daniel'!$B$6:$B$300=$A565,"Daniel"&amp;IF('Daniel'!$E$6:$E$300="",""," : "&amp;'Daniel'!$E$6:$E$300)&amp;" ["&amp;'Daniel'!$F$6:$F$300&amp;"]",""),IF('Fernando'!$B$6:$B$300=$A565,"Fernando"&amp;IF('Fernando'!$E$6:$E$300="",""," : "&amp;'Fernando'!$E$6:$E$300)&amp;" ["&amp;'Fernando'!$F$6:$F$300&amp;"]",""),IF('Stephanie'!$B$6:$B$300=$A565,"Stephanie"&amp;IF('Stephanie'!$E$6:$E$300="",""," : "&amp;'Stephanie'!$E$6:$E$300)&amp;" ["&amp;'Stephanie'!$F$6:$F$300&amp;"]",""),IF('Fox'!$B$6:$B$300=$A565,"Fox"&amp;IF('Fox'!$E$6:$E$300="",""," : "&amp;'Fox'!$E$6:$E$300)&amp;" ["&amp;'Fox'!$F$6:$F$300&amp;"]",""),IF('Bruna'!$B$6:$B$300=$A565,"Bruna"&amp;IF('Bruna'!$E$6:$E$300="",""," : "&amp;'Bruna'!$E$6:$E$300)&amp;" ["&amp;'Bruna'!$F$6:$F$300&amp;"]",""),IF('Stella'!$B$6:$B$300=$A565,"Stella"&amp;IF('Stella'!$E$6:$E$300="",""," : "&amp;'Stella'!$E$6:$E$300)&amp;" ["&amp;'Stella'!$F$6:$F$300&amp;"]",""),IF('Igor'!$B$6:$B$300=$A565,"Igor"&amp;IF('Igor'!$E$6:$E$300="",""," : "&amp;'Igor'!$E$6:$E$300)&amp;" ["&amp;'Igor'!$F$6:$F$300&amp;"]","")))</f>
        <v/>
      </c>
    </row>
    <row r="566">
      <c r="G566" s="23">
        <f>IF($A566="","",_xlfn.TEXTJOIN("; ",TRUE,IF(COUNTIF('Clarice'!$B$6:$B$300,$A566)&gt;0,"Clarice",""),IF(COUNTIF('Luisa'!$B$6:$B$300,$A566)&gt;0,"Luisa",""),IF(COUNTIF('Lui'!$B$6:$B$300,$A566)&gt;0,"Lui",""),IF(COUNTIF('Thaís'!$B$6:$B$300,$A566)&gt;0,"Thaís",""),IF(COUNTIF('Daniel'!$B$6:$B$300,$A566)&gt;0,"Daniel",""),IF(COUNTIF('Fernando'!$B$6:$B$300,$A566)&gt;0,"Fernando",""),IF(COUNTIF('Stephanie'!$B$6:$B$300,$A566)&gt;0,"Stephanie",""),IF(COUNTIF('Fox'!$B$6:$B$300,$A566)&gt;0,"Fox",""),IF(COUNTIF('Bruna'!$B$6:$B$300,$A566)&gt;0,"Bruna",""),IF(COUNTIF('Stella'!$B$6:$B$300,$A566)&gt;0,"Stella",""),IF(COUNTIF('Igor'!$B$6:$B$300,$A566)&gt;0,"Igor","")))</f>
        <v/>
      </c>
      <c r="J566" s="24">
        <f>IF(OR($A566="",(COUNTIF('Clarice'!$B$6:$B$300,$A566)+COUNTIF('Luisa'!$B$6:$B$300,$A566)+COUNTIF('Lui'!$B$6:$B$300,$A566)+COUNTIF('Thaís'!$B$6:$B$300,$A566)+COUNTIF('Daniel'!$B$6:$B$300,$A566)+COUNTIF('Fernando'!$B$6:$B$300,$A566)+COUNTIF('Stephanie'!$B$6:$B$300,$A566)+COUNTIF('Fox'!$B$6:$B$300,$A566)+COUNTIF('Bruna'!$B$6:$B$300,$A566)+COUNTIF('Stella'!$B$6:$B$300,$A566)+COUNTIF('Igor'!$B$6:$B$300,$A566))=0),"",(COUNTIFS('Clarice'!$B$6:$B$300,$A566,'Clarice'!$F$6:$F$300,"Concluído")+COUNTIFS('Luisa'!$B$6:$B$300,$A566,'Luisa'!$F$6:$F$300,"Concluído")+COUNTIFS('Lui'!$B$6:$B$300,$A566,'Lui'!$F$6:$F$300,"Concluído")+COUNTIFS('Thaís'!$B$6:$B$300,$A566,'Thaís'!$F$6:$F$300,"Concluído")+COUNTIFS('Daniel'!$B$6:$B$300,$A566,'Daniel'!$F$6:$F$300,"Concluído")+COUNTIFS('Fernando'!$B$6:$B$300,$A566,'Fernando'!$F$6:$F$300,"Concluído")+COUNTIFS('Stephanie'!$B$6:$B$300,$A566,'Stephanie'!$F$6:$F$300,"Concluído")+COUNTIFS('Fox'!$B$6:$B$300,$A566,'Fox'!$F$6:$F$300,"Concluído")+COUNTIFS('Bruna'!$B$6:$B$300,$A566,'Bruna'!$F$6:$F$300,"Concluído")+COUNTIFS('Stella'!$B$6:$B$300,$A566,'Stella'!$F$6:$F$300,"Concluído")+COUNTIFS('Igor'!$B$6:$B$300,$A566,'Igor'!$F$6:$F$300,"Concluído"))&amp;" / "&amp;(COUNTIF('Clarice'!$B$6:$B$300,$A566)+COUNTIF('Luisa'!$B$6:$B$300,$A566)+COUNTIF('Lui'!$B$6:$B$300,$A566)+COUNTIF('Thaís'!$B$6:$B$300,$A566)+COUNTIF('Daniel'!$B$6:$B$300,$A566)+COUNTIF('Fernando'!$B$6:$B$300,$A566)+COUNTIF('Stephanie'!$B$6:$B$300,$A566)+COUNTIF('Fox'!$B$6:$B$300,$A566)+COUNTIF('Bruna'!$B$6:$B$300,$A566)+COUNTIF('Stella'!$B$6:$B$300,$A566)+COUNTIF('Igor'!$B$6:$B$300,$A566)))</f>
        <v/>
      </c>
      <c r="P566" s="25">
        <f>IF($A566="","",IF(M566&lt;&gt;"",M566,IF(K566&lt;&gt;"",K566,"")))</f>
        <v/>
      </c>
      <c r="Q566" s="25">
        <f>IF($A566="","",IF(N566&lt;&gt;"",N566,IF(L566&lt;&gt;"",L566,"")))</f>
        <v/>
      </c>
      <c r="S566" s="23">
        <f t="array" ref="S566">IF($A566="","",_xlfn.TEXTJOIN(CHAR(10),TRUE,IF('Clarice'!$B$6:$B$300=$A566,"Clarice"&amp;IF('Clarice'!$E$6:$E$300="",""," : "&amp;'Clarice'!$E$6:$E$300)&amp;" ["&amp;'Clarice'!$F$6:$F$300&amp;"]",""),IF('Luisa'!$B$6:$B$300=$A566,"Luisa"&amp;IF('Luisa'!$E$6:$E$300="",""," : "&amp;'Luisa'!$E$6:$E$300)&amp;" ["&amp;'Luisa'!$F$6:$F$300&amp;"]",""),IF('Lui'!$B$6:$B$300=$A566,"Lui"&amp;IF('Lui'!$E$6:$E$300="",""," : "&amp;'Lui'!$E$6:$E$300)&amp;" ["&amp;'Lui'!$F$6:$F$300&amp;"]",""),IF('Thaís'!$B$6:$B$300=$A566,"Thaís"&amp;IF('Thaís'!$E$6:$E$300="",""," : "&amp;'Thaís'!$E$6:$E$300)&amp;" ["&amp;'Thaís'!$F$6:$F$300&amp;"]",""),IF('Daniel'!$B$6:$B$300=$A566,"Daniel"&amp;IF('Daniel'!$E$6:$E$300="",""," : "&amp;'Daniel'!$E$6:$E$300)&amp;" ["&amp;'Daniel'!$F$6:$F$300&amp;"]",""),IF('Fernando'!$B$6:$B$300=$A566,"Fernando"&amp;IF('Fernando'!$E$6:$E$300="",""," : "&amp;'Fernando'!$E$6:$E$300)&amp;" ["&amp;'Fernando'!$F$6:$F$300&amp;"]",""),IF('Stephanie'!$B$6:$B$300=$A566,"Stephanie"&amp;IF('Stephanie'!$E$6:$E$300="",""," : "&amp;'Stephanie'!$E$6:$E$300)&amp;" ["&amp;'Stephanie'!$F$6:$F$300&amp;"]",""),IF('Fox'!$B$6:$B$300=$A566,"Fox"&amp;IF('Fox'!$E$6:$E$300="",""," : "&amp;'Fox'!$E$6:$E$300)&amp;" ["&amp;'Fox'!$F$6:$F$300&amp;"]",""),IF('Bruna'!$B$6:$B$300=$A566,"Bruna"&amp;IF('Bruna'!$E$6:$E$300="",""," : "&amp;'Bruna'!$E$6:$E$300)&amp;" ["&amp;'Bruna'!$F$6:$F$300&amp;"]",""),IF('Stella'!$B$6:$B$300=$A566,"Stella"&amp;IF('Stella'!$E$6:$E$300="",""," : "&amp;'Stella'!$E$6:$E$300)&amp;" ["&amp;'Stella'!$F$6:$F$300&amp;"]",""),IF('Igor'!$B$6:$B$300=$A566,"Igor"&amp;IF('Igor'!$E$6:$E$300="",""," : "&amp;'Igor'!$E$6:$E$300)&amp;" ["&amp;'Igor'!$F$6:$F$300&amp;"]","")))</f>
        <v/>
      </c>
    </row>
    <row r="567">
      <c r="G567" s="23">
        <f>IF($A567="","",_xlfn.TEXTJOIN("; ",TRUE,IF(COUNTIF('Clarice'!$B$6:$B$300,$A567)&gt;0,"Clarice",""),IF(COUNTIF('Luisa'!$B$6:$B$300,$A567)&gt;0,"Luisa",""),IF(COUNTIF('Lui'!$B$6:$B$300,$A567)&gt;0,"Lui",""),IF(COUNTIF('Thaís'!$B$6:$B$300,$A567)&gt;0,"Thaís",""),IF(COUNTIF('Daniel'!$B$6:$B$300,$A567)&gt;0,"Daniel",""),IF(COUNTIF('Fernando'!$B$6:$B$300,$A567)&gt;0,"Fernando",""),IF(COUNTIF('Stephanie'!$B$6:$B$300,$A567)&gt;0,"Stephanie",""),IF(COUNTIF('Fox'!$B$6:$B$300,$A567)&gt;0,"Fox",""),IF(COUNTIF('Bruna'!$B$6:$B$300,$A567)&gt;0,"Bruna",""),IF(COUNTIF('Stella'!$B$6:$B$300,$A567)&gt;0,"Stella",""),IF(COUNTIF('Igor'!$B$6:$B$300,$A567)&gt;0,"Igor","")))</f>
        <v/>
      </c>
      <c r="J567" s="24">
        <f>IF(OR($A567="",(COUNTIF('Clarice'!$B$6:$B$300,$A567)+COUNTIF('Luisa'!$B$6:$B$300,$A567)+COUNTIF('Lui'!$B$6:$B$300,$A567)+COUNTIF('Thaís'!$B$6:$B$300,$A567)+COUNTIF('Daniel'!$B$6:$B$300,$A567)+COUNTIF('Fernando'!$B$6:$B$300,$A567)+COUNTIF('Stephanie'!$B$6:$B$300,$A567)+COUNTIF('Fox'!$B$6:$B$300,$A567)+COUNTIF('Bruna'!$B$6:$B$300,$A567)+COUNTIF('Stella'!$B$6:$B$300,$A567)+COUNTIF('Igor'!$B$6:$B$300,$A567))=0),"",(COUNTIFS('Clarice'!$B$6:$B$300,$A567,'Clarice'!$F$6:$F$300,"Concluído")+COUNTIFS('Luisa'!$B$6:$B$300,$A567,'Luisa'!$F$6:$F$300,"Concluído")+COUNTIFS('Lui'!$B$6:$B$300,$A567,'Lui'!$F$6:$F$300,"Concluído")+COUNTIFS('Thaís'!$B$6:$B$300,$A567,'Thaís'!$F$6:$F$300,"Concluído")+COUNTIFS('Daniel'!$B$6:$B$300,$A567,'Daniel'!$F$6:$F$300,"Concluído")+COUNTIFS('Fernando'!$B$6:$B$300,$A567,'Fernando'!$F$6:$F$300,"Concluído")+COUNTIFS('Stephanie'!$B$6:$B$300,$A567,'Stephanie'!$F$6:$F$300,"Concluído")+COUNTIFS('Fox'!$B$6:$B$300,$A567,'Fox'!$F$6:$F$300,"Concluído")+COUNTIFS('Bruna'!$B$6:$B$300,$A567,'Bruna'!$F$6:$F$300,"Concluído")+COUNTIFS('Stella'!$B$6:$B$300,$A567,'Stella'!$F$6:$F$300,"Concluído")+COUNTIFS('Igor'!$B$6:$B$300,$A567,'Igor'!$F$6:$F$300,"Concluído"))&amp;" / "&amp;(COUNTIF('Clarice'!$B$6:$B$300,$A567)+COUNTIF('Luisa'!$B$6:$B$300,$A567)+COUNTIF('Lui'!$B$6:$B$300,$A567)+COUNTIF('Thaís'!$B$6:$B$300,$A567)+COUNTIF('Daniel'!$B$6:$B$300,$A567)+COUNTIF('Fernando'!$B$6:$B$300,$A567)+COUNTIF('Stephanie'!$B$6:$B$300,$A567)+COUNTIF('Fox'!$B$6:$B$300,$A567)+COUNTIF('Bruna'!$B$6:$B$300,$A567)+COUNTIF('Stella'!$B$6:$B$300,$A567)+COUNTIF('Igor'!$B$6:$B$300,$A567)))</f>
        <v/>
      </c>
      <c r="P567" s="25">
        <f>IF($A567="","",IF(M567&lt;&gt;"",M567,IF(K567&lt;&gt;"",K567,"")))</f>
        <v/>
      </c>
      <c r="Q567" s="25">
        <f>IF($A567="","",IF(N567&lt;&gt;"",N567,IF(L567&lt;&gt;"",L567,"")))</f>
        <v/>
      </c>
      <c r="S567" s="23">
        <f t="array" ref="S567">IF($A567="","",_xlfn.TEXTJOIN(CHAR(10),TRUE,IF('Clarice'!$B$6:$B$300=$A567,"Clarice"&amp;IF('Clarice'!$E$6:$E$300="",""," : "&amp;'Clarice'!$E$6:$E$300)&amp;" ["&amp;'Clarice'!$F$6:$F$300&amp;"]",""),IF('Luisa'!$B$6:$B$300=$A567,"Luisa"&amp;IF('Luisa'!$E$6:$E$300="",""," : "&amp;'Luisa'!$E$6:$E$300)&amp;" ["&amp;'Luisa'!$F$6:$F$300&amp;"]",""),IF('Lui'!$B$6:$B$300=$A567,"Lui"&amp;IF('Lui'!$E$6:$E$300="",""," : "&amp;'Lui'!$E$6:$E$300)&amp;" ["&amp;'Lui'!$F$6:$F$300&amp;"]",""),IF('Thaís'!$B$6:$B$300=$A567,"Thaís"&amp;IF('Thaís'!$E$6:$E$300="",""," : "&amp;'Thaís'!$E$6:$E$300)&amp;" ["&amp;'Thaís'!$F$6:$F$300&amp;"]",""),IF('Daniel'!$B$6:$B$300=$A567,"Daniel"&amp;IF('Daniel'!$E$6:$E$300="",""," : "&amp;'Daniel'!$E$6:$E$300)&amp;" ["&amp;'Daniel'!$F$6:$F$300&amp;"]",""),IF('Fernando'!$B$6:$B$300=$A567,"Fernando"&amp;IF('Fernando'!$E$6:$E$300="",""," : "&amp;'Fernando'!$E$6:$E$300)&amp;" ["&amp;'Fernando'!$F$6:$F$300&amp;"]",""),IF('Stephanie'!$B$6:$B$300=$A567,"Stephanie"&amp;IF('Stephanie'!$E$6:$E$300="",""," : "&amp;'Stephanie'!$E$6:$E$300)&amp;" ["&amp;'Stephanie'!$F$6:$F$300&amp;"]",""),IF('Fox'!$B$6:$B$300=$A567,"Fox"&amp;IF('Fox'!$E$6:$E$300="",""," : "&amp;'Fox'!$E$6:$E$300)&amp;" ["&amp;'Fox'!$F$6:$F$300&amp;"]",""),IF('Bruna'!$B$6:$B$300=$A567,"Bruna"&amp;IF('Bruna'!$E$6:$E$300="",""," : "&amp;'Bruna'!$E$6:$E$300)&amp;" ["&amp;'Bruna'!$F$6:$F$300&amp;"]",""),IF('Stella'!$B$6:$B$300=$A567,"Stella"&amp;IF('Stella'!$E$6:$E$300="",""," : "&amp;'Stella'!$E$6:$E$300)&amp;" ["&amp;'Stella'!$F$6:$F$300&amp;"]",""),IF('Igor'!$B$6:$B$300=$A567,"Igor"&amp;IF('Igor'!$E$6:$E$300="",""," : "&amp;'Igor'!$E$6:$E$300)&amp;" ["&amp;'Igor'!$F$6:$F$300&amp;"]","")))</f>
        <v/>
      </c>
    </row>
    <row r="568">
      <c r="G568" s="23">
        <f>IF($A568="","",_xlfn.TEXTJOIN("; ",TRUE,IF(COUNTIF('Clarice'!$B$6:$B$300,$A568)&gt;0,"Clarice",""),IF(COUNTIF('Luisa'!$B$6:$B$300,$A568)&gt;0,"Luisa",""),IF(COUNTIF('Lui'!$B$6:$B$300,$A568)&gt;0,"Lui",""),IF(COUNTIF('Thaís'!$B$6:$B$300,$A568)&gt;0,"Thaís",""),IF(COUNTIF('Daniel'!$B$6:$B$300,$A568)&gt;0,"Daniel",""),IF(COUNTIF('Fernando'!$B$6:$B$300,$A568)&gt;0,"Fernando",""),IF(COUNTIF('Stephanie'!$B$6:$B$300,$A568)&gt;0,"Stephanie",""),IF(COUNTIF('Fox'!$B$6:$B$300,$A568)&gt;0,"Fox",""),IF(COUNTIF('Bruna'!$B$6:$B$300,$A568)&gt;0,"Bruna",""),IF(COUNTIF('Stella'!$B$6:$B$300,$A568)&gt;0,"Stella",""),IF(COUNTIF('Igor'!$B$6:$B$300,$A568)&gt;0,"Igor","")))</f>
        <v/>
      </c>
      <c r="J568" s="24">
        <f>IF(OR($A568="",(COUNTIF('Clarice'!$B$6:$B$300,$A568)+COUNTIF('Luisa'!$B$6:$B$300,$A568)+COUNTIF('Lui'!$B$6:$B$300,$A568)+COUNTIF('Thaís'!$B$6:$B$300,$A568)+COUNTIF('Daniel'!$B$6:$B$300,$A568)+COUNTIF('Fernando'!$B$6:$B$300,$A568)+COUNTIF('Stephanie'!$B$6:$B$300,$A568)+COUNTIF('Fox'!$B$6:$B$300,$A568)+COUNTIF('Bruna'!$B$6:$B$300,$A568)+COUNTIF('Stella'!$B$6:$B$300,$A568)+COUNTIF('Igor'!$B$6:$B$300,$A568))=0),"",(COUNTIFS('Clarice'!$B$6:$B$300,$A568,'Clarice'!$F$6:$F$300,"Concluído")+COUNTIFS('Luisa'!$B$6:$B$300,$A568,'Luisa'!$F$6:$F$300,"Concluído")+COUNTIFS('Lui'!$B$6:$B$300,$A568,'Lui'!$F$6:$F$300,"Concluído")+COUNTIFS('Thaís'!$B$6:$B$300,$A568,'Thaís'!$F$6:$F$300,"Concluído")+COUNTIFS('Daniel'!$B$6:$B$300,$A568,'Daniel'!$F$6:$F$300,"Concluído")+COUNTIFS('Fernando'!$B$6:$B$300,$A568,'Fernando'!$F$6:$F$300,"Concluído")+COUNTIFS('Stephanie'!$B$6:$B$300,$A568,'Stephanie'!$F$6:$F$300,"Concluído")+COUNTIFS('Fox'!$B$6:$B$300,$A568,'Fox'!$F$6:$F$300,"Concluído")+COUNTIFS('Bruna'!$B$6:$B$300,$A568,'Bruna'!$F$6:$F$300,"Concluído")+COUNTIFS('Stella'!$B$6:$B$300,$A568,'Stella'!$F$6:$F$300,"Concluído")+COUNTIFS('Igor'!$B$6:$B$300,$A568,'Igor'!$F$6:$F$300,"Concluído"))&amp;" / "&amp;(COUNTIF('Clarice'!$B$6:$B$300,$A568)+COUNTIF('Luisa'!$B$6:$B$300,$A568)+COUNTIF('Lui'!$B$6:$B$300,$A568)+COUNTIF('Thaís'!$B$6:$B$300,$A568)+COUNTIF('Daniel'!$B$6:$B$300,$A568)+COUNTIF('Fernando'!$B$6:$B$300,$A568)+COUNTIF('Stephanie'!$B$6:$B$300,$A568)+COUNTIF('Fox'!$B$6:$B$300,$A568)+COUNTIF('Bruna'!$B$6:$B$300,$A568)+COUNTIF('Stella'!$B$6:$B$300,$A568)+COUNTIF('Igor'!$B$6:$B$300,$A568)))</f>
        <v/>
      </c>
      <c r="P568" s="25">
        <f>IF($A568="","",IF(M568&lt;&gt;"",M568,IF(K568&lt;&gt;"",K568,"")))</f>
        <v/>
      </c>
      <c r="Q568" s="25">
        <f>IF($A568="","",IF(N568&lt;&gt;"",N568,IF(L568&lt;&gt;"",L568,"")))</f>
        <v/>
      </c>
      <c r="S568" s="23">
        <f t="array" ref="S568">IF($A568="","",_xlfn.TEXTJOIN(CHAR(10),TRUE,IF('Clarice'!$B$6:$B$300=$A568,"Clarice"&amp;IF('Clarice'!$E$6:$E$300="",""," : "&amp;'Clarice'!$E$6:$E$300)&amp;" ["&amp;'Clarice'!$F$6:$F$300&amp;"]",""),IF('Luisa'!$B$6:$B$300=$A568,"Luisa"&amp;IF('Luisa'!$E$6:$E$300="",""," : "&amp;'Luisa'!$E$6:$E$300)&amp;" ["&amp;'Luisa'!$F$6:$F$300&amp;"]",""),IF('Lui'!$B$6:$B$300=$A568,"Lui"&amp;IF('Lui'!$E$6:$E$300="",""," : "&amp;'Lui'!$E$6:$E$300)&amp;" ["&amp;'Lui'!$F$6:$F$300&amp;"]",""),IF('Thaís'!$B$6:$B$300=$A568,"Thaís"&amp;IF('Thaís'!$E$6:$E$300="",""," : "&amp;'Thaís'!$E$6:$E$300)&amp;" ["&amp;'Thaís'!$F$6:$F$300&amp;"]",""),IF('Daniel'!$B$6:$B$300=$A568,"Daniel"&amp;IF('Daniel'!$E$6:$E$300="",""," : "&amp;'Daniel'!$E$6:$E$300)&amp;" ["&amp;'Daniel'!$F$6:$F$300&amp;"]",""),IF('Fernando'!$B$6:$B$300=$A568,"Fernando"&amp;IF('Fernando'!$E$6:$E$300="",""," : "&amp;'Fernando'!$E$6:$E$300)&amp;" ["&amp;'Fernando'!$F$6:$F$300&amp;"]",""),IF('Stephanie'!$B$6:$B$300=$A568,"Stephanie"&amp;IF('Stephanie'!$E$6:$E$300="",""," : "&amp;'Stephanie'!$E$6:$E$300)&amp;" ["&amp;'Stephanie'!$F$6:$F$300&amp;"]",""),IF('Fox'!$B$6:$B$300=$A568,"Fox"&amp;IF('Fox'!$E$6:$E$300="",""," : "&amp;'Fox'!$E$6:$E$300)&amp;" ["&amp;'Fox'!$F$6:$F$300&amp;"]",""),IF('Bruna'!$B$6:$B$300=$A568,"Bruna"&amp;IF('Bruna'!$E$6:$E$300="",""," : "&amp;'Bruna'!$E$6:$E$300)&amp;" ["&amp;'Bruna'!$F$6:$F$300&amp;"]",""),IF('Stella'!$B$6:$B$300=$A568,"Stella"&amp;IF('Stella'!$E$6:$E$300="",""," : "&amp;'Stella'!$E$6:$E$300)&amp;" ["&amp;'Stella'!$F$6:$F$300&amp;"]",""),IF('Igor'!$B$6:$B$300=$A568,"Igor"&amp;IF('Igor'!$E$6:$E$300="",""," : "&amp;'Igor'!$E$6:$E$300)&amp;" ["&amp;'Igor'!$F$6:$F$300&amp;"]","")))</f>
        <v/>
      </c>
    </row>
    <row r="569">
      <c r="G569" s="23">
        <f>IF($A569="","",_xlfn.TEXTJOIN("; ",TRUE,IF(COUNTIF('Clarice'!$B$6:$B$300,$A569)&gt;0,"Clarice",""),IF(COUNTIF('Luisa'!$B$6:$B$300,$A569)&gt;0,"Luisa",""),IF(COUNTIF('Lui'!$B$6:$B$300,$A569)&gt;0,"Lui",""),IF(COUNTIF('Thaís'!$B$6:$B$300,$A569)&gt;0,"Thaís",""),IF(COUNTIF('Daniel'!$B$6:$B$300,$A569)&gt;0,"Daniel",""),IF(COUNTIF('Fernando'!$B$6:$B$300,$A569)&gt;0,"Fernando",""),IF(COUNTIF('Stephanie'!$B$6:$B$300,$A569)&gt;0,"Stephanie",""),IF(COUNTIF('Fox'!$B$6:$B$300,$A569)&gt;0,"Fox",""),IF(COUNTIF('Bruna'!$B$6:$B$300,$A569)&gt;0,"Bruna",""),IF(COUNTIF('Stella'!$B$6:$B$300,$A569)&gt;0,"Stella",""),IF(COUNTIF('Igor'!$B$6:$B$300,$A569)&gt;0,"Igor","")))</f>
        <v/>
      </c>
      <c r="J569" s="24">
        <f>IF(OR($A569="",(COUNTIF('Clarice'!$B$6:$B$300,$A569)+COUNTIF('Luisa'!$B$6:$B$300,$A569)+COUNTIF('Lui'!$B$6:$B$300,$A569)+COUNTIF('Thaís'!$B$6:$B$300,$A569)+COUNTIF('Daniel'!$B$6:$B$300,$A569)+COUNTIF('Fernando'!$B$6:$B$300,$A569)+COUNTIF('Stephanie'!$B$6:$B$300,$A569)+COUNTIF('Fox'!$B$6:$B$300,$A569)+COUNTIF('Bruna'!$B$6:$B$300,$A569)+COUNTIF('Stella'!$B$6:$B$300,$A569)+COUNTIF('Igor'!$B$6:$B$300,$A569))=0),"",(COUNTIFS('Clarice'!$B$6:$B$300,$A569,'Clarice'!$F$6:$F$300,"Concluído")+COUNTIFS('Luisa'!$B$6:$B$300,$A569,'Luisa'!$F$6:$F$300,"Concluído")+COUNTIFS('Lui'!$B$6:$B$300,$A569,'Lui'!$F$6:$F$300,"Concluído")+COUNTIFS('Thaís'!$B$6:$B$300,$A569,'Thaís'!$F$6:$F$300,"Concluído")+COUNTIFS('Daniel'!$B$6:$B$300,$A569,'Daniel'!$F$6:$F$300,"Concluído")+COUNTIFS('Fernando'!$B$6:$B$300,$A569,'Fernando'!$F$6:$F$300,"Concluído")+COUNTIFS('Stephanie'!$B$6:$B$300,$A569,'Stephanie'!$F$6:$F$300,"Concluído")+COUNTIFS('Fox'!$B$6:$B$300,$A569,'Fox'!$F$6:$F$300,"Concluído")+COUNTIFS('Bruna'!$B$6:$B$300,$A569,'Bruna'!$F$6:$F$300,"Concluído")+COUNTIFS('Stella'!$B$6:$B$300,$A569,'Stella'!$F$6:$F$300,"Concluído")+COUNTIFS('Igor'!$B$6:$B$300,$A569,'Igor'!$F$6:$F$300,"Concluído"))&amp;" / "&amp;(COUNTIF('Clarice'!$B$6:$B$300,$A569)+COUNTIF('Luisa'!$B$6:$B$300,$A569)+COUNTIF('Lui'!$B$6:$B$300,$A569)+COUNTIF('Thaís'!$B$6:$B$300,$A569)+COUNTIF('Daniel'!$B$6:$B$300,$A569)+COUNTIF('Fernando'!$B$6:$B$300,$A569)+COUNTIF('Stephanie'!$B$6:$B$300,$A569)+COUNTIF('Fox'!$B$6:$B$300,$A569)+COUNTIF('Bruna'!$B$6:$B$300,$A569)+COUNTIF('Stella'!$B$6:$B$300,$A569)+COUNTIF('Igor'!$B$6:$B$300,$A569)))</f>
        <v/>
      </c>
      <c r="P569" s="25">
        <f>IF($A569="","",IF(M569&lt;&gt;"",M569,IF(K569&lt;&gt;"",K569,"")))</f>
        <v/>
      </c>
      <c r="Q569" s="25">
        <f>IF($A569="","",IF(N569&lt;&gt;"",N569,IF(L569&lt;&gt;"",L569,"")))</f>
        <v/>
      </c>
      <c r="S569" s="23">
        <f t="array" ref="S569">IF($A569="","",_xlfn.TEXTJOIN(CHAR(10),TRUE,IF('Clarice'!$B$6:$B$300=$A569,"Clarice"&amp;IF('Clarice'!$E$6:$E$300="",""," : "&amp;'Clarice'!$E$6:$E$300)&amp;" ["&amp;'Clarice'!$F$6:$F$300&amp;"]",""),IF('Luisa'!$B$6:$B$300=$A569,"Luisa"&amp;IF('Luisa'!$E$6:$E$300="",""," : "&amp;'Luisa'!$E$6:$E$300)&amp;" ["&amp;'Luisa'!$F$6:$F$300&amp;"]",""),IF('Lui'!$B$6:$B$300=$A569,"Lui"&amp;IF('Lui'!$E$6:$E$300="",""," : "&amp;'Lui'!$E$6:$E$300)&amp;" ["&amp;'Lui'!$F$6:$F$300&amp;"]",""),IF('Thaís'!$B$6:$B$300=$A569,"Thaís"&amp;IF('Thaís'!$E$6:$E$300="",""," : "&amp;'Thaís'!$E$6:$E$300)&amp;" ["&amp;'Thaís'!$F$6:$F$300&amp;"]",""),IF('Daniel'!$B$6:$B$300=$A569,"Daniel"&amp;IF('Daniel'!$E$6:$E$300="",""," : "&amp;'Daniel'!$E$6:$E$300)&amp;" ["&amp;'Daniel'!$F$6:$F$300&amp;"]",""),IF('Fernando'!$B$6:$B$300=$A569,"Fernando"&amp;IF('Fernando'!$E$6:$E$300="",""," : "&amp;'Fernando'!$E$6:$E$300)&amp;" ["&amp;'Fernando'!$F$6:$F$300&amp;"]",""),IF('Stephanie'!$B$6:$B$300=$A569,"Stephanie"&amp;IF('Stephanie'!$E$6:$E$300="",""," : "&amp;'Stephanie'!$E$6:$E$300)&amp;" ["&amp;'Stephanie'!$F$6:$F$300&amp;"]",""),IF('Fox'!$B$6:$B$300=$A569,"Fox"&amp;IF('Fox'!$E$6:$E$300="",""," : "&amp;'Fox'!$E$6:$E$300)&amp;" ["&amp;'Fox'!$F$6:$F$300&amp;"]",""),IF('Bruna'!$B$6:$B$300=$A569,"Bruna"&amp;IF('Bruna'!$E$6:$E$300="",""," : "&amp;'Bruna'!$E$6:$E$300)&amp;" ["&amp;'Bruna'!$F$6:$F$300&amp;"]",""),IF('Stella'!$B$6:$B$300=$A569,"Stella"&amp;IF('Stella'!$E$6:$E$300="",""," : "&amp;'Stella'!$E$6:$E$300)&amp;" ["&amp;'Stella'!$F$6:$F$300&amp;"]",""),IF('Igor'!$B$6:$B$300=$A569,"Igor"&amp;IF('Igor'!$E$6:$E$300="",""," : "&amp;'Igor'!$E$6:$E$300)&amp;" ["&amp;'Igor'!$F$6:$F$300&amp;"]","")))</f>
        <v/>
      </c>
    </row>
    <row r="570">
      <c r="G570" s="23">
        <f>IF($A570="","",_xlfn.TEXTJOIN("; ",TRUE,IF(COUNTIF('Clarice'!$B$6:$B$300,$A570)&gt;0,"Clarice",""),IF(COUNTIF('Luisa'!$B$6:$B$300,$A570)&gt;0,"Luisa",""),IF(COUNTIF('Lui'!$B$6:$B$300,$A570)&gt;0,"Lui",""),IF(COUNTIF('Thaís'!$B$6:$B$300,$A570)&gt;0,"Thaís",""),IF(COUNTIF('Daniel'!$B$6:$B$300,$A570)&gt;0,"Daniel",""),IF(COUNTIF('Fernando'!$B$6:$B$300,$A570)&gt;0,"Fernando",""),IF(COUNTIF('Stephanie'!$B$6:$B$300,$A570)&gt;0,"Stephanie",""),IF(COUNTIF('Fox'!$B$6:$B$300,$A570)&gt;0,"Fox",""),IF(COUNTIF('Bruna'!$B$6:$B$300,$A570)&gt;0,"Bruna",""),IF(COUNTIF('Stella'!$B$6:$B$300,$A570)&gt;0,"Stella",""),IF(COUNTIF('Igor'!$B$6:$B$300,$A570)&gt;0,"Igor","")))</f>
        <v/>
      </c>
      <c r="J570" s="24">
        <f>IF(OR($A570="",(COUNTIF('Clarice'!$B$6:$B$300,$A570)+COUNTIF('Luisa'!$B$6:$B$300,$A570)+COUNTIF('Lui'!$B$6:$B$300,$A570)+COUNTIF('Thaís'!$B$6:$B$300,$A570)+COUNTIF('Daniel'!$B$6:$B$300,$A570)+COUNTIF('Fernando'!$B$6:$B$300,$A570)+COUNTIF('Stephanie'!$B$6:$B$300,$A570)+COUNTIF('Fox'!$B$6:$B$300,$A570)+COUNTIF('Bruna'!$B$6:$B$300,$A570)+COUNTIF('Stella'!$B$6:$B$300,$A570)+COUNTIF('Igor'!$B$6:$B$300,$A570))=0),"",(COUNTIFS('Clarice'!$B$6:$B$300,$A570,'Clarice'!$F$6:$F$300,"Concluído")+COUNTIFS('Luisa'!$B$6:$B$300,$A570,'Luisa'!$F$6:$F$300,"Concluído")+COUNTIFS('Lui'!$B$6:$B$300,$A570,'Lui'!$F$6:$F$300,"Concluído")+COUNTIFS('Thaís'!$B$6:$B$300,$A570,'Thaís'!$F$6:$F$300,"Concluído")+COUNTIFS('Daniel'!$B$6:$B$300,$A570,'Daniel'!$F$6:$F$300,"Concluído")+COUNTIFS('Fernando'!$B$6:$B$300,$A570,'Fernando'!$F$6:$F$300,"Concluído")+COUNTIFS('Stephanie'!$B$6:$B$300,$A570,'Stephanie'!$F$6:$F$300,"Concluído")+COUNTIFS('Fox'!$B$6:$B$300,$A570,'Fox'!$F$6:$F$300,"Concluído")+COUNTIFS('Bruna'!$B$6:$B$300,$A570,'Bruna'!$F$6:$F$300,"Concluído")+COUNTIFS('Stella'!$B$6:$B$300,$A570,'Stella'!$F$6:$F$300,"Concluído")+COUNTIFS('Igor'!$B$6:$B$300,$A570,'Igor'!$F$6:$F$300,"Concluído"))&amp;" / "&amp;(COUNTIF('Clarice'!$B$6:$B$300,$A570)+COUNTIF('Luisa'!$B$6:$B$300,$A570)+COUNTIF('Lui'!$B$6:$B$300,$A570)+COUNTIF('Thaís'!$B$6:$B$300,$A570)+COUNTIF('Daniel'!$B$6:$B$300,$A570)+COUNTIF('Fernando'!$B$6:$B$300,$A570)+COUNTIF('Stephanie'!$B$6:$B$300,$A570)+COUNTIF('Fox'!$B$6:$B$300,$A570)+COUNTIF('Bruna'!$B$6:$B$300,$A570)+COUNTIF('Stella'!$B$6:$B$300,$A570)+COUNTIF('Igor'!$B$6:$B$300,$A570)))</f>
        <v/>
      </c>
      <c r="P570" s="25">
        <f>IF($A570="","",IF(M570&lt;&gt;"",M570,IF(K570&lt;&gt;"",K570,"")))</f>
        <v/>
      </c>
      <c r="Q570" s="25">
        <f>IF($A570="","",IF(N570&lt;&gt;"",N570,IF(L570&lt;&gt;"",L570,"")))</f>
        <v/>
      </c>
      <c r="S570" s="23">
        <f t="array" ref="S570">IF($A570="","",_xlfn.TEXTJOIN(CHAR(10),TRUE,IF('Clarice'!$B$6:$B$300=$A570,"Clarice"&amp;IF('Clarice'!$E$6:$E$300="",""," : "&amp;'Clarice'!$E$6:$E$300)&amp;" ["&amp;'Clarice'!$F$6:$F$300&amp;"]",""),IF('Luisa'!$B$6:$B$300=$A570,"Luisa"&amp;IF('Luisa'!$E$6:$E$300="",""," : "&amp;'Luisa'!$E$6:$E$300)&amp;" ["&amp;'Luisa'!$F$6:$F$300&amp;"]",""),IF('Lui'!$B$6:$B$300=$A570,"Lui"&amp;IF('Lui'!$E$6:$E$300="",""," : "&amp;'Lui'!$E$6:$E$300)&amp;" ["&amp;'Lui'!$F$6:$F$300&amp;"]",""),IF('Thaís'!$B$6:$B$300=$A570,"Thaís"&amp;IF('Thaís'!$E$6:$E$300="",""," : "&amp;'Thaís'!$E$6:$E$300)&amp;" ["&amp;'Thaís'!$F$6:$F$300&amp;"]",""),IF('Daniel'!$B$6:$B$300=$A570,"Daniel"&amp;IF('Daniel'!$E$6:$E$300="",""," : "&amp;'Daniel'!$E$6:$E$300)&amp;" ["&amp;'Daniel'!$F$6:$F$300&amp;"]",""),IF('Fernando'!$B$6:$B$300=$A570,"Fernando"&amp;IF('Fernando'!$E$6:$E$300="",""," : "&amp;'Fernando'!$E$6:$E$300)&amp;" ["&amp;'Fernando'!$F$6:$F$300&amp;"]",""),IF('Stephanie'!$B$6:$B$300=$A570,"Stephanie"&amp;IF('Stephanie'!$E$6:$E$300="",""," : "&amp;'Stephanie'!$E$6:$E$300)&amp;" ["&amp;'Stephanie'!$F$6:$F$300&amp;"]",""),IF('Fox'!$B$6:$B$300=$A570,"Fox"&amp;IF('Fox'!$E$6:$E$300="",""," : "&amp;'Fox'!$E$6:$E$300)&amp;" ["&amp;'Fox'!$F$6:$F$300&amp;"]",""),IF('Bruna'!$B$6:$B$300=$A570,"Bruna"&amp;IF('Bruna'!$E$6:$E$300="",""," : "&amp;'Bruna'!$E$6:$E$300)&amp;" ["&amp;'Bruna'!$F$6:$F$300&amp;"]",""),IF('Stella'!$B$6:$B$300=$A570,"Stella"&amp;IF('Stella'!$E$6:$E$300="",""," : "&amp;'Stella'!$E$6:$E$300)&amp;" ["&amp;'Stella'!$F$6:$F$300&amp;"]",""),IF('Igor'!$B$6:$B$300=$A570,"Igor"&amp;IF('Igor'!$E$6:$E$300="",""," : "&amp;'Igor'!$E$6:$E$300)&amp;" ["&amp;'Igor'!$F$6:$F$300&amp;"]","")))</f>
        <v/>
      </c>
    </row>
    <row r="571">
      <c r="G571" s="23">
        <f>IF($A571="","",_xlfn.TEXTJOIN("; ",TRUE,IF(COUNTIF('Clarice'!$B$6:$B$300,$A571)&gt;0,"Clarice",""),IF(COUNTIF('Luisa'!$B$6:$B$300,$A571)&gt;0,"Luisa",""),IF(COUNTIF('Lui'!$B$6:$B$300,$A571)&gt;0,"Lui",""),IF(COUNTIF('Thaís'!$B$6:$B$300,$A571)&gt;0,"Thaís",""),IF(COUNTIF('Daniel'!$B$6:$B$300,$A571)&gt;0,"Daniel",""),IF(COUNTIF('Fernando'!$B$6:$B$300,$A571)&gt;0,"Fernando",""),IF(COUNTIF('Stephanie'!$B$6:$B$300,$A571)&gt;0,"Stephanie",""),IF(COUNTIF('Fox'!$B$6:$B$300,$A571)&gt;0,"Fox",""),IF(COUNTIF('Bruna'!$B$6:$B$300,$A571)&gt;0,"Bruna",""),IF(COUNTIF('Stella'!$B$6:$B$300,$A571)&gt;0,"Stella",""),IF(COUNTIF('Igor'!$B$6:$B$300,$A571)&gt;0,"Igor","")))</f>
        <v/>
      </c>
      <c r="J571" s="24">
        <f>IF(OR($A571="",(COUNTIF('Clarice'!$B$6:$B$300,$A571)+COUNTIF('Luisa'!$B$6:$B$300,$A571)+COUNTIF('Lui'!$B$6:$B$300,$A571)+COUNTIF('Thaís'!$B$6:$B$300,$A571)+COUNTIF('Daniel'!$B$6:$B$300,$A571)+COUNTIF('Fernando'!$B$6:$B$300,$A571)+COUNTIF('Stephanie'!$B$6:$B$300,$A571)+COUNTIF('Fox'!$B$6:$B$300,$A571)+COUNTIF('Bruna'!$B$6:$B$300,$A571)+COUNTIF('Stella'!$B$6:$B$300,$A571)+COUNTIF('Igor'!$B$6:$B$300,$A571))=0),"",(COUNTIFS('Clarice'!$B$6:$B$300,$A571,'Clarice'!$F$6:$F$300,"Concluído")+COUNTIFS('Luisa'!$B$6:$B$300,$A571,'Luisa'!$F$6:$F$300,"Concluído")+COUNTIFS('Lui'!$B$6:$B$300,$A571,'Lui'!$F$6:$F$300,"Concluído")+COUNTIFS('Thaís'!$B$6:$B$300,$A571,'Thaís'!$F$6:$F$300,"Concluído")+COUNTIFS('Daniel'!$B$6:$B$300,$A571,'Daniel'!$F$6:$F$300,"Concluído")+COUNTIFS('Fernando'!$B$6:$B$300,$A571,'Fernando'!$F$6:$F$300,"Concluído")+COUNTIFS('Stephanie'!$B$6:$B$300,$A571,'Stephanie'!$F$6:$F$300,"Concluído")+COUNTIFS('Fox'!$B$6:$B$300,$A571,'Fox'!$F$6:$F$300,"Concluído")+COUNTIFS('Bruna'!$B$6:$B$300,$A571,'Bruna'!$F$6:$F$300,"Concluído")+COUNTIFS('Stella'!$B$6:$B$300,$A571,'Stella'!$F$6:$F$300,"Concluído")+COUNTIFS('Igor'!$B$6:$B$300,$A571,'Igor'!$F$6:$F$300,"Concluído"))&amp;" / "&amp;(COUNTIF('Clarice'!$B$6:$B$300,$A571)+COUNTIF('Luisa'!$B$6:$B$300,$A571)+COUNTIF('Lui'!$B$6:$B$300,$A571)+COUNTIF('Thaís'!$B$6:$B$300,$A571)+COUNTIF('Daniel'!$B$6:$B$300,$A571)+COUNTIF('Fernando'!$B$6:$B$300,$A571)+COUNTIF('Stephanie'!$B$6:$B$300,$A571)+COUNTIF('Fox'!$B$6:$B$300,$A571)+COUNTIF('Bruna'!$B$6:$B$300,$A571)+COUNTIF('Stella'!$B$6:$B$300,$A571)+COUNTIF('Igor'!$B$6:$B$300,$A571)))</f>
        <v/>
      </c>
      <c r="P571" s="25">
        <f>IF($A571="","",IF(M571&lt;&gt;"",M571,IF(K571&lt;&gt;"",K571,"")))</f>
        <v/>
      </c>
      <c r="Q571" s="25">
        <f>IF($A571="","",IF(N571&lt;&gt;"",N571,IF(L571&lt;&gt;"",L571,"")))</f>
        <v/>
      </c>
      <c r="S571" s="23">
        <f t="array" ref="S571">IF($A571="","",_xlfn.TEXTJOIN(CHAR(10),TRUE,IF('Clarice'!$B$6:$B$300=$A571,"Clarice"&amp;IF('Clarice'!$E$6:$E$300="",""," : "&amp;'Clarice'!$E$6:$E$300)&amp;" ["&amp;'Clarice'!$F$6:$F$300&amp;"]",""),IF('Luisa'!$B$6:$B$300=$A571,"Luisa"&amp;IF('Luisa'!$E$6:$E$300="",""," : "&amp;'Luisa'!$E$6:$E$300)&amp;" ["&amp;'Luisa'!$F$6:$F$300&amp;"]",""),IF('Lui'!$B$6:$B$300=$A571,"Lui"&amp;IF('Lui'!$E$6:$E$300="",""," : "&amp;'Lui'!$E$6:$E$300)&amp;" ["&amp;'Lui'!$F$6:$F$300&amp;"]",""),IF('Thaís'!$B$6:$B$300=$A571,"Thaís"&amp;IF('Thaís'!$E$6:$E$300="",""," : "&amp;'Thaís'!$E$6:$E$300)&amp;" ["&amp;'Thaís'!$F$6:$F$300&amp;"]",""),IF('Daniel'!$B$6:$B$300=$A571,"Daniel"&amp;IF('Daniel'!$E$6:$E$300="",""," : "&amp;'Daniel'!$E$6:$E$300)&amp;" ["&amp;'Daniel'!$F$6:$F$300&amp;"]",""),IF('Fernando'!$B$6:$B$300=$A571,"Fernando"&amp;IF('Fernando'!$E$6:$E$300="",""," : "&amp;'Fernando'!$E$6:$E$300)&amp;" ["&amp;'Fernando'!$F$6:$F$300&amp;"]",""),IF('Stephanie'!$B$6:$B$300=$A571,"Stephanie"&amp;IF('Stephanie'!$E$6:$E$300="",""," : "&amp;'Stephanie'!$E$6:$E$300)&amp;" ["&amp;'Stephanie'!$F$6:$F$300&amp;"]",""),IF('Fox'!$B$6:$B$300=$A571,"Fox"&amp;IF('Fox'!$E$6:$E$300="",""," : "&amp;'Fox'!$E$6:$E$300)&amp;" ["&amp;'Fox'!$F$6:$F$300&amp;"]",""),IF('Bruna'!$B$6:$B$300=$A571,"Bruna"&amp;IF('Bruna'!$E$6:$E$300="",""," : "&amp;'Bruna'!$E$6:$E$300)&amp;" ["&amp;'Bruna'!$F$6:$F$300&amp;"]",""),IF('Stella'!$B$6:$B$300=$A571,"Stella"&amp;IF('Stella'!$E$6:$E$300="",""," : "&amp;'Stella'!$E$6:$E$300)&amp;" ["&amp;'Stella'!$F$6:$F$300&amp;"]",""),IF('Igor'!$B$6:$B$300=$A571,"Igor"&amp;IF('Igor'!$E$6:$E$300="",""," : "&amp;'Igor'!$E$6:$E$300)&amp;" ["&amp;'Igor'!$F$6:$F$300&amp;"]","")))</f>
        <v/>
      </c>
    </row>
    <row r="572">
      <c r="G572" s="23">
        <f>IF($A572="","",_xlfn.TEXTJOIN("; ",TRUE,IF(COUNTIF('Clarice'!$B$6:$B$300,$A572)&gt;0,"Clarice",""),IF(COUNTIF('Luisa'!$B$6:$B$300,$A572)&gt;0,"Luisa",""),IF(COUNTIF('Lui'!$B$6:$B$300,$A572)&gt;0,"Lui",""),IF(COUNTIF('Thaís'!$B$6:$B$300,$A572)&gt;0,"Thaís",""),IF(COUNTIF('Daniel'!$B$6:$B$300,$A572)&gt;0,"Daniel",""),IF(COUNTIF('Fernando'!$B$6:$B$300,$A572)&gt;0,"Fernando",""),IF(COUNTIF('Stephanie'!$B$6:$B$300,$A572)&gt;0,"Stephanie",""),IF(COUNTIF('Fox'!$B$6:$B$300,$A572)&gt;0,"Fox",""),IF(COUNTIF('Bruna'!$B$6:$B$300,$A572)&gt;0,"Bruna",""),IF(COUNTIF('Stella'!$B$6:$B$300,$A572)&gt;0,"Stella",""),IF(COUNTIF('Igor'!$B$6:$B$300,$A572)&gt;0,"Igor","")))</f>
        <v/>
      </c>
      <c r="J572" s="24">
        <f>IF(OR($A572="",(COUNTIF('Clarice'!$B$6:$B$300,$A572)+COUNTIF('Luisa'!$B$6:$B$300,$A572)+COUNTIF('Lui'!$B$6:$B$300,$A572)+COUNTIF('Thaís'!$B$6:$B$300,$A572)+COUNTIF('Daniel'!$B$6:$B$300,$A572)+COUNTIF('Fernando'!$B$6:$B$300,$A572)+COUNTIF('Stephanie'!$B$6:$B$300,$A572)+COUNTIF('Fox'!$B$6:$B$300,$A572)+COUNTIF('Bruna'!$B$6:$B$300,$A572)+COUNTIF('Stella'!$B$6:$B$300,$A572)+COUNTIF('Igor'!$B$6:$B$300,$A572))=0),"",(COUNTIFS('Clarice'!$B$6:$B$300,$A572,'Clarice'!$F$6:$F$300,"Concluído")+COUNTIFS('Luisa'!$B$6:$B$300,$A572,'Luisa'!$F$6:$F$300,"Concluído")+COUNTIFS('Lui'!$B$6:$B$300,$A572,'Lui'!$F$6:$F$300,"Concluído")+COUNTIFS('Thaís'!$B$6:$B$300,$A572,'Thaís'!$F$6:$F$300,"Concluído")+COUNTIFS('Daniel'!$B$6:$B$300,$A572,'Daniel'!$F$6:$F$300,"Concluído")+COUNTIFS('Fernando'!$B$6:$B$300,$A572,'Fernando'!$F$6:$F$300,"Concluído")+COUNTIFS('Stephanie'!$B$6:$B$300,$A572,'Stephanie'!$F$6:$F$300,"Concluído")+COUNTIFS('Fox'!$B$6:$B$300,$A572,'Fox'!$F$6:$F$300,"Concluído")+COUNTIFS('Bruna'!$B$6:$B$300,$A572,'Bruna'!$F$6:$F$300,"Concluído")+COUNTIFS('Stella'!$B$6:$B$300,$A572,'Stella'!$F$6:$F$300,"Concluído")+COUNTIFS('Igor'!$B$6:$B$300,$A572,'Igor'!$F$6:$F$300,"Concluído"))&amp;" / "&amp;(COUNTIF('Clarice'!$B$6:$B$300,$A572)+COUNTIF('Luisa'!$B$6:$B$300,$A572)+COUNTIF('Lui'!$B$6:$B$300,$A572)+COUNTIF('Thaís'!$B$6:$B$300,$A572)+COUNTIF('Daniel'!$B$6:$B$300,$A572)+COUNTIF('Fernando'!$B$6:$B$300,$A572)+COUNTIF('Stephanie'!$B$6:$B$300,$A572)+COUNTIF('Fox'!$B$6:$B$300,$A572)+COUNTIF('Bruna'!$B$6:$B$300,$A572)+COUNTIF('Stella'!$B$6:$B$300,$A572)+COUNTIF('Igor'!$B$6:$B$300,$A572)))</f>
        <v/>
      </c>
      <c r="P572" s="25">
        <f>IF($A572="","",IF(M572&lt;&gt;"",M572,IF(K572&lt;&gt;"",K572,"")))</f>
        <v/>
      </c>
      <c r="Q572" s="25">
        <f>IF($A572="","",IF(N572&lt;&gt;"",N572,IF(L572&lt;&gt;"",L572,"")))</f>
        <v/>
      </c>
      <c r="S572" s="23">
        <f t="array" ref="S572">IF($A572="","",_xlfn.TEXTJOIN(CHAR(10),TRUE,IF('Clarice'!$B$6:$B$300=$A572,"Clarice"&amp;IF('Clarice'!$E$6:$E$300="",""," : "&amp;'Clarice'!$E$6:$E$300)&amp;" ["&amp;'Clarice'!$F$6:$F$300&amp;"]",""),IF('Luisa'!$B$6:$B$300=$A572,"Luisa"&amp;IF('Luisa'!$E$6:$E$300="",""," : "&amp;'Luisa'!$E$6:$E$300)&amp;" ["&amp;'Luisa'!$F$6:$F$300&amp;"]",""),IF('Lui'!$B$6:$B$300=$A572,"Lui"&amp;IF('Lui'!$E$6:$E$300="",""," : "&amp;'Lui'!$E$6:$E$300)&amp;" ["&amp;'Lui'!$F$6:$F$300&amp;"]",""),IF('Thaís'!$B$6:$B$300=$A572,"Thaís"&amp;IF('Thaís'!$E$6:$E$300="",""," : "&amp;'Thaís'!$E$6:$E$300)&amp;" ["&amp;'Thaís'!$F$6:$F$300&amp;"]",""),IF('Daniel'!$B$6:$B$300=$A572,"Daniel"&amp;IF('Daniel'!$E$6:$E$300="",""," : "&amp;'Daniel'!$E$6:$E$300)&amp;" ["&amp;'Daniel'!$F$6:$F$300&amp;"]",""),IF('Fernando'!$B$6:$B$300=$A572,"Fernando"&amp;IF('Fernando'!$E$6:$E$300="",""," : "&amp;'Fernando'!$E$6:$E$300)&amp;" ["&amp;'Fernando'!$F$6:$F$300&amp;"]",""),IF('Stephanie'!$B$6:$B$300=$A572,"Stephanie"&amp;IF('Stephanie'!$E$6:$E$300="",""," : "&amp;'Stephanie'!$E$6:$E$300)&amp;" ["&amp;'Stephanie'!$F$6:$F$300&amp;"]",""),IF('Fox'!$B$6:$B$300=$A572,"Fox"&amp;IF('Fox'!$E$6:$E$300="",""," : "&amp;'Fox'!$E$6:$E$300)&amp;" ["&amp;'Fox'!$F$6:$F$300&amp;"]",""),IF('Bruna'!$B$6:$B$300=$A572,"Bruna"&amp;IF('Bruna'!$E$6:$E$300="",""," : "&amp;'Bruna'!$E$6:$E$300)&amp;" ["&amp;'Bruna'!$F$6:$F$300&amp;"]",""),IF('Stella'!$B$6:$B$300=$A572,"Stella"&amp;IF('Stella'!$E$6:$E$300="",""," : "&amp;'Stella'!$E$6:$E$300)&amp;" ["&amp;'Stella'!$F$6:$F$300&amp;"]",""),IF('Igor'!$B$6:$B$300=$A572,"Igor"&amp;IF('Igor'!$E$6:$E$300="",""," : "&amp;'Igor'!$E$6:$E$300)&amp;" ["&amp;'Igor'!$F$6:$F$300&amp;"]","")))</f>
        <v/>
      </c>
    </row>
    <row r="573">
      <c r="G573" s="23">
        <f>IF($A573="","",_xlfn.TEXTJOIN("; ",TRUE,IF(COUNTIF('Clarice'!$B$6:$B$300,$A573)&gt;0,"Clarice",""),IF(COUNTIF('Luisa'!$B$6:$B$300,$A573)&gt;0,"Luisa",""),IF(COUNTIF('Lui'!$B$6:$B$300,$A573)&gt;0,"Lui",""),IF(COUNTIF('Thaís'!$B$6:$B$300,$A573)&gt;0,"Thaís",""),IF(COUNTIF('Daniel'!$B$6:$B$300,$A573)&gt;0,"Daniel",""),IF(COUNTIF('Fernando'!$B$6:$B$300,$A573)&gt;0,"Fernando",""),IF(COUNTIF('Stephanie'!$B$6:$B$300,$A573)&gt;0,"Stephanie",""),IF(COUNTIF('Fox'!$B$6:$B$300,$A573)&gt;0,"Fox",""),IF(COUNTIF('Bruna'!$B$6:$B$300,$A573)&gt;0,"Bruna",""),IF(COUNTIF('Stella'!$B$6:$B$300,$A573)&gt;0,"Stella",""),IF(COUNTIF('Igor'!$B$6:$B$300,$A573)&gt;0,"Igor","")))</f>
        <v/>
      </c>
      <c r="J573" s="24">
        <f>IF(OR($A573="",(COUNTIF('Clarice'!$B$6:$B$300,$A573)+COUNTIF('Luisa'!$B$6:$B$300,$A573)+COUNTIF('Lui'!$B$6:$B$300,$A573)+COUNTIF('Thaís'!$B$6:$B$300,$A573)+COUNTIF('Daniel'!$B$6:$B$300,$A573)+COUNTIF('Fernando'!$B$6:$B$300,$A573)+COUNTIF('Stephanie'!$B$6:$B$300,$A573)+COUNTIF('Fox'!$B$6:$B$300,$A573)+COUNTIF('Bruna'!$B$6:$B$300,$A573)+COUNTIF('Stella'!$B$6:$B$300,$A573)+COUNTIF('Igor'!$B$6:$B$300,$A573))=0),"",(COUNTIFS('Clarice'!$B$6:$B$300,$A573,'Clarice'!$F$6:$F$300,"Concluído")+COUNTIFS('Luisa'!$B$6:$B$300,$A573,'Luisa'!$F$6:$F$300,"Concluído")+COUNTIFS('Lui'!$B$6:$B$300,$A573,'Lui'!$F$6:$F$300,"Concluído")+COUNTIFS('Thaís'!$B$6:$B$300,$A573,'Thaís'!$F$6:$F$300,"Concluído")+COUNTIFS('Daniel'!$B$6:$B$300,$A573,'Daniel'!$F$6:$F$300,"Concluído")+COUNTIFS('Fernando'!$B$6:$B$300,$A573,'Fernando'!$F$6:$F$300,"Concluído")+COUNTIFS('Stephanie'!$B$6:$B$300,$A573,'Stephanie'!$F$6:$F$300,"Concluído")+COUNTIFS('Fox'!$B$6:$B$300,$A573,'Fox'!$F$6:$F$300,"Concluído")+COUNTIFS('Bruna'!$B$6:$B$300,$A573,'Bruna'!$F$6:$F$300,"Concluído")+COUNTIFS('Stella'!$B$6:$B$300,$A573,'Stella'!$F$6:$F$300,"Concluído")+COUNTIFS('Igor'!$B$6:$B$300,$A573,'Igor'!$F$6:$F$300,"Concluído"))&amp;" / "&amp;(COUNTIF('Clarice'!$B$6:$B$300,$A573)+COUNTIF('Luisa'!$B$6:$B$300,$A573)+COUNTIF('Lui'!$B$6:$B$300,$A573)+COUNTIF('Thaís'!$B$6:$B$300,$A573)+COUNTIF('Daniel'!$B$6:$B$300,$A573)+COUNTIF('Fernando'!$B$6:$B$300,$A573)+COUNTIF('Stephanie'!$B$6:$B$300,$A573)+COUNTIF('Fox'!$B$6:$B$300,$A573)+COUNTIF('Bruna'!$B$6:$B$300,$A573)+COUNTIF('Stella'!$B$6:$B$300,$A573)+COUNTIF('Igor'!$B$6:$B$300,$A573)))</f>
        <v/>
      </c>
      <c r="P573" s="25">
        <f>IF($A573="","",IF(M573&lt;&gt;"",M573,IF(K573&lt;&gt;"",K573,"")))</f>
        <v/>
      </c>
      <c r="Q573" s="25">
        <f>IF($A573="","",IF(N573&lt;&gt;"",N573,IF(L573&lt;&gt;"",L573,"")))</f>
        <v/>
      </c>
      <c r="S573" s="23">
        <f t="array" ref="S573">IF($A573="","",_xlfn.TEXTJOIN(CHAR(10),TRUE,IF('Clarice'!$B$6:$B$300=$A573,"Clarice"&amp;IF('Clarice'!$E$6:$E$300="",""," : "&amp;'Clarice'!$E$6:$E$300)&amp;" ["&amp;'Clarice'!$F$6:$F$300&amp;"]",""),IF('Luisa'!$B$6:$B$300=$A573,"Luisa"&amp;IF('Luisa'!$E$6:$E$300="",""," : "&amp;'Luisa'!$E$6:$E$300)&amp;" ["&amp;'Luisa'!$F$6:$F$300&amp;"]",""),IF('Lui'!$B$6:$B$300=$A573,"Lui"&amp;IF('Lui'!$E$6:$E$300="",""," : "&amp;'Lui'!$E$6:$E$300)&amp;" ["&amp;'Lui'!$F$6:$F$300&amp;"]",""),IF('Thaís'!$B$6:$B$300=$A573,"Thaís"&amp;IF('Thaís'!$E$6:$E$300="",""," : "&amp;'Thaís'!$E$6:$E$300)&amp;" ["&amp;'Thaís'!$F$6:$F$300&amp;"]",""),IF('Daniel'!$B$6:$B$300=$A573,"Daniel"&amp;IF('Daniel'!$E$6:$E$300="",""," : "&amp;'Daniel'!$E$6:$E$300)&amp;" ["&amp;'Daniel'!$F$6:$F$300&amp;"]",""),IF('Fernando'!$B$6:$B$300=$A573,"Fernando"&amp;IF('Fernando'!$E$6:$E$300="",""," : "&amp;'Fernando'!$E$6:$E$300)&amp;" ["&amp;'Fernando'!$F$6:$F$300&amp;"]",""),IF('Stephanie'!$B$6:$B$300=$A573,"Stephanie"&amp;IF('Stephanie'!$E$6:$E$300="",""," : "&amp;'Stephanie'!$E$6:$E$300)&amp;" ["&amp;'Stephanie'!$F$6:$F$300&amp;"]",""),IF('Fox'!$B$6:$B$300=$A573,"Fox"&amp;IF('Fox'!$E$6:$E$300="",""," : "&amp;'Fox'!$E$6:$E$300)&amp;" ["&amp;'Fox'!$F$6:$F$300&amp;"]",""),IF('Bruna'!$B$6:$B$300=$A573,"Bruna"&amp;IF('Bruna'!$E$6:$E$300="",""," : "&amp;'Bruna'!$E$6:$E$300)&amp;" ["&amp;'Bruna'!$F$6:$F$300&amp;"]",""),IF('Stella'!$B$6:$B$300=$A573,"Stella"&amp;IF('Stella'!$E$6:$E$300="",""," : "&amp;'Stella'!$E$6:$E$300)&amp;" ["&amp;'Stella'!$F$6:$F$300&amp;"]",""),IF('Igor'!$B$6:$B$300=$A573,"Igor"&amp;IF('Igor'!$E$6:$E$300="",""," : "&amp;'Igor'!$E$6:$E$300)&amp;" ["&amp;'Igor'!$F$6:$F$300&amp;"]","")))</f>
        <v/>
      </c>
    </row>
    <row r="574">
      <c r="G574" s="23">
        <f>IF($A574="","",_xlfn.TEXTJOIN("; ",TRUE,IF(COUNTIF('Clarice'!$B$6:$B$300,$A574)&gt;0,"Clarice",""),IF(COUNTIF('Luisa'!$B$6:$B$300,$A574)&gt;0,"Luisa",""),IF(COUNTIF('Lui'!$B$6:$B$300,$A574)&gt;0,"Lui",""),IF(COUNTIF('Thaís'!$B$6:$B$300,$A574)&gt;0,"Thaís",""),IF(COUNTIF('Daniel'!$B$6:$B$300,$A574)&gt;0,"Daniel",""),IF(COUNTIF('Fernando'!$B$6:$B$300,$A574)&gt;0,"Fernando",""),IF(COUNTIF('Stephanie'!$B$6:$B$300,$A574)&gt;0,"Stephanie",""),IF(COUNTIF('Fox'!$B$6:$B$300,$A574)&gt;0,"Fox",""),IF(COUNTIF('Bruna'!$B$6:$B$300,$A574)&gt;0,"Bruna",""),IF(COUNTIF('Stella'!$B$6:$B$300,$A574)&gt;0,"Stella",""),IF(COUNTIF('Igor'!$B$6:$B$300,$A574)&gt;0,"Igor","")))</f>
        <v/>
      </c>
      <c r="J574" s="24">
        <f>IF(OR($A574="",(COUNTIF('Clarice'!$B$6:$B$300,$A574)+COUNTIF('Luisa'!$B$6:$B$300,$A574)+COUNTIF('Lui'!$B$6:$B$300,$A574)+COUNTIF('Thaís'!$B$6:$B$300,$A574)+COUNTIF('Daniel'!$B$6:$B$300,$A574)+COUNTIF('Fernando'!$B$6:$B$300,$A574)+COUNTIF('Stephanie'!$B$6:$B$300,$A574)+COUNTIF('Fox'!$B$6:$B$300,$A574)+COUNTIF('Bruna'!$B$6:$B$300,$A574)+COUNTIF('Stella'!$B$6:$B$300,$A574)+COUNTIF('Igor'!$B$6:$B$300,$A574))=0),"",(COUNTIFS('Clarice'!$B$6:$B$300,$A574,'Clarice'!$F$6:$F$300,"Concluído")+COUNTIFS('Luisa'!$B$6:$B$300,$A574,'Luisa'!$F$6:$F$300,"Concluído")+COUNTIFS('Lui'!$B$6:$B$300,$A574,'Lui'!$F$6:$F$300,"Concluído")+COUNTIFS('Thaís'!$B$6:$B$300,$A574,'Thaís'!$F$6:$F$300,"Concluído")+COUNTIFS('Daniel'!$B$6:$B$300,$A574,'Daniel'!$F$6:$F$300,"Concluído")+COUNTIFS('Fernando'!$B$6:$B$300,$A574,'Fernando'!$F$6:$F$300,"Concluído")+COUNTIFS('Stephanie'!$B$6:$B$300,$A574,'Stephanie'!$F$6:$F$300,"Concluído")+COUNTIFS('Fox'!$B$6:$B$300,$A574,'Fox'!$F$6:$F$300,"Concluído")+COUNTIFS('Bruna'!$B$6:$B$300,$A574,'Bruna'!$F$6:$F$300,"Concluído")+COUNTIFS('Stella'!$B$6:$B$300,$A574,'Stella'!$F$6:$F$300,"Concluído")+COUNTIFS('Igor'!$B$6:$B$300,$A574,'Igor'!$F$6:$F$300,"Concluído"))&amp;" / "&amp;(COUNTIF('Clarice'!$B$6:$B$300,$A574)+COUNTIF('Luisa'!$B$6:$B$300,$A574)+COUNTIF('Lui'!$B$6:$B$300,$A574)+COUNTIF('Thaís'!$B$6:$B$300,$A574)+COUNTIF('Daniel'!$B$6:$B$300,$A574)+COUNTIF('Fernando'!$B$6:$B$300,$A574)+COUNTIF('Stephanie'!$B$6:$B$300,$A574)+COUNTIF('Fox'!$B$6:$B$300,$A574)+COUNTIF('Bruna'!$B$6:$B$300,$A574)+COUNTIF('Stella'!$B$6:$B$300,$A574)+COUNTIF('Igor'!$B$6:$B$300,$A574)))</f>
        <v/>
      </c>
      <c r="P574" s="25">
        <f>IF($A574="","",IF(M574&lt;&gt;"",M574,IF(K574&lt;&gt;"",K574,"")))</f>
        <v/>
      </c>
      <c r="Q574" s="25">
        <f>IF($A574="","",IF(N574&lt;&gt;"",N574,IF(L574&lt;&gt;"",L574,"")))</f>
        <v/>
      </c>
      <c r="S574" s="23">
        <f t="array" ref="S574">IF($A574="","",_xlfn.TEXTJOIN(CHAR(10),TRUE,IF('Clarice'!$B$6:$B$300=$A574,"Clarice"&amp;IF('Clarice'!$E$6:$E$300="",""," : "&amp;'Clarice'!$E$6:$E$300)&amp;" ["&amp;'Clarice'!$F$6:$F$300&amp;"]",""),IF('Luisa'!$B$6:$B$300=$A574,"Luisa"&amp;IF('Luisa'!$E$6:$E$300="",""," : "&amp;'Luisa'!$E$6:$E$300)&amp;" ["&amp;'Luisa'!$F$6:$F$300&amp;"]",""),IF('Lui'!$B$6:$B$300=$A574,"Lui"&amp;IF('Lui'!$E$6:$E$300="",""," : "&amp;'Lui'!$E$6:$E$300)&amp;" ["&amp;'Lui'!$F$6:$F$300&amp;"]",""),IF('Thaís'!$B$6:$B$300=$A574,"Thaís"&amp;IF('Thaís'!$E$6:$E$300="",""," : "&amp;'Thaís'!$E$6:$E$300)&amp;" ["&amp;'Thaís'!$F$6:$F$300&amp;"]",""),IF('Daniel'!$B$6:$B$300=$A574,"Daniel"&amp;IF('Daniel'!$E$6:$E$300="",""," : "&amp;'Daniel'!$E$6:$E$300)&amp;" ["&amp;'Daniel'!$F$6:$F$300&amp;"]",""),IF('Fernando'!$B$6:$B$300=$A574,"Fernando"&amp;IF('Fernando'!$E$6:$E$300="",""," : "&amp;'Fernando'!$E$6:$E$300)&amp;" ["&amp;'Fernando'!$F$6:$F$300&amp;"]",""),IF('Stephanie'!$B$6:$B$300=$A574,"Stephanie"&amp;IF('Stephanie'!$E$6:$E$300="",""," : "&amp;'Stephanie'!$E$6:$E$300)&amp;" ["&amp;'Stephanie'!$F$6:$F$300&amp;"]",""),IF('Fox'!$B$6:$B$300=$A574,"Fox"&amp;IF('Fox'!$E$6:$E$300="",""," : "&amp;'Fox'!$E$6:$E$300)&amp;" ["&amp;'Fox'!$F$6:$F$300&amp;"]",""),IF('Bruna'!$B$6:$B$300=$A574,"Bruna"&amp;IF('Bruna'!$E$6:$E$300="",""," : "&amp;'Bruna'!$E$6:$E$300)&amp;" ["&amp;'Bruna'!$F$6:$F$300&amp;"]",""),IF('Stella'!$B$6:$B$300=$A574,"Stella"&amp;IF('Stella'!$E$6:$E$300="",""," : "&amp;'Stella'!$E$6:$E$300)&amp;" ["&amp;'Stella'!$F$6:$F$300&amp;"]",""),IF('Igor'!$B$6:$B$300=$A574,"Igor"&amp;IF('Igor'!$E$6:$E$300="",""," : "&amp;'Igor'!$E$6:$E$300)&amp;" ["&amp;'Igor'!$F$6:$F$300&amp;"]","")))</f>
        <v/>
      </c>
    </row>
    <row r="575">
      <c r="G575" s="23">
        <f>IF($A575="","",_xlfn.TEXTJOIN("; ",TRUE,IF(COUNTIF('Clarice'!$B$6:$B$300,$A575)&gt;0,"Clarice",""),IF(COUNTIF('Luisa'!$B$6:$B$300,$A575)&gt;0,"Luisa",""),IF(COUNTIF('Lui'!$B$6:$B$300,$A575)&gt;0,"Lui",""),IF(COUNTIF('Thaís'!$B$6:$B$300,$A575)&gt;0,"Thaís",""),IF(COUNTIF('Daniel'!$B$6:$B$300,$A575)&gt;0,"Daniel",""),IF(COUNTIF('Fernando'!$B$6:$B$300,$A575)&gt;0,"Fernando",""),IF(COUNTIF('Stephanie'!$B$6:$B$300,$A575)&gt;0,"Stephanie",""),IF(COUNTIF('Fox'!$B$6:$B$300,$A575)&gt;0,"Fox",""),IF(COUNTIF('Bruna'!$B$6:$B$300,$A575)&gt;0,"Bruna",""),IF(COUNTIF('Stella'!$B$6:$B$300,$A575)&gt;0,"Stella",""),IF(COUNTIF('Igor'!$B$6:$B$300,$A575)&gt;0,"Igor","")))</f>
        <v/>
      </c>
      <c r="J575" s="24">
        <f>IF(OR($A575="",(COUNTIF('Clarice'!$B$6:$B$300,$A575)+COUNTIF('Luisa'!$B$6:$B$300,$A575)+COUNTIF('Lui'!$B$6:$B$300,$A575)+COUNTIF('Thaís'!$B$6:$B$300,$A575)+COUNTIF('Daniel'!$B$6:$B$300,$A575)+COUNTIF('Fernando'!$B$6:$B$300,$A575)+COUNTIF('Stephanie'!$B$6:$B$300,$A575)+COUNTIF('Fox'!$B$6:$B$300,$A575)+COUNTIF('Bruna'!$B$6:$B$300,$A575)+COUNTIF('Stella'!$B$6:$B$300,$A575)+COUNTIF('Igor'!$B$6:$B$300,$A575))=0),"",(COUNTIFS('Clarice'!$B$6:$B$300,$A575,'Clarice'!$F$6:$F$300,"Concluído")+COUNTIFS('Luisa'!$B$6:$B$300,$A575,'Luisa'!$F$6:$F$300,"Concluído")+COUNTIFS('Lui'!$B$6:$B$300,$A575,'Lui'!$F$6:$F$300,"Concluído")+COUNTIFS('Thaís'!$B$6:$B$300,$A575,'Thaís'!$F$6:$F$300,"Concluído")+COUNTIFS('Daniel'!$B$6:$B$300,$A575,'Daniel'!$F$6:$F$300,"Concluído")+COUNTIFS('Fernando'!$B$6:$B$300,$A575,'Fernando'!$F$6:$F$300,"Concluído")+COUNTIFS('Stephanie'!$B$6:$B$300,$A575,'Stephanie'!$F$6:$F$300,"Concluído")+COUNTIFS('Fox'!$B$6:$B$300,$A575,'Fox'!$F$6:$F$300,"Concluído")+COUNTIFS('Bruna'!$B$6:$B$300,$A575,'Bruna'!$F$6:$F$300,"Concluído")+COUNTIFS('Stella'!$B$6:$B$300,$A575,'Stella'!$F$6:$F$300,"Concluído")+COUNTIFS('Igor'!$B$6:$B$300,$A575,'Igor'!$F$6:$F$300,"Concluído"))&amp;" / "&amp;(COUNTIF('Clarice'!$B$6:$B$300,$A575)+COUNTIF('Luisa'!$B$6:$B$300,$A575)+COUNTIF('Lui'!$B$6:$B$300,$A575)+COUNTIF('Thaís'!$B$6:$B$300,$A575)+COUNTIF('Daniel'!$B$6:$B$300,$A575)+COUNTIF('Fernando'!$B$6:$B$300,$A575)+COUNTIF('Stephanie'!$B$6:$B$300,$A575)+COUNTIF('Fox'!$B$6:$B$300,$A575)+COUNTIF('Bruna'!$B$6:$B$300,$A575)+COUNTIF('Stella'!$B$6:$B$300,$A575)+COUNTIF('Igor'!$B$6:$B$300,$A575)))</f>
        <v/>
      </c>
      <c r="P575" s="25">
        <f>IF($A575="","",IF(M575&lt;&gt;"",M575,IF(K575&lt;&gt;"",K575,"")))</f>
        <v/>
      </c>
      <c r="Q575" s="25">
        <f>IF($A575="","",IF(N575&lt;&gt;"",N575,IF(L575&lt;&gt;"",L575,"")))</f>
        <v/>
      </c>
      <c r="S575" s="23">
        <f t="array" ref="S575">IF($A575="","",_xlfn.TEXTJOIN(CHAR(10),TRUE,IF('Clarice'!$B$6:$B$300=$A575,"Clarice"&amp;IF('Clarice'!$E$6:$E$300="",""," : "&amp;'Clarice'!$E$6:$E$300)&amp;" ["&amp;'Clarice'!$F$6:$F$300&amp;"]",""),IF('Luisa'!$B$6:$B$300=$A575,"Luisa"&amp;IF('Luisa'!$E$6:$E$300="",""," : "&amp;'Luisa'!$E$6:$E$300)&amp;" ["&amp;'Luisa'!$F$6:$F$300&amp;"]",""),IF('Lui'!$B$6:$B$300=$A575,"Lui"&amp;IF('Lui'!$E$6:$E$300="",""," : "&amp;'Lui'!$E$6:$E$300)&amp;" ["&amp;'Lui'!$F$6:$F$300&amp;"]",""),IF('Thaís'!$B$6:$B$300=$A575,"Thaís"&amp;IF('Thaís'!$E$6:$E$300="",""," : "&amp;'Thaís'!$E$6:$E$300)&amp;" ["&amp;'Thaís'!$F$6:$F$300&amp;"]",""),IF('Daniel'!$B$6:$B$300=$A575,"Daniel"&amp;IF('Daniel'!$E$6:$E$300="",""," : "&amp;'Daniel'!$E$6:$E$300)&amp;" ["&amp;'Daniel'!$F$6:$F$300&amp;"]",""),IF('Fernando'!$B$6:$B$300=$A575,"Fernando"&amp;IF('Fernando'!$E$6:$E$300="",""," : "&amp;'Fernando'!$E$6:$E$300)&amp;" ["&amp;'Fernando'!$F$6:$F$300&amp;"]",""),IF('Stephanie'!$B$6:$B$300=$A575,"Stephanie"&amp;IF('Stephanie'!$E$6:$E$300="",""," : "&amp;'Stephanie'!$E$6:$E$300)&amp;" ["&amp;'Stephanie'!$F$6:$F$300&amp;"]",""),IF('Fox'!$B$6:$B$300=$A575,"Fox"&amp;IF('Fox'!$E$6:$E$300="",""," : "&amp;'Fox'!$E$6:$E$300)&amp;" ["&amp;'Fox'!$F$6:$F$300&amp;"]",""),IF('Bruna'!$B$6:$B$300=$A575,"Bruna"&amp;IF('Bruna'!$E$6:$E$300="",""," : "&amp;'Bruna'!$E$6:$E$300)&amp;" ["&amp;'Bruna'!$F$6:$F$300&amp;"]",""),IF('Stella'!$B$6:$B$300=$A575,"Stella"&amp;IF('Stella'!$E$6:$E$300="",""," : "&amp;'Stella'!$E$6:$E$300)&amp;" ["&amp;'Stella'!$F$6:$F$300&amp;"]",""),IF('Igor'!$B$6:$B$300=$A575,"Igor"&amp;IF('Igor'!$E$6:$E$300="",""," : "&amp;'Igor'!$E$6:$E$300)&amp;" ["&amp;'Igor'!$F$6:$F$300&amp;"]","")))</f>
        <v/>
      </c>
    </row>
    <row r="576">
      <c r="G576" s="23">
        <f>IF($A576="","",_xlfn.TEXTJOIN("; ",TRUE,IF(COUNTIF('Clarice'!$B$6:$B$300,$A576)&gt;0,"Clarice",""),IF(COUNTIF('Luisa'!$B$6:$B$300,$A576)&gt;0,"Luisa",""),IF(COUNTIF('Lui'!$B$6:$B$300,$A576)&gt;0,"Lui",""),IF(COUNTIF('Thaís'!$B$6:$B$300,$A576)&gt;0,"Thaís",""),IF(COUNTIF('Daniel'!$B$6:$B$300,$A576)&gt;0,"Daniel",""),IF(COUNTIF('Fernando'!$B$6:$B$300,$A576)&gt;0,"Fernando",""),IF(COUNTIF('Stephanie'!$B$6:$B$300,$A576)&gt;0,"Stephanie",""),IF(COUNTIF('Fox'!$B$6:$B$300,$A576)&gt;0,"Fox",""),IF(COUNTIF('Bruna'!$B$6:$B$300,$A576)&gt;0,"Bruna",""),IF(COUNTIF('Stella'!$B$6:$B$300,$A576)&gt;0,"Stella",""),IF(COUNTIF('Igor'!$B$6:$B$300,$A576)&gt;0,"Igor","")))</f>
        <v/>
      </c>
      <c r="J576" s="24">
        <f>IF(OR($A576="",(COUNTIF('Clarice'!$B$6:$B$300,$A576)+COUNTIF('Luisa'!$B$6:$B$300,$A576)+COUNTIF('Lui'!$B$6:$B$300,$A576)+COUNTIF('Thaís'!$B$6:$B$300,$A576)+COUNTIF('Daniel'!$B$6:$B$300,$A576)+COUNTIF('Fernando'!$B$6:$B$300,$A576)+COUNTIF('Stephanie'!$B$6:$B$300,$A576)+COUNTIF('Fox'!$B$6:$B$300,$A576)+COUNTIF('Bruna'!$B$6:$B$300,$A576)+COUNTIF('Stella'!$B$6:$B$300,$A576)+COUNTIF('Igor'!$B$6:$B$300,$A576))=0),"",(COUNTIFS('Clarice'!$B$6:$B$300,$A576,'Clarice'!$F$6:$F$300,"Concluído")+COUNTIFS('Luisa'!$B$6:$B$300,$A576,'Luisa'!$F$6:$F$300,"Concluído")+COUNTIFS('Lui'!$B$6:$B$300,$A576,'Lui'!$F$6:$F$300,"Concluído")+COUNTIFS('Thaís'!$B$6:$B$300,$A576,'Thaís'!$F$6:$F$300,"Concluído")+COUNTIFS('Daniel'!$B$6:$B$300,$A576,'Daniel'!$F$6:$F$300,"Concluído")+COUNTIFS('Fernando'!$B$6:$B$300,$A576,'Fernando'!$F$6:$F$300,"Concluído")+COUNTIFS('Stephanie'!$B$6:$B$300,$A576,'Stephanie'!$F$6:$F$300,"Concluído")+COUNTIFS('Fox'!$B$6:$B$300,$A576,'Fox'!$F$6:$F$300,"Concluído")+COUNTIFS('Bruna'!$B$6:$B$300,$A576,'Bruna'!$F$6:$F$300,"Concluído")+COUNTIFS('Stella'!$B$6:$B$300,$A576,'Stella'!$F$6:$F$300,"Concluído")+COUNTIFS('Igor'!$B$6:$B$300,$A576,'Igor'!$F$6:$F$300,"Concluído"))&amp;" / "&amp;(COUNTIF('Clarice'!$B$6:$B$300,$A576)+COUNTIF('Luisa'!$B$6:$B$300,$A576)+COUNTIF('Lui'!$B$6:$B$300,$A576)+COUNTIF('Thaís'!$B$6:$B$300,$A576)+COUNTIF('Daniel'!$B$6:$B$300,$A576)+COUNTIF('Fernando'!$B$6:$B$300,$A576)+COUNTIF('Stephanie'!$B$6:$B$300,$A576)+COUNTIF('Fox'!$B$6:$B$300,$A576)+COUNTIF('Bruna'!$B$6:$B$300,$A576)+COUNTIF('Stella'!$B$6:$B$300,$A576)+COUNTIF('Igor'!$B$6:$B$300,$A576)))</f>
        <v/>
      </c>
      <c r="P576" s="25">
        <f>IF($A576="","",IF(M576&lt;&gt;"",M576,IF(K576&lt;&gt;"",K576,"")))</f>
        <v/>
      </c>
      <c r="Q576" s="25">
        <f>IF($A576="","",IF(N576&lt;&gt;"",N576,IF(L576&lt;&gt;"",L576,"")))</f>
        <v/>
      </c>
      <c r="S576" s="23">
        <f t="array" ref="S576">IF($A576="","",_xlfn.TEXTJOIN(CHAR(10),TRUE,IF('Clarice'!$B$6:$B$300=$A576,"Clarice"&amp;IF('Clarice'!$E$6:$E$300="",""," : "&amp;'Clarice'!$E$6:$E$300)&amp;" ["&amp;'Clarice'!$F$6:$F$300&amp;"]",""),IF('Luisa'!$B$6:$B$300=$A576,"Luisa"&amp;IF('Luisa'!$E$6:$E$300="",""," : "&amp;'Luisa'!$E$6:$E$300)&amp;" ["&amp;'Luisa'!$F$6:$F$300&amp;"]",""),IF('Lui'!$B$6:$B$300=$A576,"Lui"&amp;IF('Lui'!$E$6:$E$300="",""," : "&amp;'Lui'!$E$6:$E$300)&amp;" ["&amp;'Lui'!$F$6:$F$300&amp;"]",""),IF('Thaís'!$B$6:$B$300=$A576,"Thaís"&amp;IF('Thaís'!$E$6:$E$300="",""," : "&amp;'Thaís'!$E$6:$E$300)&amp;" ["&amp;'Thaís'!$F$6:$F$300&amp;"]",""),IF('Daniel'!$B$6:$B$300=$A576,"Daniel"&amp;IF('Daniel'!$E$6:$E$300="",""," : "&amp;'Daniel'!$E$6:$E$300)&amp;" ["&amp;'Daniel'!$F$6:$F$300&amp;"]",""),IF('Fernando'!$B$6:$B$300=$A576,"Fernando"&amp;IF('Fernando'!$E$6:$E$300="",""," : "&amp;'Fernando'!$E$6:$E$300)&amp;" ["&amp;'Fernando'!$F$6:$F$300&amp;"]",""),IF('Stephanie'!$B$6:$B$300=$A576,"Stephanie"&amp;IF('Stephanie'!$E$6:$E$300="",""," : "&amp;'Stephanie'!$E$6:$E$300)&amp;" ["&amp;'Stephanie'!$F$6:$F$300&amp;"]",""),IF('Fox'!$B$6:$B$300=$A576,"Fox"&amp;IF('Fox'!$E$6:$E$300="",""," : "&amp;'Fox'!$E$6:$E$300)&amp;" ["&amp;'Fox'!$F$6:$F$300&amp;"]",""),IF('Bruna'!$B$6:$B$300=$A576,"Bruna"&amp;IF('Bruna'!$E$6:$E$300="",""," : "&amp;'Bruna'!$E$6:$E$300)&amp;" ["&amp;'Bruna'!$F$6:$F$300&amp;"]",""),IF('Stella'!$B$6:$B$300=$A576,"Stella"&amp;IF('Stella'!$E$6:$E$300="",""," : "&amp;'Stella'!$E$6:$E$300)&amp;" ["&amp;'Stella'!$F$6:$F$300&amp;"]",""),IF('Igor'!$B$6:$B$300=$A576,"Igor"&amp;IF('Igor'!$E$6:$E$300="",""," : "&amp;'Igor'!$E$6:$E$300)&amp;" ["&amp;'Igor'!$F$6:$F$300&amp;"]","")))</f>
        <v/>
      </c>
    </row>
    <row r="577">
      <c r="G577" s="23">
        <f>IF($A577="","",_xlfn.TEXTJOIN("; ",TRUE,IF(COUNTIF('Clarice'!$B$6:$B$300,$A577)&gt;0,"Clarice",""),IF(COUNTIF('Luisa'!$B$6:$B$300,$A577)&gt;0,"Luisa",""),IF(COUNTIF('Lui'!$B$6:$B$300,$A577)&gt;0,"Lui",""),IF(COUNTIF('Thaís'!$B$6:$B$300,$A577)&gt;0,"Thaís",""),IF(COUNTIF('Daniel'!$B$6:$B$300,$A577)&gt;0,"Daniel",""),IF(COUNTIF('Fernando'!$B$6:$B$300,$A577)&gt;0,"Fernando",""),IF(COUNTIF('Stephanie'!$B$6:$B$300,$A577)&gt;0,"Stephanie",""),IF(COUNTIF('Fox'!$B$6:$B$300,$A577)&gt;0,"Fox",""),IF(COUNTIF('Bruna'!$B$6:$B$300,$A577)&gt;0,"Bruna",""),IF(COUNTIF('Stella'!$B$6:$B$300,$A577)&gt;0,"Stella",""),IF(COUNTIF('Igor'!$B$6:$B$300,$A577)&gt;0,"Igor","")))</f>
        <v/>
      </c>
      <c r="J577" s="24">
        <f>IF(OR($A577="",(COUNTIF('Clarice'!$B$6:$B$300,$A577)+COUNTIF('Luisa'!$B$6:$B$300,$A577)+COUNTIF('Lui'!$B$6:$B$300,$A577)+COUNTIF('Thaís'!$B$6:$B$300,$A577)+COUNTIF('Daniel'!$B$6:$B$300,$A577)+COUNTIF('Fernando'!$B$6:$B$300,$A577)+COUNTIF('Stephanie'!$B$6:$B$300,$A577)+COUNTIF('Fox'!$B$6:$B$300,$A577)+COUNTIF('Bruna'!$B$6:$B$300,$A577)+COUNTIF('Stella'!$B$6:$B$300,$A577)+COUNTIF('Igor'!$B$6:$B$300,$A577))=0),"",(COUNTIFS('Clarice'!$B$6:$B$300,$A577,'Clarice'!$F$6:$F$300,"Concluído")+COUNTIFS('Luisa'!$B$6:$B$300,$A577,'Luisa'!$F$6:$F$300,"Concluído")+COUNTIFS('Lui'!$B$6:$B$300,$A577,'Lui'!$F$6:$F$300,"Concluído")+COUNTIFS('Thaís'!$B$6:$B$300,$A577,'Thaís'!$F$6:$F$300,"Concluído")+COUNTIFS('Daniel'!$B$6:$B$300,$A577,'Daniel'!$F$6:$F$300,"Concluído")+COUNTIFS('Fernando'!$B$6:$B$300,$A577,'Fernando'!$F$6:$F$300,"Concluído")+COUNTIFS('Stephanie'!$B$6:$B$300,$A577,'Stephanie'!$F$6:$F$300,"Concluído")+COUNTIFS('Fox'!$B$6:$B$300,$A577,'Fox'!$F$6:$F$300,"Concluído")+COUNTIFS('Bruna'!$B$6:$B$300,$A577,'Bruna'!$F$6:$F$300,"Concluído")+COUNTIFS('Stella'!$B$6:$B$300,$A577,'Stella'!$F$6:$F$300,"Concluído")+COUNTIFS('Igor'!$B$6:$B$300,$A577,'Igor'!$F$6:$F$300,"Concluído"))&amp;" / "&amp;(COUNTIF('Clarice'!$B$6:$B$300,$A577)+COUNTIF('Luisa'!$B$6:$B$300,$A577)+COUNTIF('Lui'!$B$6:$B$300,$A577)+COUNTIF('Thaís'!$B$6:$B$300,$A577)+COUNTIF('Daniel'!$B$6:$B$300,$A577)+COUNTIF('Fernando'!$B$6:$B$300,$A577)+COUNTIF('Stephanie'!$B$6:$B$300,$A577)+COUNTIF('Fox'!$B$6:$B$300,$A577)+COUNTIF('Bruna'!$B$6:$B$300,$A577)+COUNTIF('Stella'!$B$6:$B$300,$A577)+COUNTIF('Igor'!$B$6:$B$300,$A577)))</f>
        <v/>
      </c>
      <c r="P577" s="25">
        <f>IF($A577="","",IF(M577&lt;&gt;"",M577,IF(K577&lt;&gt;"",K577,"")))</f>
        <v/>
      </c>
      <c r="Q577" s="25">
        <f>IF($A577="","",IF(N577&lt;&gt;"",N577,IF(L577&lt;&gt;"",L577,"")))</f>
        <v/>
      </c>
      <c r="S577" s="23">
        <f t="array" ref="S577">IF($A577="","",_xlfn.TEXTJOIN(CHAR(10),TRUE,IF('Clarice'!$B$6:$B$300=$A577,"Clarice"&amp;IF('Clarice'!$E$6:$E$300="",""," : "&amp;'Clarice'!$E$6:$E$300)&amp;" ["&amp;'Clarice'!$F$6:$F$300&amp;"]",""),IF('Luisa'!$B$6:$B$300=$A577,"Luisa"&amp;IF('Luisa'!$E$6:$E$300="",""," : "&amp;'Luisa'!$E$6:$E$300)&amp;" ["&amp;'Luisa'!$F$6:$F$300&amp;"]",""),IF('Lui'!$B$6:$B$300=$A577,"Lui"&amp;IF('Lui'!$E$6:$E$300="",""," : "&amp;'Lui'!$E$6:$E$300)&amp;" ["&amp;'Lui'!$F$6:$F$300&amp;"]",""),IF('Thaís'!$B$6:$B$300=$A577,"Thaís"&amp;IF('Thaís'!$E$6:$E$300="",""," : "&amp;'Thaís'!$E$6:$E$300)&amp;" ["&amp;'Thaís'!$F$6:$F$300&amp;"]",""),IF('Daniel'!$B$6:$B$300=$A577,"Daniel"&amp;IF('Daniel'!$E$6:$E$300="",""," : "&amp;'Daniel'!$E$6:$E$300)&amp;" ["&amp;'Daniel'!$F$6:$F$300&amp;"]",""),IF('Fernando'!$B$6:$B$300=$A577,"Fernando"&amp;IF('Fernando'!$E$6:$E$300="",""," : "&amp;'Fernando'!$E$6:$E$300)&amp;" ["&amp;'Fernando'!$F$6:$F$300&amp;"]",""),IF('Stephanie'!$B$6:$B$300=$A577,"Stephanie"&amp;IF('Stephanie'!$E$6:$E$300="",""," : "&amp;'Stephanie'!$E$6:$E$300)&amp;" ["&amp;'Stephanie'!$F$6:$F$300&amp;"]",""),IF('Fox'!$B$6:$B$300=$A577,"Fox"&amp;IF('Fox'!$E$6:$E$300="",""," : "&amp;'Fox'!$E$6:$E$300)&amp;" ["&amp;'Fox'!$F$6:$F$300&amp;"]",""),IF('Bruna'!$B$6:$B$300=$A577,"Bruna"&amp;IF('Bruna'!$E$6:$E$300="",""," : "&amp;'Bruna'!$E$6:$E$300)&amp;" ["&amp;'Bruna'!$F$6:$F$300&amp;"]",""),IF('Stella'!$B$6:$B$300=$A577,"Stella"&amp;IF('Stella'!$E$6:$E$300="",""," : "&amp;'Stella'!$E$6:$E$300)&amp;" ["&amp;'Stella'!$F$6:$F$300&amp;"]",""),IF('Igor'!$B$6:$B$300=$A577,"Igor"&amp;IF('Igor'!$E$6:$E$300="",""," : "&amp;'Igor'!$E$6:$E$300)&amp;" ["&amp;'Igor'!$F$6:$F$300&amp;"]","")))</f>
        <v/>
      </c>
    </row>
    <row r="578">
      <c r="G578" s="23">
        <f>IF($A578="","",_xlfn.TEXTJOIN("; ",TRUE,IF(COUNTIF('Clarice'!$B$6:$B$300,$A578)&gt;0,"Clarice",""),IF(COUNTIF('Luisa'!$B$6:$B$300,$A578)&gt;0,"Luisa",""),IF(COUNTIF('Lui'!$B$6:$B$300,$A578)&gt;0,"Lui",""),IF(COUNTIF('Thaís'!$B$6:$B$300,$A578)&gt;0,"Thaís",""),IF(COUNTIF('Daniel'!$B$6:$B$300,$A578)&gt;0,"Daniel",""),IF(COUNTIF('Fernando'!$B$6:$B$300,$A578)&gt;0,"Fernando",""),IF(COUNTIF('Stephanie'!$B$6:$B$300,$A578)&gt;0,"Stephanie",""),IF(COUNTIF('Fox'!$B$6:$B$300,$A578)&gt;0,"Fox",""),IF(COUNTIF('Bruna'!$B$6:$B$300,$A578)&gt;0,"Bruna",""),IF(COUNTIF('Stella'!$B$6:$B$300,$A578)&gt;0,"Stella",""),IF(COUNTIF('Igor'!$B$6:$B$300,$A578)&gt;0,"Igor","")))</f>
        <v/>
      </c>
      <c r="J578" s="24">
        <f>IF(OR($A578="",(COUNTIF('Clarice'!$B$6:$B$300,$A578)+COUNTIF('Luisa'!$B$6:$B$300,$A578)+COUNTIF('Lui'!$B$6:$B$300,$A578)+COUNTIF('Thaís'!$B$6:$B$300,$A578)+COUNTIF('Daniel'!$B$6:$B$300,$A578)+COUNTIF('Fernando'!$B$6:$B$300,$A578)+COUNTIF('Stephanie'!$B$6:$B$300,$A578)+COUNTIF('Fox'!$B$6:$B$300,$A578)+COUNTIF('Bruna'!$B$6:$B$300,$A578)+COUNTIF('Stella'!$B$6:$B$300,$A578)+COUNTIF('Igor'!$B$6:$B$300,$A578))=0),"",(COUNTIFS('Clarice'!$B$6:$B$300,$A578,'Clarice'!$F$6:$F$300,"Concluído")+COUNTIFS('Luisa'!$B$6:$B$300,$A578,'Luisa'!$F$6:$F$300,"Concluído")+COUNTIFS('Lui'!$B$6:$B$300,$A578,'Lui'!$F$6:$F$300,"Concluído")+COUNTIFS('Thaís'!$B$6:$B$300,$A578,'Thaís'!$F$6:$F$300,"Concluído")+COUNTIFS('Daniel'!$B$6:$B$300,$A578,'Daniel'!$F$6:$F$300,"Concluído")+COUNTIFS('Fernando'!$B$6:$B$300,$A578,'Fernando'!$F$6:$F$300,"Concluído")+COUNTIFS('Stephanie'!$B$6:$B$300,$A578,'Stephanie'!$F$6:$F$300,"Concluído")+COUNTIFS('Fox'!$B$6:$B$300,$A578,'Fox'!$F$6:$F$300,"Concluído")+COUNTIFS('Bruna'!$B$6:$B$300,$A578,'Bruna'!$F$6:$F$300,"Concluído")+COUNTIFS('Stella'!$B$6:$B$300,$A578,'Stella'!$F$6:$F$300,"Concluído")+COUNTIFS('Igor'!$B$6:$B$300,$A578,'Igor'!$F$6:$F$300,"Concluído"))&amp;" / "&amp;(COUNTIF('Clarice'!$B$6:$B$300,$A578)+COUNTIF('Luisa'!$B$6:$B$300,$A578)+COUNTIF('Lui'!$B$6:$B$300,$A578)+COUNTIF('Thaís'!$B$6:$B$300,$A578)+COUNTIF('Daniel'!$B$6:$B$300,$A578)+COUNTIF('Fernando'!$B$6:$B$300,$A578)+COUNTIF('Stephanie'!$B$6:$B$300,$A578)+COUNTIF('Fox'!$B$6:$B$300,$A578)+COUNTIF('Bruna'!$B$6:$B$300,$A578)+COUNTIF('Stella'!$B$6:$B$300,$A578)+COUNTIF('Igor'!$B$6:$B$300,$A578)))</f>
        <v/>
      </c>
      <c r="P578" s="25">
        <f>IF($A578="","",IF(M578&lt;&gt;"",M578,IF(K578&lt;&gt;"",K578,"")))</f>
        <v/>
      </c>
      <c r="Q578" s="25">
        <f>IF($A578="","",IF(N578&lt;&gt;"",N578,IF(L578&lt;&gt;"",L578,"")))</f>
        <v/>
      </c>
      <c r="S578" s="23">
        <f t="array" ref="S578">IF($A578="","",_xlfn.TEXTJOIN(CHAR(10),TRUE,IF('Clarice'!$B$6:$B$300=$A578,"Clarice"&amp;IF('Clarice'!$E$6:$E$300="",""," : "&amp;'Clarice'!$E$6:$E$300)&amp;" ["&amp;'Clarice'!$F$6:$F$300&amp;"]",""),IF('Luisa'!$B$6:$B$300=$A578,"Luisa"&amp;IF('Luisa'!$E$6:$E$300="",""," : "&amp;'Luisa'!$E$6:$E$300)&amp;" ["&amp;'Luisa'!$F$6:$F$300&amp;"]",""),IF('Lui'!$B$6:$B$300=$A578,"Lui"&amp;IF('Lui'!$E$6:$E$300="",""," : "&amp;'Lui'!$E$6:$E$300)&amp;" ["&amp;'Lui'!$F$6:$F$300&amp;"]",""),IF('Thaís'!$B$6:$B$300=$A578,"Thaís"&amp;IF('Thaís'!$E$6:$E$300="",""," : "&amp;'Thaís'!$E$6:$E$300)&amp;" ["&amp;'Thaís'!$F$6:$F$300&amp;"]",""),IF('Daniel'!$B$6:$B$300=$A578,"Daniel"&amp;IF('Daniel'!$E$6:$E$300="",""," : "&amp;'Daniel'!$E$6:$E$300)&amp;" ["&amp;'Daniel'!$F$6:$F$300&amp;"]",""),IF('Fernando'!$B$6:$B$300=$A578,"Fernando"&amp;IF('Fernando'!$E$6:$E$300="",""," : "&amp;'Fernando'!$E$6:$E$300)&amp;" ["&amp;'Fernando'!$F$6:$F$300&amp;"]",""),IF('Stephanie'!$B$6:$B$300=$A578,"Stephanie"&amp;IF('Stephanie'!$E$6:$E$300="",""," : "&amp;'Stephanie'!$E$6:$E$300)&amp;" ["&amp;'Stephanie'!$F$6:$F$300&amp;"]",""),IF('Fox'!$B$6:$B$300=$A578,"Fox"&amp;IF('Fox'!$E$6:$E$300="",""," : "&amp;'Fox'!$E$6:$E$300)&amp;" ["&amp;'Fox'!$F$6:$F$300&amp;"]",""),IF('Bruna'!$B$6:$B$300=$A578,"Bruna"&amp;IF('Bruna'!$E$6:$E$300="",""," : "&amp;'Bruna'!$E$6:$E$300)&amp;" ["&amp;'Bruna'!$F$6:$F$300&amp;"]",""),IF('Stella'!$B$6:$B$300=$A578,"Stella"&amp;IF('Stella'!$E$6:$E$300="",""," : "&amp;'Stella'!$E$6:$E$300)&amp;" ["&amp;'Stella'!$F$6:$F$300&amp;"]",""),IF('Igor'!$B$6:$B$300=$A578,"Igor"&amp;IF('Igor'!$E$6:$E$300="",""," : "&amp;'Igor'!$E$6:$E$300)&amp;" ["&amp;'Igor'!$F$6:$F$300&amp;"]","")))</f>
        <v/>
      </c>
    </row>
    <row r="579">
      <c r="G579" s="23">
        <f>IF($A579="","",_xlfn.TEXTJOIN("; ",TRUE,IF(COUNTIF('Clarice'!$B$6:$B$300,$A579)&gt;0,"Clarice",""),IF(COUNTIF('Luisa'!$B$6:$B$300,$A579)&gt;0,"Luisa",""),IF(COUNTIF('Lui'!$B$6:$B$300,$A579)&gt;0,"Lui",""),IF(COUNTIF('Thaís'!$B$6:$B$300,$A579)&gt;0,"Thaís",""),IF(COUNTIF('Daniel'!$B$6:$B$300,$A579)&gt;0,"Daniel",""),IF(COUNTIF('Fernando'!$B$6:$B$300,$A579)&gt;0,"Fernando",""),IF(COUNTIF('Stephanie'!$B$6:$B$300,$A579)&gt;0,"Stephanie",""),IF(COUNTIF('Fox'!$B$6:$B$300,$A579)&gt;0,"Fox",""),IF(COUNTIF('Bruna'!$B$6:$B$300,$A579)&gt;0,"Bruna",""),IF(COUNTIF('Stella'!$B$6:$B$300,$A579)&gt;0,"Stella",""),IF(COUNTIF('Igor'!$B$6:$B$300,$A579)&gt;0,"Igor","")))</f>
        <v/>
      </c>
      <c r="J579" s="24">
        <f>IF(OR($A579="",(COUNTIF('Clarice'!$B$6:$B$300,$A579)+COUNTIF('Luisa'!$B$6:$B$300,$A579)+COUNTIF('Lui'!$B$6:$B$300,$A579)+COUNTIF('Thaís'!$B$6:$B$300,$A579)+COUNTIF('Daniel'!$B$6:$B$300,$A579)+COUNTIF('Fernando'!$B$6:$B$300,$A579)+COUNTIF('Stephanie'!$B$6:$B$300,$A579)+COUNTIF('Fox'!$B$6:$B$300,$A579)+COUNTIF('Bruna'!$B$6:$B$300,$A579)+COUNTIF('Stella'!$B$6:$B$300,$A579)+COUNTIF('Igor'!$B$6:$B$300,$A579))=0),"",(COUNTIFS('Clarice'!$B$6:$B$300,$A579,'Clarice'!$F$6:$F$300,"Concluído")+COUNTIFS('Luisa'!$B$6:$B$300,$A579,'Luisa'!$F$6:$F$300,"Concluído")+COUNTIFS('Lui'!$B$6:$B$300,$A579,'Lui'!$F$6:$F$300,"Concluído")+COUNTIFS('Thaís'!$B$6:$B$300,$A579,'Thaís'!$F$6:$F$300,"Concluído")+COUNTIFS('Daniel'!$B$6:$B$300,$A579,'Daniel'!$F$6:$F$300,"Concluído")+COUNTIFS('Fernando'!$B$6:$B$300,$A579,'Fernando'!$F$6:$F$300,"Concluído")+COUNTIFS('Stephanie'!$B$6:$B$300,$A579,'Stephanie'!$F$6:$F$300,"Concluído")+COUNTIFS('Fox'!$B$6:$B$300,$A579,'Fox'!$F$6:$F$300,"Concluído")+COUNTIFS('Bruna'!$B$6:$B$300,$A579,'Bruna'!$F$6:$F$300,"Concluído")+COUNTIFS('Stella'!$B$6:$B$300,$A579,'Stella'!$F$6:$F$300,"Concluído")+COUNTIFS('Igor'!$B$6:$B$300,$A579,'Igor'!$F$6:$F$300,"Concluído"))&amp;" / "&amp;(COUNTIF('Clarice'!$B$6:$B$300,$A579)+COUNTIF('Luisa'!$B$6:$B$300,$A579)+COUNTIF('Lui'!$B$6:$B$300,$A579)+COUNTIF('Thaís'!$B$6:$B$300,$A579)+COUNTIF('Daniel'!$B$6:$B$300,$A579)+COUNTIF('Fernando'!$B$6:$B$300,$A579)+COUNTIF('Stephanie'!$B$6:$B$300,$A579)+COUNTIF('Fox'!$B$6:$B$300,$A579)+COUNTIF('Bruna'!$B$6:$B$300,$A579)+COUNTIF('Stella'!$B$6:$B$300,$A579)+COUNTIF('Igor'!$B$6:$B$300,$A579)))</f>
        <v/>
      </c>
      <c r="P579" s="25">
        <f>IF($A579="","",IF(M579&lt;&gt;"",M579,IF(K579&lt;&gt;"",K579,"")))</f>
        <v/>
      </c>
      <c r="Q579" s="25">
        <f>IF($A579="","",IF(N579&lt;&gt;"",N579,IF(L579&lt;&gt;"",L579,"")))</f>
        <v/>
      </c>
      <c r="S579" s="23">
        <f t="array" ref="S579">IF($A579="","",_xlfn.TEXTJOIN(CHAR(10),TRUE,IF('Clarice'!$B$6:$B$300=$A579,"Clarice"&amp;IF('Clarice'!$E$6:$E$300="",""," : "&amp;'Clarice'!$E$6:$E$300)&amp;" ["&amp;'Clarice'!$F$6:$F$300&amp;"]",""),IF('Luisa'!$B$6:$B$300=$A579,"Luisa"&amp;IF('Luisa'!$E$6:$E$300="",""," : "&amp;'Luisa'!$E$6:$E$300)&amp;" ["&amp;'Luisa'!$F$6:$F$300&amp;"]",""),IF('Lui'!$B$6:$B$300=$A579,"Lui"&amp;IF('Lui'!$E$6:$E$300="",""," : "&amp;'Lui'!$E$6:$E$300)&amp;" ["&amp;'Lui'!$F$6:$F$300&amp;"]",""),IF('Thaís'!$B$6:$B$300=$A579,"Thaís"&amp;IF('Thaís'!$E$6:$E$300="",""," : "&amp;'Thaís'!$E$6:$E$300)&amp;" ["&amp;'Thaís'!$F$6:$F$300&amp;"]",""),IF('Daniel'!$B$6:$B$300=$A579,"Daniel"&amp;IF('Daniel'!$E$6:$E$300="",""," : "&amp;'Daniel'!$E$6:$E$300)&amp;" ["&amp;'Daniel'!$F$6:$F$300&amp;"]",""),IF('Fernando'!$B$6:$B$300=$A579,"Fernando"&amp;IF('Fernando'!$E$6:$E$300="",""," : "&amp;'Fernando'!$E$6:$E$300)&amp;" ["&amp;'Fernando'!$F$6:$F$300&amp;"]",""),IF('Stephanie'!$B$6:$B$300=$A579,"Stephanie"&amp;IF('Stephanie'!$E$6:$E$300="",""," : "&amp;'Stephanie'!$E$6:$E$300)&amp;" ["&amp;'Stephanie'!$F$6:$F$300&amp;"]",""),IF('Fox'!$B$6:$B$300=$A579,"Fox"&amp;IF('Fox'!$E$6:$E$300="",""," : "&amp;'Fox'!$E$6:$E$300)&amp;" ["&amp;'Fox'!$F$6:$F$300&amp;"]",""),IF('Bruna'!$B$6:$B$300=$A579,"Bruna"&amp;IF('Bruna'!$E$6:$E$300="",""," : "&amp;'Bruna'!$E$6:$E$300)&amp;" ["&amp;'Bruna'!$F$6:$F$300&amp;"]",""),IF('Stella'!$B$6:$B$300=$A579,"Stella"&amp;IF('Stella'!$E$6:$E$300="",""," : "&amp;'Stella'!$E$6:$E$300)&amp;" ["&amp;'Stella'!$F$6:$F$300&amp;"]",""),IF('Igor'!$B$6:$B$300=$A579,"Igor"&amp;IF('Igor'!$E$6:$E$300="",""," : "&amp;'Igor'!$E$6:$E$300)&amp;" ["&amp;'Igor'!$F$6:$F$300&amp;"]","")))</f>
        <v/>
      </c>
    </row>
    <row r="580">
      <c r="G580" s="23">
        <f>IF($A580="","",_xlfn.TEXTJOIN("; ",TRUE,IF(COUNTIF('Clarice'!$B$6:$B$300,$A580)&gt;0,"Clarice",""),IF(COUNTIF('Luisa'!$B$6:$B$300,$A580)&gt;0,"Luisa",""),IF(COUNTIF('Lui'!$B$6:$B$300,$A580)&gt;0,"Lui",""),IF(COUNTIF('Thaís'!$B$6:$B$300,$A580)&gt;0,"Thaís",""),IF(COUNTIF('Daniel'!$B$6:$B$300,$A580)&gt;0,"Daniel",""),IF(COUNTIF('Fernando'!$B$6:$B$300,$A580)&gt;0,"Fernando",""),IF(COUNTIF('Stephanie'!$B$6:$B$300,$A580)&gt;0,"Stephanie",""),IF(COUNTIF('Fox'!$B$6:$B$300,$A580)&gt;0,"Fox",""),IF(COUNTIF('Bruna'!$B$6:$B$300,$A580)&gt;0,"Bruna",""),IF(COUNTIF('Stella'!$B$6:$B$300,$A580)&gt;0,"Stella",""),IF(COUNTIF('Igor'!$B$6:$B$300,$A580)&gt;0,"Igor","")))</f>
        <v/>
      </c>
      <c r="J580" s="24">
        <f>IF(OR($A580="",(COUNTIF('Clarice'!$B$6:$B$300,$A580)+COUNTIF('Luisa'!$B$6:$B$300,$A580)+COUNTIF('Lui'!$B$6:$B$300,$A580)+COUNTIF('Thaís'!$B$6:$B$300,$A580)+COUNTIF('Daniel'!$B$6:$B$300,$A580)+COUNTIF('Fernando'!$B$6:$B$300,$A580)+COUNTIF('Stephanie'!$B$6:$B$300,$A580)+COUNTIF('Fox'!$B$6:$B$300,$A580)+COUNTIF('Bruna'!$B$6:$B$300,$A580)+COUNTIF('Stella'!$B$6:$B$300,$A580)+COUNTIF('Igor'!$B$6:$B$300,$A580))=0),"",(COUNTIFS('Clarice'!$B$6:$B$300,$A580,'Clarice'!$F$6:$F$300,"Concluído")+COUNTIFS('Luisa'!$B$6:$B$300,$A580,'Luisa'!$F$6:$F$300,"Concluído")+COUNTIFS('Lui'!$B$6:$B$300,$A580,'Lui'!$F$6:$F$300,"Concluído")+COUNTIFS('Thaís'!$B$6:$B$300,$A580,'Thaís'!$F$6:$F$300,"Concluído")+COUNTIFS('Daniel'!$B$6:$B$300,$A580,'Daniel'!$F$6:$F$300,"Concluído")+COUNTIFS('Fernando'!$B$6:$B$300,$A580,'Fernando'!$F$6:$F$300,"Concluído")+COUNTIFS('Stephanie'!$B$6:$B$300,$A580,'Stephanie'!$F$6:$F$300,"Concluído")+COUNTIFS('Fox'!$B$6:$B$300,$A580,'Fox'!$F$6:$F$300,"Concluído")+COUNTIFS('Bruna'!$B$6:$B$300,$A580,'Bruna'!$F$6:$F$300,"Concluído")+COUNTIFS('Stella'!$B$6:$B$300,$A580,'Stella'!$F$6:$F$300,"Concluído")+COUNTIFS('Igor'!$B$6:$B$300,$A580,'Igor'!$F$6:$F$300,"Concluído"))&amp;" / "&amp;(COUNTIF('Clarice'!$B$6:$B$300,$A580)+COUNTIF('Luisa'!$B$6:$B$300,$A580)+COUNTIF('Lui'!$B$6:$B$300,$A580)+COUNTIF('Thaís'!$B$6:$B$300,$A580)+COUNTIF('Daniel'!$B$6:$B$300,$A580)+COUNTIF('Fernando'!$B$6:$B$300,$A580)+COUNTIF('Stephanie'!$B$6:$B$300,$A580)+COUNTIF('Fox'!$B$6:$B$300,$A580)+COUNTIF('Bruna'!$B$6:$B$300,$A580)+COUNTIF('Stella'!$B$6:$B$300,$A580)+COUNTIF('Igor'!$B$6:$B$300,$A580)))</f>
        <v/>
      </c>
      <c r="P580" s="25">
        <f>IF($A580="","",IF(M580&lt;&gt;"",M580,IF(K580&lt;&gt;"",K580,"")))</f>
        <v/>
      </c>
      <c r="Q580" s="25">
        <f>IF($A580="","",IF(N580&lt;&gt;"",N580,IF(L580&lt;&gt;"",L580,"")))</f>
        <v/>
      </c>
      <c r="S580" s="23">
        <f t="array" ref="S580">IF($A580="","",_xlfn.TEXTJOIN(CHAR(10),TRUE,IF('Clarice'!$B$6:$B$300=$A580,"Clarice"&amp;IF('Clarice'!$E$6:$E$300="",""," : "&amp;'Clarice'!$E$6:$E$300)&amp;" ["&amp;'Clarice'!$F$6:$F$300&amp;"]",""),IF('Luisa'!$B$6:$B$300=$A580,"Luisa"&amp;IF('Luisa'!$E$6:$E$300="",""," : "&amp;'Luisa'!$E$6:$E$300)&amp;" ["&amp;'Luisa'!$F$6:$F$300&amp;"]",""),IF('Lui'!$B$6:$B$300=$A580,"Lui"&amp;IF('Lui'!$E$6:$E$300="",""," : "&amp;'Lui'!$E$6:$E$300)&amp;" ["&amp;'Lui'!$F$6:$F$300&amp;"]",""),IF('Thaís'!$B$6:$B$300=$A580,"Thaís"&amp;IF('Thaís'!$E$6:$E$300="",""," : "&amp;'Thaís'!$E$6:$E$300)&amp;" ["&amp;'Thaís'!$F$6:$F$300&amp;"]",""),IF('Daniel'!$B$6:$B$300=$A580,"Daniel"&amp;IF('Daniel'!$E$6:$E$300="",""," : "&amp;'Daniel'!$E$6:$E$300)&amp;" ["&amp;'Daniel'!$F$6:$F$300&amp;"]",""),IF('Fernando'!$B$6:$B$300=$A580,"Fernando"&amp;IF('Fernando'!$E$6:$E$300="",""," : "&amp;'Fernando'!$E$6:$E$300)&amp;" ["&amp;'Fernando'!$F$6:$F$300&amp;"]",""),IF('Stephanie'!$B$6:$B$300=$A580,"Stephanie"&amp;IF('Stephanie'!$E$6:$E$300="",""," : "&amp;'Stephanie'!$E$6:$E$300)&amp;" ["&amp;'Stephanie'!$F$6:$F$300&amp;"]",""),IF('Fox'!$B$6:$B$300=$A580,"Fox"&amp;IF('Fox'!$E$6:$E$300="",""," : "&amp;'Fox'!$E$6:$E$300)&amp;" ["&amp;'Fox'!$F$6:$F$300&amp;"]",""),IF('Bruna'!$B$6:$B$300=$A580,"Bruna"&amp;IF('Bruna'!$E$6:$E$300="",""," : "&amp;'Bruna'!$E$6:$E$300)&amp;" ["&amp;'Bruna'!$F$6:$F$300&amp;"]",""),IF('Stella'!$B$6:$B$300=$A580,"Stella"&amp;IF('Stella'!$E$6:$E$300="",""," : "&amp;'Stella'!$E$6:$E$300)&amp;" ["&amp;'Stella'!$F$6:$F$300&amp;"]",""),IF('Igor'!$B$6:$B$300=$A580,"Igor"&amp;IF('Igor'!$E$6:$E$300="",""," : "&amp;'Igor'!$E$6:$E$300)&amp;" ["&amp;'Igor'!$F$6:$F$300&amp;"]","")))</f>
        <v/>
      </c>
    </row>
    <row r="581">
      <c r="G581" s="23">
        <f>IF($A581="","",_xlfn.TEXTJOIN("; ",TRUE,IF(COUNTIF('Clarice'!$B$6:$B$300,$A581)&gt;0,"Clarice",""),IF(COUNTIF('Luisa'!$B$6:$B$300,$A581)&gt;0,"Luisa",""),IF(COUNTIF('Lui'!$B$6:$B$300,$A581)&gt;0,"Lui",""),IF(COUNTIF('Thaís'!$B$6:$B$300,$A581)&gt;0,"Thaís",""),IF(COUNTIF('Daniel'!$B$6:$B$300,$A581)&gt;0,"Daniel",""),IF(COUNTIF('Fernando'!$B$6:$B$300,$A581)&gt;0,"Fernando",""),IF(COUNTIF('Stephanie'!$B$6:$B$300,$A581)&gt;0,"Stephanie",""),IF(COUNTIF('Fox'!$B$6:$B$300,$A581)&gt;0,"Fox",""),IF(COUNTIF('Bruna'!$B$6:$B$300,$A581)&gt;0,"Bruna",""),IF(COUNTIF('Stella'!$B$6:$B$300,$A581)&gt;0,"Stella",""),IF(COUNTIF('Igor'!$B$6:$B$300,$A581)&gt;0,"Igor","")))</f>
        <v/>
      </c>
      <c r="J581" s="24">
        <f>IF(OR($A581="",(COUNTIF('Clarice'!$B$6:$B$300,$A581)+COUNTIF('Luisa'!$B$6:$B$300,$A581)+COUNTIF('Lui'!$B$6:$B$300,$A581)+COUNTIF('Thaís'!$B$6:$B$300,$A581)+COUNTIF('Daniel'!$B$6:$B$300,$A581)+COUNTIF('Fernando'!$B$6:$B$300,$A581)+COUNTIF('Stephanie'!$B$6:$B$300,$A581)+COUNTIF('Fox'!$B$6:$B$300,$A581)+COUNTIF('Bruna'!$B$6:$B$300,$A581)+COUNTIF('Stella'!$B$6:$B$300,$A581)+COUNTIF('Igor'!$B$6:$B$300,$A581))=0),"",(COUNTIFS('Clarice'!$B$6:$B$300,$A581,'Clarice'!$F$6:$F$300,"Concluído")+COUNTIFS('Luisa'!$B$6:$B$300,$A581,'Luisa'!$F$6:$F$300,"Concluído")+COUNTIFS('Lui'!$B$6:$B$300,$A581,'Lui'!$F$6:$F$300,"Concluído")+COUNTIFS('Thaís'!$B$6:$B$300,$A581,'Thaís'!$F$6:$F$300,"Concluído")+COUNTIFS('Daniel'!$B$6:$B$300,$A581,'Daniel'!$F$6:$F$300,"Concluído")+COUNTIFS('Fernando'!$B$6:$B$300,$A581,'Fernando'!$F$6:$F$300,"Concluído")+COUNTIFS('Stephanie'!$B$6:$B$300,$A581,'Stephanie'!$F$6:$F$300,"Concluído")+COUNTIFS('Fox'!$B$6:$B$300,$A581,'Fox'!$F$6:$F$300,"Concluído")+COUNTIFS('Bruna'!$B$6:$B$300,$A581,'Bruna'!$F$6:$F$300,"Concluído")+COUNTIFS('Stella'!$B$6:$B$300,$A581,'Stella'!$F$6:$F$300,"Concluído")+COUNTIFS('Igor'!$B$6:$B$300,$A581,'Igor'!$F$6:$F$300,"Concluído"))&amp;" / "&amp;(COUNTIF('Clarice'!$B$6:$B$300,$A581)+COUNTIF('Luisa'!$B$6:$B$300,$A581)+COUNTIF('Lui'!$B$6:$B$300,$A581)+COUNTIF('Thaís'!$B$6:$B$300,$A581)+COUNTIF('Daniel'!$B$6:$B$300,$A581)+COUNTIF('Fernando'!$B$6:$B$300,$A581)+COUNTIF('Stephanie'!$B$6:$B$300,$A581)+COUNTIF('Fox'!$B$6:$B$300,$A581)+COUNTIF('Bruna'!$B$6:$B$300,$A581)+COUNTIF('Stella'!$B$6:$B$300,$A581)+COUNTIF('Igor'!$B$6:$B$300,$A581)))</f>
        <v/>
      </c>
      <c r="P581" s="25">
        <f>IF($A581="","",IF(M581&lt;&gt;"",M581,IF(K581&lt;&gt;"",K581,"")))</f>
        <v/>
      </c>
      <c r="Q581" s="25">
        <f>IF($A581="","",IF(N581&lt;&gt;"",N581,IF(L581&lt;&gt;"",L581,"")))</f>
        <v/>
      </c>
      <c r="S581" s="23">
        <f t="array" ref="S581">IF($A581="","",_xlfn.TEXTJOIN(CHAR(10),TRUE,IF('Clarice'!$B$6:$B$300=$A581,"Clarice"&amp;IF('Clarice'!$E$6:$E$300="",""," : "&amp;'Clarice'!$E$6:$E$300)&amp;" ["&amp;'Clarice'!$F$6:$F$300&amp;"]",""),IF('Luisa'!$B$6:$B$300=$A581,"Luisa"&amp;IF('Luisa'!$E$6:$E$300="",""," : "&amp;'Luisa'!$E$6:$E$300)&amp;" ["&amp;'Luisa'!$F$6:$F$300&amp;"]",""),IF('Lui'!$B$6:$B$300=$A581,"Lui"&amp;IF('Lui'!$E$6:$E$300="",""," : "&amp;'Lui'!$E$6:$E$300)&amp;" ["&amp;'Lui'!$F$6:$F$300&amp;"]",""),IF('Thaís'!$B$6:$B$300=$A581,"Thaís"&amp;IF('Thaís'!$E$6:$E$300="",""," : "&amp;'Thaís'!$E$6:$E$300)&amp;" ["&amp;'Thaís'!$F$6:$F$300&amp;"]",""),IF('Daniel'!$B$6:$B$300=$A581,"Daniel"&amp;IF('Daniel'!$E$6:$E$300="",""," : "&amp;'Daniel'!$E$6:$E$300)&amp;" ["&amp;'Daniel'!$F$6:$F$300&amp;"]",""),IF('Fernando'!$B$6:$B$300=$A581,"Fernando"&amp;IF('Fernando'!$E$6:$E$300="",""," : "&amp;'Fernando'!$E$6:$E$300)&amp;" ["&amp;'Fernando'!$F$6:$F$300&amp;"]",""),IF('Stephanie'!$B$6:$B$300=$A581,"Stephanie"&amp;IF('Stephanie'!$E$6:$E$300="",""," : "&amp;'Stephanie'!$E$6:$E$300)&amp;" ["&amp;'Stephanie'!$F$6:$F$300&amp;"]",""),IF('Fox'!$B$6:$B$300=$A581,"Fox"&amp;IF('Fox'!$E$6:$E$300="",""," : "&amp;'Fox'!$E$6:$E$300)&amp;" ["&amp;'Fox'!$F$6:$F$300&amp;"]",""),IF('Bruna'!$B$6:$B$300=$A581,"Bruna"&amp;IF('Bruna'!$E$6:$E$300="",""," : "&amp;'Bruna'!$E$6:$E$300)&amp;" ["&amp;'Bruna'!$F$6:$F$300&amp;"]",""),IF('Stella'!$B$6:$B$300=$A581,"Stella"&amp;IF('Stella'!$E$6:$E$300="",""," : "&amp;'Stella'!$E$6:$E$300)&amp;" ["&amp;'Stella'!$F$6:$F$300&amp;"]",""),IF('Igor'!$B$6:$B$300=$A581,"Igor"&amp;IF('Igor'!$E$6:$E$300="",""," : "&amp;'Igor'!$E$6:$E$300)&amp;" ["&amp;'Igor'!$F$6:$F$300&amp;"]","")))</f>
        <v/>
      </c>
    </row>
    <row r="582">
      <c r="G582" s="23">
        <f>IF($A582="","",_xlfn.TEXTJOIN("; ",TRUE,IF(COUNTIF('Clarice'!$B$6:$B$300,$A582)&gt;0,"Clarice",""),IF(COUNTIF('Luisa'!$B$6:$B$300,$A582)&gt;0,"Luisa",""),IF(COUNTIF('Lui'!$B$6:$B$300,$A582)&gt;0,"Lui",""),IF(COUNTIF('Thaís'!$B$6:$B$300,$A582)&gt;0,"Thaís",""),IF(COUNTIF('Daniel'!$B$6:$B$300,$A582)&gt;0,"Daniel",""),IF(COUNTIF('Fernando'!$B$6:$B$300,$A582)&gt;0,"Fernando",""),IF(COUNTIF('Stephanie'!$B$6:$B$300,$A582)&gt;0,"Stephanie",""),IF(COUNTIF('Fox'!$B$6:$B$300,$A582)&gt;0,"Fox",""),IF(COUNTIF('Bruna'!$B$6:$B$300,$A582)&gt;0,"Bruna",""),IF(COUNTIF('Stella'!$B$6:$B$300,$A582)&gt;0,"Stella",""),IF(COUNTIF('Igor'!$B$6:$B$300,$A582)&gt;0,"Igor","")))</f>
        <v/>
      </c>
      <c r="J582" s="24">
        <f>IF(OR($A582="",(COUNTIF('Clarice'!$B$6:$B$300,$A582)+COUNTIF('Luisa'!$B$6:$B$300,$A582)+COUNTIF('Lui'!$B$6:$B$300,$A582)+COUNTIF('Thaís'!$B$6:$B$300,$A582)+COUNTIF('Daniel'!$B$6:$B$300,$A582)+COUNTIF('Fernando'!$B$6:$B$300,$A582)+COUNTIF('Stephanie'!$B$6:$B$300,$A582)+COUNTIF('Fox'!$B$6:$B$300,$A582)+COUNTIF('Bruna'!$B$6:$B$300,$A582)+COUNTIF('Stella'!$B$6:$B$300,$A582)+COUNTIF('Igor'!$B$6:$B$300,$A582))=0),"",(COUNTIFS('Clarice'!$B$6:$B$300,$A582,'Clarice'!$F$6:$F$300,"Concluído")+COUNTIFS('Luisa'!$B$6:$B$300,$A582,'Luisa'!$F$6:$F$300,"Concluído")+COUNTIFS('Lui'!$B$6:$B$300,$A582,'Lui'!$F$6:$F$300,"Concluído")+COUNTIFS('Thaís'!$B$6:$B$300,$A582,'Thaís'!$F$6:$F$300,"Concluído")+COUNTIFS('Daniel'!$B$6:$B$300,$A582,'Daniel'!$F$6:$F$300,"Concluído")+COUNTIFS('Fernando'!$B$6:$B$300,$A582,'Fernando'!$F$6:$F$300,"Concluído")+COUNTIFS('Stephanie'!$B$6:$B$300,$A582,'Stephanie'!$F$6:$F$300,"Concluído")+COUNTIFS('Fox'!$B$6:$B$300,$A582,'Fox'!$F$6:$F$300,"Concluído")+COUNTIFS('Bruna'!$B$6:$B$300,$A582,'Bruna'!$F$6:$F$300,"Concluído")+COUNTIFS('Stella'!$B$6:$B$300,$A582,'Stella'!$F$6:$F$300,"Concluído")+COUNTIFS('Igor'!$B$6:$B$300,$A582,'Igor'!$F$6:$F$300,"Concluído"))&amp;" / "&amp;(COUNTIF('Clarice'!$B$6:$B$300,$A582)+COUNTIF('Luisa'!$B$6:$B$300,$A582)+COUNTIF('Lui'!$B$6:$B$300,$A582)+COUNTIF('Thaís'!$B$6:$B$300,$A582)+COUNTIF('Daniel'!$B$6:$B$300,$A582)+COUNTIF('Fernando'!$B$6:$B$300,$A582)+COUNTIF('Stephanie'!$B$6:$B$300,$A582)+COUNTIF('Fox'!$B$6:$B$300,$A582)+COUNTIF('Bruna'!$B$6:$B$300,$A582)+COUNTIF('Stella'!$B$6:$B$300,$A582)+COUNTIF('Igor'!$B$6:$B$300,$A582)))</f>
        <v/>
      </c>
      <c r="P582" s="25">
        <f>IF($A582="","",IF(M582&lt;&gt;"",M582,IF(K582&lt;&gt;"",K582,"")))</f>
        <v/>
      </c>
      <c r="Q582" s="25">
        <f>IF($A582="","",IF(N582&lt;&gt;"",N582,IF(L582&lt;&gt;"",L582,"")))</f>
        <v/>
      </c>
      <c r="S582" s="23">
        <f t="array" ref="S582">IF($A582="","",_xlfn.TEXTJOIN(CHAR(10),TRUE,IF('Clarice'!$B$6:$B$300=$A582,"Clarice"&amp;IF('Clarice'!$E$6:$E$300="",""," : "&amp;'Clarice'!$E$6:$E$300)&amp;" ["&amp;'Clarice'!$F$6:$F$300&amp;"]",""),IF('Luisa'!$B$6:$B$300=$A582,"Luisa"&amp;IF('Luisa'!$E$6:$E$300="",""," : "&amp;'Luisa'!$E$6:$E$300)&amp;" ["&amp;'Luisa'!$F$6:$F$300&amp;"]",""),IF('Lui'!$B$6:$B$300=$A582,"Lui"&amp;IF('Lui'!$E$6:$E$300="",""," : "&amp;'Lui'!$E$6:$E$300)&amp;" ["&amp;'Lui'!$F$6:$F$300&amp;"]",""),IF('Thaís'!$B$6:$B$300=$A582,"Thaís"&amp;IF('Thaís'!$E$6:$E$300="",""," : "&amp;'Thaís'!$E$6:$E$300)&amp;" ["&amp;'Thaís'!$F$6:$F$300&amp;"]",""),IF('Daniel'!$B$6:$B$300=$A582,"Daniel"&amp;IF('Daniel'!$E$6:$E$300="",""," : "&amp;'Daniel'!$E$6:$E$300)&amp;" ["&amp;'Daniel'!$F$6:$F$300&amp;"]",""),IF('Fernando'!$B$6:$B$300=$A582,"Fernando"&amp;IF('Fernando'!$E$6:$E$300="",""," : "&amp;'Fernando'!$E$6:$E$300)&amp;" ["&amp;'Fernando'!$F$6:$F$300&amp;"]",""),IF('Stephanie'!$B$6:$B$300=$A582,"Stephanie"&amp;IF('Stephanie'!$E$6:$E$300="",""," : "&amp;'Stephanie'!$E$6:$E$300)&amp;" ["&amp;'Stephanie'!$F$6:$F$300&amp;"]",""),IF('Fox'!$B$6:$B$300=$A582,"Fox"&amp;IF('Fox'!$E$6:$E$300="",""," : "&amp;'Fox'!$E$6:$E$300)&amp;" ["&amp;'Fox'!$F$6:$F$300&amp;"]",""),IF('Bruna'!$B$6:$B$300=$A582,"Bruna"&amp;IF('Bruna'!$E$6:$E$300="",""," : "&amp;'Bruna'!$E$6:$E$300)&amp;" ["&amp;'Bruna'!$F$6:$F$300&amp;"]",""),IF('Stella'!$B$6:$B$300=$A582,"Stella"&amp;IF('Stella'!$E$6:$E$300="",""," : "&amp;'Stella'!$E$6:$E$300)&amp;" ["&amp;'Stella'!$F$6:$F$300&amp;"]",""),IF('Igor'!$B$6:$B$300=$A582,"Igor"&amp;IF('Igor'!$E$6:$E$300="",""," : "&amp;'Igor'!$E$6:$E$300)&amp;" ["&amp;'Igor'!$F$6:$F$300&amp;"]","")))</f>
        <v/>
      </c>
    </row>
    <row r="583">
      <c r="G583" s="23">
        <f>IF($A583="","",_xlfn.TEXTJOIN("; ",TRUE,IF(COUNTIF('Clarice'!$B$6:$B$300,$A583)&gt;0,"Clarice",""),IF(COUNTIF('Luisa'!$B$6:$B$300,$A583)&gt;0,"Luisa",""),IF(COUNTIF('Lui'!$B$6:$B$300,$A583)&gt;0,"Lui",""),IF(COUNTIF('Thaís'!$B$6:$B$300,$A583)&gt;0,"Thaís",""),IF(COUNTIF('Daniel'!$B$6:$B$300,$A583)&gt;0,"Daniel",""),IF(COUNTIF('Fernando'!$B$6:$B$300,$A583)&gt;0,"Fernando",""),IF(COUNTIF('Stephanie'!$B$6:$B$300,$A583)&gt;0,"Stephanie",""),IF(COUNTIF('Fox'!$B$6:$B$300,$A583)&gt;0,"Fox",""),IF(COUNTIF('Bruna'!$B$6:$B$300,$A583)&gt;0,"Bruna",""),IF(COUNTIF('Stella'!$B$6:$B$300,$A583)&gt;0,"Stella",""),IF(COUNTIF('Igor'!$B$6:$B$300,$A583)&gt;0,"Igor","")))</f>
        <v/>
      </c>
      <c r="J583" s="24">
        <f>IF(OR($A583="",(COUNTIF('Clarice'!$B$6:$B$300,$A583)+COUNTIF('Luisa'!$B$6:$B$300,$A583)+COUNTIF('Lui'!$B$6:$B$300,$A583)+COUNTIF('Thaís'!$B$6:$B$300,$A583)+COUNTIF('Daniel'!$B$6:$B$300,$A583)+COUNTIF('Fernando'!$B$6:$B$300,$A583)+COUNTIF('Stephanie'!$B$6:$B$300,$A583)+COUNTIF('Fox'!$B$6:$B$300,$A583)+COUNTIF('Bruna'!$B$6:$B$300,$A583)+COUNTIF('Stella'!$B$6:$B$300,$A583)+COUNTIF('Igor'!$B$6:$B$300,$A583))=0),"",(COUNTIFS('Clarice'!$B$6:$B$300,$A583,'Clarice'!$F$6:$F$300,"Concluído")+COUNTIFS('Luisa'!$B$6:$B$300,$A583,'Luisa'!$F$6:$F$300,"Concluído")+COUNTIFS('Lui'!$B$6:$B$300,$A583,'Lui'!$F$6:$F$300,"Concluído")+COUNTIFS('Thaís'!$B$6:$B$300,$A583,'Thaís'!$F$6:$F$300,"Concluído")+COUNTIFS('Daniel'!$B$6:$B$300,$A583,'Daniel'!$F$6:$F$300,"Concluído")+COUNTIFS('Fernando'!$B$6:$B$300,$A583,'Fernando'!$F$6:$F$300,"Concluído")+COUNTIFS('Stephanie'!$B$6:$B$300,$A583,'Stephanie'!$F$6:$F$300,"Concluído")+COUNTIFS('Fox'!$B$6:$B$300,$A583,'Fox'!$F$6:$F$300,"Concluído")+COUNTIFS('Bruna'!$B$6:$B$300,$A583,'Bruna'!$F$6:$F$300,"Concluído")+COUNTIFS('Stella'!$B$6:$B$300,$A583,'Stella'!$F$6:$F$300,"Concluído")+COUNTIFS('Igor'!$B$6:$B$300,$A583,'Igor'!$F$6:$F$300,"Concluído"))&amp;" / "&amp;(COUNTIF('Clarice'!$B$6:$B$300,$A583)+COUNTIF('Luisa'!$B$6:$B$300,$A583)+COUNTIF('Lui'!$B$6:$B$300,$A583)+COUNTIF('Thaís'!$B$6:$B$300,$A583)+COUNTIF('Daniel'!$B$6:$B$300,$A583)+COUNTIF('Fernando'!$B$6:$B$300,$A583)+COUNTIF('Stephanie'!$B$6:$B$300,$A583)+COUNTIF('Fox'!$B$6:$B$300,$A583)+COUNTIF('Bruna'!$B$6:$B$300,$A583)+COUNTIF('Stella'!$B$6:$B$300,$A583)+COUNTIF('Igor'!$B$6:$B$300,$A583)))</f>
        <v/>
      </c>
      <c r="P583" s="25">
        <f>IF($A583="","",IF(M583&lt;&gt;"",M583,IF(K583&lt;&gt;"",K583,"")))</f>
        <v/>
      </c>
      <c r="Q583" s="25">
        <f>IF($A583="","",IF(N583&lt;&gt;"",N583,IF(L583&lt;&gt;"",L583,"")))</f>
        <v/>
      </c>
      <c r="S583" s="23">
        <f t="array" ref="S583">IF($A583="","",_xlfn.TEXTJOIN(CHAR(10),TRUE,IF('Clarice'!$B$6:$B$300=$A583,"Clarice"&amp;IF('Clarice'!$E$6:$E$300="",""," : "&amp;'Clarice'!$E$6:$E$300)&amp;" ["&amp;'Clarice'!$F$6:$F$300&amp;"]",""),IF('Luisa'!$B$6:$B$300=$A583,"Luisa"&amp;IF('Luisa'!$E$6:$E$300="",""," : "&amp;'Luisa'!$E$6:$E$300)&amp;" ["&amp;'Luisa'!$F$6:$F$300&amp;"]",""),IF('Lui'!$B$6:$B$300=$A583,"Lui"&amp;IF('Lui'!$E$6:$E$300="",""," : "&amp;'Lui'!$E$6:$E$300)&amp;" ["&amp;'Lui'!$F$6:$F$300&amp;"]",""),IF('Thaís'!$B$6:$B$300=$A583,"Thaís"&amp;IF('Thaís'!$E$6:$E$300="",""," : "&amp;'Thaís'!$E$6:$E$300)&amp;" ["&amp;'Thaís'!$F$6:$F$300&amp;"]",""),IF('Daniel'!$B$6:$B$300=$A583,"Daniel"&amp;IF('Daniel'!$E$6:$E$300="",""," : "&amp;'Daniel'!$E$6:$E$300)&amp;" ["&amp;'Daniel'!$F$6:$F$300&amp;"]",""),IF('Fernando'!$B$6:$B$300=$A583,"Fernando"&amp;IF('Fernando'!$E$6:$E$300="",""," : "&amp;'Fernando'!$E$6:$E$300)&amp;" ["&amp;'Fernando'!$F$6:$F$300&amp;"]",""),IF('Stephanie'!$B$6:$B$300=$A583,"Stephanie"&amp;IF('Stephanie'!$E$6:$E$300="",""," : "&amp;'Stephanie'!$E$6:$E$300)&amp;" ["&amp;'Stephanie'!$F$6:$F$300&amp;"]",""),IF('Fox'!$B$6:$B$300=$A583,"Fox"&amp;IF('Fox'!$E$6:$E$300="",""," : "&amp;'Fox'!$E$6:$E$300)&amp;" ["&amp;'Fox'!$F$6:$F$300&amp;"]",""),IF('Bruna'!$B$6:$B$300=$A583,"Bruna"&amp;IF('Bruna'!$E$6:$E$300="",""," : "&amp;'Bruna'!$E$6:$E$300)&amp;" ["&amp;'Bruna'!$F$6:$F$300&amp;"]",""),IF('Stella'!$B$6:$B$300=$A583,"Stella"&amp;IF('Stella'!$E$6:$E$300="",""," : "&amp;'Stella'!$E$6:$E$300)&amp;" ["&amp;'Stella'!$F$6:$F$300&amp;"]",""),IF('Igor'!$B$6:$B$300=$A583,"Igor"&amp;IF('Igor'!$E$6:$E$300="",""," : "&amp;'Igor'!$E$6:$E$300)&amp;" ["&amp;'Igor'!$F$6:$F$300&amp;"]","")))</f>
        <v/>
      </c>
    </row>
    <row r="584">
      <c r="G584" s="23">
        <f>IF($A584="","",_xlfn.TEXTJOIN("; ",TRUE,IF(COUNTIF('Clarice'!$B$6:$B$300,$A584)&gt;0,"Clarice",""),IF(COUNTIF('Luisa'!$B$6:$B$300,$A584)&gt;0,"Luisa",""),IF(COUNTIF('Lui'!$B$6:$B$300,$A584)&gt;0,"Lui",""),IF(COUNTIF('Thaís'!$B$6:$B$300,$A584)&gt;0,"Thaís",""),IF(COUNTIF('Daniel'!$B$6:$B$300,$A584)&gt;0,"Daniel",""),IF(COUNTIF('Fernando'!$B$6:$B$300,$A584)&gt;0,"Fernando",""),IF(COUNTIF('Stephanie'!$B$6:$B$300,$A584)&gt;0,"Stephanie",""),IF(COUNTIF('Fox'!$B$6:$B$300,$A584)&gt;0,"Fox",""),IF(COUNTIF('Bruna'!$B$6:$B$300,$A584)&gt;0,"Bruna",""),IF(COUNTIF('Stella'!$B$6:$B$300,$A584)&gt;0,"Stella",""),IF(COUNTIF('Igor'!$B$6:$B$300,$A584)&gt;0,"Igor","")))</f>
        <v/>
      </c>
      <c r="J584" s="24">
        <f>IF(OR($A584="",(COUNTIF('Clarice'!$B$6:$B$300,$A584)+COUNTIF('Luisa'!$B$6:$B$300,$A584)+COUNTIF('Lui'!$B$6:$B$300,$A584)+COUNTIF('Thaís'!$B$6:$B$300,$A584)+COUNTIF('Daniel'!$B$6:$B$300,$A584)+COUNTIF('Fernando'!$B$6:$B$300,$A584)+COUNTIF('Stephanie'!$B$6:$B$300,$A584)+COUNTIF('Fox'!$B$6:$B$300,$A584)+COUNTIF('Bruna'!$B$6:$B$300,$A584)+COUNTIF('Stella'!$B$6:$B$300,$A584)+COUNTIF('Igor'!$B$6:$B$300,$A584))=0),"",(COUNTIFS('Clarice'!$B$6:$B$300,$A584,'Clarice'!$F$6:$F$300,"Concluído")+COUNTIFS('Luisa'!$B$6:$B$300,$A584,'Luisa'!$F$6:$F$300,"Concluído")+COUNTIFS('Lui'!$B$6:$B$300,$A584,'Lui'!$F$6:$F$300,"Concluído")+COUNTIFS('Thaís'!$B$6:$B$300,$A584,'Thaís'!$F$6:$F$300,"Concluído")+COUNTIFS('Daniel'!$B$6:$B$300,$A584,'Daniel'!$F$6:$F$300,"Concluído")+COUNTIFS('Fernando'!$B$6:$B$300,$A584,'Fernando'!$F$6:$F$300,"Concluído")+COUNTIFS('Stephanie'!$B$6:$B$300,$A584,'Stephanie'!$F$6:$F$300,"Concluído")+COUNTIFS('Fox'!$B$6:$B$300,$A584,'Fox'!$F$6:$F$300,"Concluído")+COUNTIFS('Bruna'!$B$6:$B$300,$A584,'Bruna'!$F$6:$F$300,"Concluído")+COUNTIFS('Stella'!$B$6:$B$300,$A584,'Stella'!$F$6:$F$300,"Concluído")+COUNTIFS('Igor'!$B$6:$B$300,$A584,'Igor'!$F$6:$F$300,"Concluído"))&amp;" / "&amp;(COUNTIF('Clarice'!$B$6:$B$300,$A584)+COUNTIF('Luisa'!$B$6:$B$300,$A584)+COUNTIF('Lui'!$B$6:$B$300,$A584)+COUNTIF('Thaís'!$B$6:$B$300,$A584)+COUNTIF('Daniel'!$B$6:$B$300,$A584)+COUNTIF('Fernando'!$B$6:$B$300,$A584)+COUNTIF('Stephanie'!$B$6:$B$300,$A584)+COUNTIF('Fox'!$B$6:$B$300,$A584)+COUNTIF('Bruna'!$B$6:$B$300,$A584)+COUNTIF('Stella'!$B$6:$B$300,$A584)+COUNTIF('Igor'!$B$6:$B$300,$A584)))</f>
        <v/>
      </c>
      <c r="P584" s="25">
        <f>IF($A584="","",IF(M584&lt;&gt;"",M584,IF(K584&lt;&gt;"",K584,"")))</f>
        <v/>
      </c>
      <c r="Q584" s="25">
        <f>IF($A584="","",IF(N584&lt;&gt;"",N584,IF(L584&lt;&gt;"",L584,"")))</f>
        <v/>
      </c>
      <c r="S584" s="23">
        <f t="array" ref="S584">IF($A584="","",_xlfn.TEXTJOIN(CHAR(10),TRUE,IF('Clarice'!$B$6:$B$300=$A584,"Clarice"&amp;IF('Clarice'!$E$6:$E$300="",""," : "&amp;'Clarice'!$E$6:$E$300)&amp;" ["&amp;'Clarice'!$F$6:$F$300&amp;"]",""),IF('Luisa'!$B$6:$B$300=$A584,"Luisa"&amp;IF('Luisa'!$E$6:$E$300="",""," : "&amp;'Luisa'!$E$6:$E$300)&amp;" ["&amp;'Luisa'!$F$6:$F$300&amp;"]",""),IF('Lui'!$B$6:$B$300=$A584,"Lui"&amp;IF('Lui'!$E$6:$E$300="",""," : "&amp;'Lui'!$E$6:$E$300)&amp;" ["&amp;'Lui'!$F$6:$F$300&amp;"]",""),IF('Thaís'!$B$6:$B$300=$A584,"Thaís"&amp;IF('Thaís'!$E$6:$E$300="",""," : "&amp;'Thaís'!$E$6:$E$300)&amp;" ["&amp;'Thaís'!$F$6:$F$300&amp;"]",""),IF('Daniel'!$B$6:$B$300=$A584,"Daniel"&amp;IF('Daniel'!$E$6:$E$300="",""," : "&amp;'Daniel'!$E$6:$E$300)&amp;" ["&amp;'Daniel'!$F$6:$F$300&amp;"]",""),IF('Fernando'!$B$6:$B$300=$A584,"Fernando"&amp;IF('Fernando'!$E$6:$E$300="",""," : "&amp;'Fernando'!$E$6:$E$300)&amp;" ["&amp;'Fernando'!$F$6:$F$300&amp;"]",""),IF('Stephanie'!$B$6:$B$300=$A584,"Stephanie"&amp;IF('Stephanie'!$E$6:$E$300="",""," : "&amp;'Stephanie'!$E$6:$E$300)&amp;" ["&amp;'Stephanie'!$F$6:$F$300&amp;"]",""),IF('Fox'!$B$6:$B$300=$A584,"Fox"&amp;IF('Fox'!$E$6:$E$300="",""," : "&amp;'Fox'!$E$6:$E$300)&amp;" ["&amp;'Fox'!$F$6:$F$300&amp;"]",""),IF('Bruna'!$B$6:$B$300=$A584,"Bruna"&amp;IF('Bruna'!$E$6:$E$300="",""," : "&amp;'Bruna'!$E$6:$E$300)&amp;" ["&amp;'Bruna'!$F$6:$F$300&amp;"]",""),IF('Stella'!$B$6:$B$300=$A584,"Stella"&amp;IF('Stella'!$E$6:$E$300="",""," : "&amp;'Stella'!$E$6:$E$300)&amp;" ["&amp;'Stella'!$F$6:$F$300&amp;"]",""),IF('Igor'!$B$6:$B$300=$A584,"Igor"&amp;IF('Igor'!$E$6:$E$300="",""," : "&amp;'Igor'!$E$6:$E$300)&amp;" ["&amp;'Igor'!$F$6:$F$300&amp;"]","")))</f>
        <v/>
      </c>
    </row>
    <row r="585">
      <c r="G585" s="23">
        <f>IF($A585="","",_xlfn.TEXTJOIN("; ",TRUE,IF(COUNTIF('Clarice'!$B$6:$B$300,$A585)&gt;0,"Clarice",""),IF(COUNTIF('Luisa'!$B$6:$B$300,$A585)&gt;0,"Luisa",""),IF(COUNTIF('Lui'!$B$6:$B$300,$A585)&gt;0,"Lui",""),IF(COUNTIF('Thaís'!$B$6:$B$300,$A585)&gt;0,"Thaís",""),IF(COUNTIF('Daniel'!$B$6:$B$300,$A585)&gt;0,"Daniel",""),IF(COUNTIF('Fernando'!$B$6:$B$300,$A585)&gt;0,"Fernando",""),IF(COUNTIF('Stephanie'!$B$6:$B$300,$A585)&gt;0,"Stephanie",""),IF(COUNTIF('Fox'!$B$6:$B$300,$A585)&gt;0,"Fox",""),IF(COUNTIF('Bruna'!$B$6:$B$300,$A585)&gt;0,"Bruna",""),IF(COUNTIF('Stella'!$B$6:$B$300,$A585)&gt;0,"Stella",""),IF(COUNTIF('Igor'!$B$6:$B$300,$A585)&gt;0,"Igor","")))</f>
        <v/>
      </c>
      <c r="J585" s="24">
        <f>IF(OR($A585="",(COUNTIF('Clarice'!$B$6:$B$300,$A585)+COUNTIF('Luisa'!$B$6:$B$300,$A585)+COUNTIF('Lui'!$B$6:$B$300,$A585)+COUNTIF('Thaís'!$B$6:$B$300,$A585)+COUNTIF('Daniel'!$B$6:$B$300,$A585)+COUNTIF('Fernando'!$B$6:$B$300,$A585)+COUNTIF('Stephanie'!$B$6:$B$300,$A585)+COUNTIF('Fox'!$B$6:$B$300,$A585)+COUNTIF('Bruna'!$B$6:$B$300,$A585)+COUNTIF('Stella'!$B$6:$B$300,$A585)+COUNTIF('Igor'!$B$6:$B$300,$A585))=0),"",(COUNTIFS('Clarice'!$B$6:$B$300,$A585,'Clarice'!$F$6:$F$300,"Concluído")+COUNTIFS('Luisa'!$B$6:$B$300,$A585,'Luisa'!$F$6:$F$300,"Concluído")+COUNTIFS('Lui'!$B$6:$B$300,$A585,'Lui'!$F$6:$F$300,"Concluído")+COUNTIFS('Thaís'!$B$6:$B$300,$A585,'Thaís'!$F$6:$F$300,"Concluído")+COUNTIFS('Daniel'!$B$6:$B$300,$A585,'Daniel'!$F$6:$F$300,"Concluído")+COUNTIFS('Fernando'!$B$6:$B$300,$A585,'Fernando'!$F$6:$F$300,"Concluído")+COUNTIFS('Stephanie'!$B$6:$B$300,$A585,'Stephanie'!$F$6:$F$300,"Concluído")+COUNTIFS('Fox'!$B$6:$B$300,$A585,'Fox'!$F$6:$F$300,"Concluído")+COUNTIFS('Bruna'!$B$6:$B$300,$A585,'Bruna'!$F$6:$F$300,"Concluído")+COUNTIFS('Stella'!$B$6:$B$300,$A585,'Stella'!$F$6:$F$300,"Concluído")+COUNTIFS('Igor'!$B$6:$B$300,$A585,'Igor'!$F$6:$F$300,"Concluído"))&amp;" / "&amp;(COUNTIF('Clarice'!$B$6:$B$300,$A585)+COUNTIF('Luisa'!$B$6:$B$300,$A585)+COUNTIF('Lui'!$B$6:$B$300,$A585)+COUNTIF('Thaís'!$B$6:$B$300,$A585)+COUNTIF('Daniel'!$B$6:$B$300,$A585)+COUNTIF('Fernando'!$B$6:$B$300,$A585)+COUNTIF('Stephanie'!$B$6:$B$300,$A585)+COUNTIF('Fox'!$B$6:$B$300,$A585)+COUNTIF('Bruna'!$B$6:$B$300,$A585)+COUNTIF('Stella'!$B$6:$B$300,$A585)+COUNTIF('Igor'!$B$6:$B$300,$A585)))</f>
        <v/>
      </c>
      <c r="P585" s="25">
        <f>IF($A585="","",IF(M585&lt;&gt;"",M585,IF(K585&lt;&gt;"",K585,"")))</f>
        <v/>
      </c>
      <c r="Q585" s="25">
        <f>IF($A585="","",IF(N585&lt;&gt;"",N585,IF(L585&lt;&gt;"",L585,"")))</f>
        <v/>
      </c>
      <c r="S585" s="23">
        <f t="array" ref="S585">IF($A585="","",_xlfn.TEXTJOIN(CHAR(10),TRUE,IF('Clarice'!$B$6:$B$300=$A585,"Clarice"&amp;IF('Clarice'!$E$6:$E$300="",""," : "&amp;'Clarice'!$E$6:$E$300)&amp;" ["&amp;'Clarice'!$F$6:$F$300&amp;"]",""),IF('Luisa'!$B$6:$B$300=$A585,"Luisa"&amp;IF('Luisa'!$E$6:$E$300="",""," : "&amp;'Luisa'!$E$6:$E$300)&amp;" ["&amp;'Luisa'!$F$6:$F$300&amp;"]",""),IF('Lui'!$B$6:$B$300=$A585,"Lui"&amp;IF('Lui'!$E$6:$E$300="",""," : "&amp;'Lui'!$E$6:$E$300)&amp;" ["&amp;'Lui'!$F$6:$F$300&amp;"]",""),IF('Thaís'!$B$6:$B$300=$A585,"Thaís"&amp;IF('Thaís'!$E$6:$E$300="",""," : "&amp;'Thaís'!$E$6:$E$300)&amp;" ["&amp;'Thaís'!$F$6:$F$300&amp;"]",""),IF('Daniel'!$B$6:$B$300=$A585,"Daniel"&amp;IF('Daniel'!$E$6:$E$300="",""," : "&amp;'Daniel'!$E$6:$E$300)&amp;" ["&amp;'Daniel'!$F$6:$F$300&amp;"]",""),IF('Fernando'!$B$6:$B$300=$A585,"Fernando"&amp;IF('Fernando'!$E$6:$E$300="",""," : "&amp;'Fernando'!$E$6:$E$300)&amp;" ["&amp;'Fernando'!$F$6:$F$300&amp;"]",""),IF('Stephanie'!$B$6:$B$300=$A585,"Stephanie"&amp;IF('Stephanie'!$E$6:$E$300="",""," : "&amp;'Stephanie'!$E$6:$E$300)&amp;" ["&amp;'Stephanie'!$F$6:$F$300&amp;"]",""),IF('Fox'!$B$6:$B$300=$A585,"Fox"&amp;IF('Fox'!$E$6:$E$300="",""," : "&amp;'Fox'!$E$6:$E$300)&amp;" ["&amp;'Fox'!$F$6:$F$300&amp;"]",""),IF('Bruna'!$B$6:$B$300=$A585,"Bruna"&amp;IF('Bruna'!$E$6:$E$300="",""," : "&amp;'Bruna'!$E$6:$E$300)&amp;" ["&amp;'Bruna'!$F$6:$F$300&amp;"]",""),IF('Stella'!$B$6:$B$300=$A585,"Stella"&amp;IF('Stella'!$E$6:$E$300="",""," : "&amp;'Stella'!$E$6:$E$300)&amp;" ["&amp;'Stella'!$F$6:$F$300&amp;"]",""),IF('Igor'!$B$6:$B$300=$A585,"Igor"&amp;IF('Igor'!$E$6:$E$300="",""," : "&amp;'Igor'!$E$6:$E$300)&amp;" ["&amp;'Igor'!$F$6:$F$300&amp;"]","")))</f>
        <v/>
      </c>
    </row>
    <row r="586">
      <c r="G586" s="23">
        <f>IF($A586="","",_xlfn.TEXTJOIN("; ",TRUE,IF(COUNTIF('Clarice'!$B$6:$B$300,$A586)&gt;0,"Clarice",""),IF(COUNTIF('Luisa'!$B$6:$B$300,$A586)&gt;0,"Luisa",""),IF(COUNTIF('Lui'!$B$6:$B$300,$A586)&gt;0,"Lui",""),IF(COUNTIF('Thaís'!$B$6:$B$300,$A586)&gt;0,"Thaís",""),IF(COUNTIF('Daniel'!$B$6:$B$300,$A586)&gt;0,"Daniel",""),IF(COUNTIF('Fernando'!$B$6:$B$300,$A586)&gt;0,"Fernando",""),IF(COUNTIF('Stephanie'!$B$6:$B$300,$A586)&gt;0,"Stephanie",""),IF(COUNTIF('Fox'!$B$6:$B$300,$A586)&gt;0,"Fox",""),IF(COUNTIF('Bruna'!$B$6:$B$300,$A586)&gt;0,"Bruna",""),IF(COUNTIF('Stella'!$B$6:$B$300,$A586)&gt;0,"Stella",""),IF(COUNTIF('Igor'!$B$6:$B$300,$A586)&gt;0,"Igor","")))</f>
        <v/>
      </c>
      <c r="J586" s="24">
        <f>IF(OR($A586="",(COUNTIF('Clarice'!$B$6:$B$300,$A586)+COUNTIF('Luisa'!$B$6:$B$300,$A586)+COUNTIF('Lui'!$B$6:$B$300,$A586)+COUNTIF('Thaís'!$B$6:$B$300,$A586)+COUNTIF('Daniel'!$B$6:$B$300,$A586)+COUNTIF('Fernando'!$B$6:$B$300,$A586)+COUNTIF('Stephanie'!$B$6:$B$300,$A586)+COUNTIF('Fox'!$B$6:$B$300,$A586)+COUNTIF('Bruna'!$B$6:$B$300,$A586)+COUNTIF('Stella'!$B$6:$B$300,$A586)+COUNTIF('Igor'!$B$6:$B$300,$A586))=0),"",(COUNTIFS('Clarice'!$B$6:$B$300,$A586,'Clarice'!$F$6:$F$300,"Concluído")+COUNTIFS('Luisa'!$B$6:$B$300,$A586,'Luisa'!$F$6:$F$300,"Concluído")+COUNTIFS('Lui'!$B$6:$B$300,$A586,'Lui'!$F$6:$F$300,"Concluído")+COUNTIFS('Thaís'!$B$6:$B$300,$A586,'Thaís'!$F$6:$F$300,"Concluído")+COUNTIFS('Daniel'!$B$6:$B$300,$A586,'Daniel'!$F$6:$F$300,"Concluído")+COUNTIFS('Fernando'!$B$6:$B$300,$A586,'Fernando'!$F$6:$F$300,"Concluído")+COUNTIFS('Stephanie'!$B$6:$B$300,$A586,'Stephanie'!$F$6:$F$300,"Concluído")+COUNTIFS('Fox'!$B$6:$B$300,$A586,'Fox'!$F$6:$F$300,"Concluído")+COUNTIFS('Bruna'!$B$6:$B$300,$A586,'Bruna'!$F$6:$F$300,"Concluído")+COUNTIFS('Stella'!$B$6:$B$300,$A586,'Stella'!$F$6:$F$300,"Concluído")+COUNTIFS('Igor'!$B$6:$B$300,$A586,'Igor'!$F$6:$F$300,"Concluído"))&amp;" / "&amp;(COUNTIF('Clarice'!$B$6:$B$300,$A586)+COUNTIF('Luisa'!$B$6:$B$300,$A586)+COUNTIF('Lui'!$B$6:$B$300,$A586)+COUNTIF('Thaís'!$B$6:$B$300,$A586)+COUNTIF('Daniel'!$B$6:$B$300,$A586)+COUNTIF('Fernando'!$B$6:$B$300,$A586)+COUNTIF('Stephanie'!$B$6:$B$300,$A586)+COUNTIF('Fox'!$B$6:$B$300,$A586)+COUNTIF('Bruna'!$B$6:$B$300,$A586)+COUNTIF('Stella'!$B$6:$B$300,$A586)+COUNTIF('Igor'!$B$6:$B$300,$A586)))</f>
        <v/>
      </c>
      <c r="P586" s="25">
        <f>IF($A586="","",IF(M586&lt;&gt;"",M586,IF(K586&lt;&gt;"",K586,"")))</f>
        <v/>
      </c>
      <c r="Q586" s="25">
        <f>IF($A586="","",IF(N586&lt;&gt;"",N586,IF(L586&lt;&gt;"",L586,"")))</f>
        <v/>
      </c>
      <c r="S586" s="23">
        <f t="array" ref="S586">IF($A586="","",_xlfn.TEXTJOIN(CHAR(10),TRUE,IF('Clarice'!$B$6:$B$300=$A586,"Clarice"&amp;IF('Clarice'!$E$6:$E$300="",""," : "&amp;'Clarice'!$E$6:$E$300)&amp;" ["&amp;'Clarice'!$F$6:$F$300&amp;"]",""),IF('Luisa'!$B$6:$B$300=$A586,"Luisa"&amp;IF('Luisa'!$E$6:$E$300="",""," : "&amp;'Luisa'!$E$6:$E$300)&amp;" ["&amp;'Luisa'!$F$6:$F$300&amp;"]",""),IF('Lui'!$B$6:$B$300=$A586,"Lui"&amp;IF('Lui'!$E$6:$E$300="",""," : "&amp;'Lui'!$E$6:$E$300)&amp;" ["&amp;'Lui'!$F$6:$F$300&amp;"]",""),IF('Thaís'!$B$6:$B$300=$A586,"Thaís"&amp;IF('Thaís'!$E$6:$E$300="",""," : "&amp;'Thaís'!$E$6:$E$300)&amp;" ["&amp;'Thaís'!$F$6:$F$300&amp;"]",""),IF('Daniel'!$B$6:$B$300=$A586,"Daniel"&amp;IF('Daniel'!$E$6:$E$300="",""," : "&amp;'Daniel'!$E$6:$E$300)&amp;" ["&amp;'Daniel'!$F$6:$F$300&amp;"]",""),IF('Fernando'!$B$6:$B$300=$A586,"Fernando"&amp;IF('Fernando'!$E$6:$E$300="",""," : "&amp;'Fernando'!$E$6:$E$300)&amp;" ["&amp;'Fernando'!$F$6:$F$300&amp;"]",""),IF('Stephanie'!$B$6:$B$300=$A586,"Stephanie"&amp;IF('Stephanie'!$E$6:$E$300="",""," : "&amp;'Stephanie'!$E$6:$E$300)&amp;" ["&amp;'Stephanie'!$F$6:$F$300&amp;"]",""),IF('Fox'!$B$6:$B$300=$A586,"Fox"&amp;IF('Fox'!$E$6:$E$300="",""," : "&amp;'Fox'!$E$6:$E$300)&amp;" ["&amp;'Fox'!$F$6:$F$300&amp;"]",""),IF('Bruna'!$B$6:$B$300=$A586,"Bruna"&amp;IF('Bruna'!$E$6:$E$300="",""," : "&amp;'Bruna'!$E$6:$E$300)&amp;" ["&amp;'Bruna'!$F$6:$F$300&amp;"]",""),IF('Stella'!$B$6:$B$300=$A586,"Stella"&amp;IF('Stella'!$E$6:$E$300="",""," : "&amp;'Stella'!$E$6:$E$300)&amp;" ["&amp;'Stella'!$F$6:$F$300&amp;"]",""),IF('Igor'!$B$6:$B$300=$A586,"Igor"&amp;IF('Igor'!$E$6:$E$300="",""," : "&amp;'Igor'!$E$6:$E$300)&amp;" ["&amp;'Igor'!$F$6:$F$300&amp;"]","")))</f>
        <v/>
      </c>
    </row>
    <row r="587">
      <c r="G587" s="23">
        <f>IF($A587="","",_xlfn.TEXTJOIN("; ",TRUE,IF(COUNTIF('Clarice'!$B$6:$B$300,$A587)&gt;0,"Clarice",""),IF(COUNTIF('Luisa'!$B$6:$B$300,$A587)&gt;0,"Luisa",""),IF(COUNTIF('Lui'!$B$6:$B$300,$A587)&gt;0,"Lui",""),IF(COUNTIF('Thaís'!$B$6:$B$300,$A587)&gt;0,"Thaís",""),IF(COUNTIF('Daniel'!$B$6:$B$300,$A587)&gt;0,"Daniel",""),IF(COUNTIF('Fernando'!$B$6:$B$300,$A587)&gt;0,"Fernando",""),IF(COUNTIF('Stephanie'!$B$6:$B$300,$A587)&gt;0,"Stephanie",""),IF(COUNTIF('Fox'!$B$6:$B$300,$A587)&gt;0,"Fox",""),IF(COUNTIF('Bruna'!$B$6:$B$300,$A587)&gt;0,"Bruna",""),IF(COUNTIF('Stella'!$B$6:$B$300,$A587)&gt;0,"Stella",""),IF(COUNTIF('Igor'!$B$6:$B$300,$A587)&gt;0,"Igor","")))</f>
        <v/>
      </c>
      <c r="J587" s="24">
        <f>IF(OR($A587="",(COUNTIF('Clarice'!$B$6:$B$300,$A587)+COUNTIF('Luisa'!$B$6:$B$300,$A587)+COUNTIF('Lui'!$B$6:$B$300,$A587)+COUNTIF('Thaís'!$B$6:$B$300,$A587)+COUNTIF('Daniel'!$B$6:$B$300,$A587)+COUNTIF('Fernando'!$B$6:$B$300,$A587)+COUNTIF('Stephanie'!$B$6:$B$300,$A587)+COUNTIF('Fox'!$B$6:$B$300,$A587)+COUNTIF('Bruna'!$B$6:$B$300,$A587)+COUNTIF('Stella'!$B$6:$B$300,$A587)+COUNTIF('Igor'!$B$6:$B$300,$A587))=0),"",(COUNTIFS('Clarice'!$B$6:$B$300,$A587,'Clarice'!$F$6:$F$300,"Concluído")+COUNTIFS('Luisa'!$B$6:$B$300,$A587,'Luisa'!$F$6:$F$300,"Concluído")+COUNTIFS('Lui'!$B$6:$B$300,$A587,'Lui'!$F$6:$F$300,"Concluído")+COUNTIFS('Thaís'!$B$6:$B$300,$A587,'Thaís'!$F$6:$F$300,"Concluído")+COUNTIFS('Daniel'!$B$6:$B$300,$A587,'Daniel'!$F$6:$F$300,"Concluído")+COUNTIFS('Fernando'!$B$6:$B$300,$A587,'Fernando'!$F$6:$F$300,"Concluído")+COUNTIFS('Stephanie'!$B$6:$B$300,$A587,'Stephanie'!$F$6:$F$300,"Concluído")+COUNTIFS('Fox'!$B$6:$B$300,$A587,'Fox'!$F$6:$F$300,"Concluído")+COUNTIFS('Bruna'!$B$6:$B$300,$A587,'Bruna'!$F$6:$F$300,"Concluído")+COUNTIFS('Stella'!$B$6:$B$300,$A587,'Stella'!$F$6:$F$300,"Concluído")+COUNTIFS('Igor'!$B$6:$B$300,$A587,'Igor'!$F$6:$F$300,"Concluído"))&amp;" / "&amp;(COUNTIF('Clarice'!$B$6:$B$300,$A587)+COUNTIF('Luisa'!$B$6:$B$300,$A587)+COUNTIF('Lui'!$B$6:$B$300,$A587)+COUNTIF('Thaís'!$B$6:$B$300,$A587)+COUNTIF('Daniel'!$B$6:$B$300,$A587)+COUNTIF('Fernando'!$B$6:$B$300,$A587)+COUNTIF('Stephanie'!$B$6:$B$300,$A587)+COUNTIF('Fox'!$B$6:$B$300,$A587)+COUNTIF('Bruna'!$B$6:$B$300,$A587)+COUNTIF('Stella'!$B$6:$B$300,$A587)+COUNTIF('Igor'!$B$6:$B$300,$A587)))</f>
        <v/>
      </c>
      <c r="P587" s="25">
        <f>IF($A587="","",IF(M587&lt;&gt;"",M587,IF(K587&lt;&gt;"",K587,"")))</f>
        <v/>
      </c>
      <c r="Q587" s="25">
        <f>IF($A587="","",IF(N587&lt;&gt;"",N587,IF(L587&lt;&gt;"",L587,"")))</f>
        <v/>
      </c>
      <c r="S587" s="23">
        <f t="array" ref="S587">IF($A587="","",_xlfn.TEXTJOIN(CHAR(10),TRUE,IF('Clarice'!$B$6:$B$300=$A587,"Clarice"&amp;IF('Clarice'!$E$6:$E$300="",""," : "&amp;'Clarice'!$E$6:$E$300)&amp;" ["&amp;'Clarice'!$F$6:$F$300&amp;"]",""),IF('Luisa'!$B$6:$B$300=$A587,"Luisa"&amp;IF('Luisa'!$E$6:$E$300="",""," : "&amp;'Luisa'!$E$6:$E$300)&amp;" ["&amp;'Luisa'!$F$6:$F$300&amp;"]",""),IF('Lui'!$B$6:$B$300=$A587,"Lui"&amp;IF('Lui'!$E$6:$E$300="",""," : "&amp;'Lui'!$E$6:$E$300)&amp;" ["&amp;'Lui'!$F$6:$F$300&amp;"]",""),IF('Thaís'!$B$6:$B$300=$A587,"Thaís"&amp;IF('Thaís'!$E$6:$E$300="",""," : "&amp;'Thaís'!$E$6:$E$300)&amp;" ["&amp;'Thaís'!$F$6:$F$300&amp;"]",""),IF('Daniel'!$B$6:$B$300=$A587,"Daniel"&amp;IF('Daniel'!$E$6:$E$300="",""," : "&amp;'Daniel'!$E$6:$E$300)&amp;" ["&amp;'Daniel'!$F$6:$F$300&amp;"]",""),IF('Fernando'!$B$6:$B$300=$A587,"Fernando"&amp;IF('Fernando'!$E$6:$E$300="",""," : "&amp;'Fernando'!$E$6:$E$300)&amp;" ["&amp;'Fernando'!$F$6:$F$300&amp;"]",""),IF('Stephanie'!$B$6:$B$300=$A587,"Stephanie"&amp;IF('Stephanie'!$E$6:$E$300="",""," : "&amp;'Stephanie'!$E$6:$E$300)&amp;" ["&amp;'Stephanie'!$F$6:$F$300&amp;"]",""),IF('Fox'!$B$6:$B$300=$A587,"Fox"&amp;IF('Fox'!$E$6:$E$300="",""," : "&amp;'Fox'!$E$6:$E$300)&amp;" ["&amp;'Fox'!$F$6:$F$300&amp;"]",""),IF('Bruna'!$B$6:$B$300=$A587,"Bruna"&amp;IF('Bruna'!$E$6:$E$300="",""," : "&amp;'Bruna'!$E$6:$E$300)&amp;" ["&amp;'Bruna'!$F$6:$F$300&amp;"]",""),IF('Stella'!$B$6:$B$300=$A587,"Stella"&amp;IF('Stella'!$E$6:$E$300="",""," : "&amp;'Stella'!$E$6:$E$300)&amp;" ["&amp;'Stella'!$F$6:$F$300&amp;"]",""),IF('Igor'!$B$6:$B$300=$A587,"Igor"&amp;IF('Igor'!$E$6:$E$300="",""," : "&amp;'Igor'!$E$6:$E$300)&amp;" ["&amp;'Igor'!$F$6:$F$300&amp;"]","")))</f>
        <v/>
      </c>
    </row>
    <row r="588">
      <c r="G588" s="23">
        <f>IF($A588="","",_xlfn.TEXTJOIN("; ",TRUE,IF(COUNTIF('Clarice'!$B$6:$B$300,$A588)&gt;0,"Clarice",""),IF(COUNTIF('Luisa'!$B$6:$B$300,$A588)&gt;0,"Luisa",""),IF(COUNTIF('Lui'!$B$6:$B$300,$A588)&gt;0,"Lui",""),IF(COUNTIF('Thaís'!$B$6:$B$300,$A588)&gt;0,"Thaís",""),IF(COUNTIF('Daniel'!$B$6:$B$300,$A588)&gt;0,"Daniel",""),IF(COUNTIF('Fernando'!$B$6:$B$300,$A588)&gt;0,"Fernando",""),IF(COUNTIF('Stephanie'!$B$6:$B$300,$A588)&gt;0,"Stephanie",""),IF(COUNTIF('Fox'!$B$6:$B$300,$A588)&gt;0,"Fox",""),IF(COUNTIF('Bruna'!$B$6:$B$300,$A588)&gt;0,"Bruna",""),IF(COUNTIF('Stella'!$B$6:$B$300,$A588)&gt;0,"Stella",""),IF(COUNTIF('Igor'!$B$6:$B$300,$A588)&gt;0,"Igor","")))</f>
        <v/>
      </c>
      <c r="J588" s="24">
        <f>IF(OR($A588="",(COUNTIF('Clarice'!$B$6:$B$300,$A588)+COUNTIF('Luisa'!$B$6:$B$300,$A588)+COUNTIF('Lui'!$B$6:$B$300,$A588)+COUNTIF('Thaís'!$B$6:$B$300,$A588)+COUNTIF('Daniel'!$B$6:$B$300,$A588)+COUNTIF('Fernando'!$B$6:$B$300,$A588)+COUNTIF('Stephanie'!$B$6:$B$300,$A588)+COUNTIF('Fox'!$B$6:$B$300,$A588)+COUNTIF('Bruna'!$B$6:$B$300,$A588)+COUNTIF('Stella'!$B$6:$B$300,$A588)+COUNTIF('Igor'!$B$6:$B$300,$A588))=0),"",(COUNTIFS('Clarice'!$B$6:$B$300,$A588,'Clarice'!$F$6:$F$300,"Concluído")+COUNTIFS('Luisa'!$B$6:$B$300,$A588,'Luisa'!$F$6:$F$300,"Concluído")+COUNTIFS('Lui'!$B$6:$B$300,$A588,'Lui'!$F$6:$F$300,"Concluído")+COUNTIFS('Thaís'!$B$6:$B$300,$A588,'Thaís'!$F$6:$F$300,"Concluído")+COUNTIFS('Daniel'!$B$6:$B$300,$A588,'Daniel'!$F$6:$F$300,"Concluído")+COUNTIFS('Fernando'!$B$6:$B$300,$A588,'Fernando'!$F$6:$F$300,"Concluído")+COUNTIFS('Stephanie'!$B$6:$B$300,$A588,'Stephanie'!$F$6:$F$300,"Concluído")+COUNTIFS('Fox'!$B$6:$B$300,$A588,'Fox'!$F$6:$F$300,"Concluído")+COUNTIFS('Bruna'!$B$6:$B$300,$A588,'Bruna'!$F$6:$F$300,"Concluído")+COUNTIFS('Stella'!$B$6:$B$300,$A588,'Stella'!$F$6:$F$300,"Concluído")+COUNTIFS('Igor'!$B$6:$B$300,$A588,'Igor'!$F$6:$F$300,"Concluído"))&amp;" / "&amp;(COUNTIF('Clarice'!$B$6:$B$300,$A588)+COUNTIF('Luisa'!$B$6:$B$300,$A588)+COUNTIF('Lui'!$B$6:$B$300,$A588)+COUNTIF('Thaís'!$B$6:$B$300,$A588)+COUNTIF('Daniel'!$B$6:$B$300,$A588)+COUNTIF('Fernando'!$B$6:$B$300,$A588)+COUNTIF('Stephanie'!$B$6:$B$300,$A588)+COUNTIF('Fox'!$B$6:$B$300,$A588)+COUNTIF('Bruna'!$B$6:$B$300,$A588)+COUNTIF('Stella'!$B$6:$B$300,$A588)+COUNTIF('Igor'!$B$6:$B$300,$A588)))</f>
        <v/>
      </c>
      <c r="P588" s="25">
        <f>IF($A588="","",IF(M588&lt;&gt;"",M588,IF(K588&lt;&gt;"",K588,"")))</f>
        <v/>
      </c>
      <c r="Q588" s="25">
        <f>IF($A588="","",IF(N588&lt;&gt;"",N588,IF(L588&lt;&gt;"",L588,"")))</f>
        <v/>
      </c>
      <c r="S588" s="23">
        <f t="array" ref="S588">IF($A588="","",_xlfn.TEXTJOIN(CHAR(10),TRUE,IF('Clarice'!$B$6:$B$300=$A588,"Clarice"&amp;IF('Clarice'!$E$6:$E$300="",""," : "&amp;'Clarice'!$E$6:$E$300)&amp;" ["&amp;'Clarice'!$F$6:$F$300&amp;"]",""),IF('Luisa'!$B$6:$B$300=$A588,"Luisa"&amp;IF('Luisa'!$E$6:$E$300="",""," : "&amp;'Luisa'!$E$6:$E$300)&amp;" ["&amp;'Luisa'!$F$6:$F$300&amp;"]",""),IF('Lui'!$B$6:$B$300=$A588,"Lui"&amp;IF('Lui'!$E$6:$E$300="",""," : "&amp;'Lui'!$E$6:$E$300)&amp;" ["&amp;'Lui'!$F$6:$F$300&amp;"]",""),IF('Thaís'!$B$6:$B$300=$A588,"Thaís"&amp;IF('Thaís'!$E$6:$E$300="",""," : "&amp;'Thaís'!$E$6:$E$300)&amp;" ["&amp;'Thaís'!$F$6:$F$300&amp;"]",""),IF('Daniel'!$B$6:$B$300=$A588,"Daniel"&amp;IF('Daniel'!$E$6:$E$300="",""," : "&amp;'Daniel'!$E$6:$E$300)&amp;" ["&amp;'Daniel'!$F$6:$F$300&amp;"]",""),IF('Fernando'!$B$6:$B$300=$A588,"Fernando"&amp;IF('Fernando'!$E$6:$E$300="",""," : "&amp;'Fernando'!$E$6:$E$300)&amp;" ["&amp;'Fernando'!$F$6:$F$300&amp;"]",""),IF('Stephanie'!$B$6:$B$300=$A588,"Stephanie"&amp;IF('Stephanie'!$E$6:$E$300="",""," : "&amp;'Stephanie'!$E$6:$E$300)&amp;" ["&amp;'Stephanie'!$F$6:$F$300&amp;"]",""),IF('Fox'!$B$6:$B$300=$A588,"Fox"&amp;IF('Fox'!$E$6:$E$300="",""," : "&amp;'Fox'!$E$6:$E$300)&amp;" ["&amp;'Fox'!$F$6:$F$300&amp;"]",""),IF('Bruna'!$B$6:$B$300=$A588,"Bruna"&amp;IF('Bruna'!$E$6:$E$300="",""," : "&amp;'Bruna'!$E$6:$E$300)&amp;" ["&amp;'Bruna'!$F$6:$F$300&amp;"]",""),IF('Stella'!$B$6:$B$300=$A588,"Stella"&amp;IF('Stella'!$E$6:$E$300="",""," : "&amp;'Stella'!$E$6:$E$300)&amp;" ["&amp;'Stella'!$F$6:$F$300&amp;"]",""),IF('Igor'!$B$6:$B$300=$A588,"Igor"&amp;IF('Igor'!$E$6:$E$300="",""," : "&amp;'Igor'!$E$6:$E$300)&amp;" ["&amp;'Igor'!$F$6:$F$300&amp;"]","")))</f>
        <v/>
      </c>
    </row>
    <row r="589">
      <c r="G589" s="23">
        <f>IF($A589="","",_xlfn.TEXTJOIN("; ",TRUE,IF(COUNTIF('Clarice'!$B$6:$B$300,$A589)&gt;0,"Clarice",""),IF(COUNTIF('Luisa'!$B$6:$B$300,$A589)&gt;0,"Luisa",""),IF(COUNTIF('Lui'!$B$6:$B$300,$A589)&gt;0,"Lui",""),IF(COUNTIF('Thaís'!$B$6:$B$300,$A589)&gt;0,"Thaís",""),IF(COUNTIF('Daniel'!$B$6:$B$300,$A589)&gt;0,"Daniel",""),IF(COUNTIF('Fernando'!$B$6:$B$300,$A589)&gt;0,"Fernando",""),IF(COUNTIF('Stephanie'!$B$6:$B$300,$A589)&gt;0,"Stephanie",""),IF(COUNTIF('Fox'!$B$6:$B$300,$A589)&gt;0,"Fox",""),IF(COUNTIF('Bruna'!$B$6:$B$300,$A589)&gt;0,"Bruna",""),IF(COUNTIF('Stella'!$B$6:$B$300,$A589)&gt;0,"Stella",""),IF(COUNTIF('Igor'!$B$6:$B$300,$A589)&gt;0,"Igor","")))</f>
        <v/>
      </c>
      <c r="J589" s="24">
        <f>IF(OR($A589="",(COUNTIF('Clarice'!$B$6:$B$300,$A589)+COUNTIF('Luisa'!$B$6:$B$300,$A589)+COUNTIF('Lui'!$B$6:$B$300,$A589)+COUNTIF('Thaís'!$B$6:$B$300,$A589)+COUNTIF('Daniel'!$B$6:$B$300,$A589)+COUNTIF('Fernando'!$B$6:$B$300,$A589)+COUNTIF('Stephanie'!$B$6:$B$300,$A589)+COUNTIF('Fox'!$B$6:$B$300,$A589)+COUNTIF('Bruna'!$B$6:$B$300,$A589)+COUNTIF('Stella'!$B$6:$B$300,$A589)+COUNTIF('Igor'!$B$6:$B$300,$A589))=0),"",(COUNTIFS('Clarice'!$B$6:$B$300,$A589,'Clarice'!$F$6:$F$300,"Concluído")+COUNTIFS('Luisa'!$B$6:$B$300,$A589,'Luisa'!$F$6:$F$300,"Concluído")+COUNTIFS('Lui'!$B$6:$B$300,$A589,'Lui'!$F$6:$F$300,"Concluído")+COUNTIFS('Thaís'!$B$6:$B$300,$A589,'Thaís'!$F$6:$F$300,"Concluído")+COUNTIFS('Daniel'!$B$6:$B$300,$A589,'Daniel'!$F$6:$F$300,"Concluído")+COUNTIFS('Fernando'!$B$6:$B$300,$A589,'Fernando'!$F$6:$F$300,"Concluído")+COUNTIFS('Stephanie'!$B$6:$B$300,$A589,'Stephanie'!$F$6:$F$300,"Concluído")+COUNTIFS('Fox'!$B$6:$B$300,$A589,'Fox'!$F$6:$F$300,"Concluído")+COUNTIFS('Bruna'!$B$6:$B$300,$A589,'Bruna'!$F$6:$F$300,"Concluído")+COUNTIFS('Stella'!$B$6:$B$300,$A589,'Stella'!$F$6:$F$300,"Concluído")+COUNTIFS('Igor'!$B$6:$B$300,$A589,'Igor'!$F$6:$F$300,"Concluído"))&amp;" / "&amp;(COUNTIF('Clarice'!$B$6:$B$300,$A589)+COUNTIF('Luisa'!$B$6:$B$300,$A589)+COUNTIF('Lui'!$B$6:$B$300,$A589)+COUNTIF('Thaís'!$B$6:$B$300,$A589)+COUNTIF('Daniel'!$B$6:$B$300,$A589)+COUNTIF('Fernando'!$B$6:$B$300,$A589)+COUNTIF('Stephanie'!$B$6:$B$300,$A589)+COUNTIF('Fox'!$B$6:$B$300,$A589)+COUNTIF('Bruna'!$B$6:$B$300,$A589)+COUNTIF('Stella'!$B$6:$B$300,$A589)+COUNTIF('Igor'!$B$6:$B$300,$A589)))</f>
        <v/>
      </c>
      <c r="P589" s="25">
        <f>IF($A589="","",IF(M589&lt;&gt;"",M589,IF(K589&lt;&gt;"",K589,"")))</f>
        <v/>
      </c>
      <c r="Q589" s="25">
        <f>IF($A589="","",IF(N589&lt;&gt;"",N589,IF(L589&lt;&gt;"",L589,"")))</f>
        <v/>
      </c>
      <c r="S589" s="23">
        <f t="array" ref="S589">IF($A589="","",_xlfn.TEXTJOIN(CHAR(10),TRUE,IF('Clarice'!$B$6:$B$300=$A589,"Clarice"&amp;IF('Clarice'!$E$6:$E$300="",""," : "&amp;'Clarice'!$E$6:$E$300)&amp;" ["&amp;'Clarice'!$F$6:$F$300&amp;"]",""),IF('Luisa'!$B$6:$B$300=$A589,"Luisa"&amp;IF('Luisa'!$E$6:$E$300="",""," : "&amp;'Luisa'!$E$6:$E$300)&amp;" ["&amp;'Luisa'!$F$6:$F$300&amp;"]",""),IF('Lui'!$B$6:$B$300=$A589,"Lui"&amp;IF('Lui'!$E$6:$E$300="",""," : "&amp;'Lui'!$E$6:$E$300)&amp;" ["&amp;'Lui'!$F$6:$F$300&amp;"]",""),IF('Thaís'!$B$6:$B$300=$A589,"Thaís"&amp;IF('Thaís'!$E$6:$E$300="",""," : "&amp;'Thaís'!$E$6:$E$300)&amp;" ["&amp;'Thaís'!$F$6:$F$300&amp;"]",""),IF('Daniel'!$B$6:$B$300=$A589,"Daniel"&amp;IF('Daniel'!$E$6:$E$300="",""," : "&amp;'Daniel'!$E$6:$E$300)&amp;" ["&amp;'Daniel'!$F$6:$F$300&amp;"]",""),IF('Fernando'!$B$6:$B$300=$A589,"Fernando"&amp;IF('Fernando'!$E$6:$E$300="",""," : "&amp;'Fernando'!$E$6:$E$300)&amp;" ["&amp;'Fernando'!$F$6:$F$300&amp;"]",""),IF('Stephanie'!$B$6:$B$300=$A589,"Stephanie"&amp;IF('Stephanie'!$E$6:$E$300="",""," : "&amp;'Stephanie'!$E$6:$E$300)&amp;" ["&amp;'Stephanie'!$F$6:$F$300&amp;"]",""),IF('Fox'!$B$6:$B$300=$A589,"Fox"&amp;IF('Fox'!$E$6:$E$300="",""," : "&amp;'Fox'!$E$6:$E$300)&amp;" ["&amp;'Fox'!$F$6:$F$300&amp;"]",""),IF('Bruna'!$B$6:$B$300=$A589,"Bruna"&amp;IF('Bruna'!$E$6:$E$300="",""," : "&amp;'Bruna'!$E$6:$E$300)&amp;" ["&amp;'Bruna'!$F$6:$F$300&amp;"]",""),IF('Stella'!$B$6:$B$300=$A589,"Stella"&amp;IF('Stella'!$E$6:$E$300="",""," : "&amp;'Stella'!$E$6:$E$300)&amp;" ["&amp;'Stella'!$F$6:$F$300&amp;"]",""),IF('Igor'!$B$6:$B$300=$A589,"Igor"&amp;IF('Igor'!$E$6:$E$300="",""," : "&amp;'Igor'!$E$6:$E$300)&amp;" ["&amp;'Igor'!$F$6:$F$300&amp;"]","")))</f>
        <v/>
      </c>
    </row>
    <row r="590">
      <c r="G590" s="23">
        <f>IF($A590="","",_xlfn.TEXTJOIN("; ",TRUE,IF(COUNTIF('Clarice'!$B$6:$B$300,$A590)&gt;0,"Clarice",""),IF(COUNTIF('Luisa'!$B$6:$B$300,$A590)&gt;0,"Luisa",""),IF(COUNTIF('Lui'!$B$6:$B$300,$A590)&gt;0,"Lui",""),IF(COUNTIF('Thaís'!$B$6:$B$300,$A590)&gt;0,"Thaís",""),IF(COUNTIF('Daniel'!$B$6:$B$300,$A590)&gt;0,"Daniel",""),IF(COUNTIF('Fernando'!$B$6:$B$300,$A590)&gt;0,"Fernando",""),IF(COUNTIF('Stephanie'!$B$6:$B$300,$A590)&gt;0,"Stephanie",""),IF(COUNTIF('Fox'!$B$6:$B$300,$A590)&gt;0,"Fox",""),IF(COUNTIF('Bruna'!$B$6:$B$300,$A590)&gt;0,"Bruna",""),IF(COUNTIF('Stella'!$B$6:$B$300,$A590)&gt;0,"Stella",""),IF(COUNTIF('Igor'!$B$6:$B$300,$A590)&gt;0,"Igor","")))</f>
        <v/>
      </c>
      <c r="J590" s="24">
        <f>IF(OR($A590="",(COUNTIF('Clarice'!$B$6:$B$300,$A590)+COUNTIF('Luisa'!$B$6:$B$300,$A590)+COUNTIF('Lui'!$B$6:$B$300,$A590)+COUNTIF('Thaís'!$B$6:$B$300,$A590)+COUNTIF('Daniel'!$B$6:$B$300,$A590)+COUNTIF('Fernando'!$B$6:$B$300,$A590)+COUNTIF('Stephanie'!$B$6:$B$300,$A590)+COUNTIF('Fox'!$B$6:$B$300,$A590)+COUNTIF('Bruna'!$B$6:$B$300,$A590)+COUNTIF('Stella'!$B$6:$B$300,$A590)+COUNTIF('Igor'!$B$6:$B$300,$A590))=0),"",(COUNTIFS('Clarice'!$B$6:$B$300,$A590,'Clarice'!$F$6:$F$300,"Concluído")+COUNTIFS('Luisa'!$B$6:$B$300,$A590,'Luisa'!$F$6:$F$300,"Concluído")+COUNTIFS('Lui'!$B$6:$B$300,$A590,'Lui'!$F$6:$F$300,"Concluído")+COUNTIFS('Thaís'!$B$6:$B$300,$A590,'Thaís'!$F$6:$F$300,"Concluído")+COUNTIFS('Daniel'!$B$6:$B$300,$A590,'Daniel'!$F$6:$F$300,"Concluído")+COUNTIFS('Fernando'!$B$6:$B$300,$A590,'Fernando'!$F$6:$F$300,"Concluído")+COUNTIFS('Stephanie'!$B$6:$B$300,$A590,'Stephanie'!$F$6:$F$300,"Concluído")+COUNTIFS('Fox'!$B$6:$B$300,$A590,'Fox'!$F$6:$F$300,"Concluído")+COUNTIFS('Bruna'!$B$6:$B$300,$A590,'Bruna'!$F$6:$F$300,"Concluído")+COUNTIFS('Stella'!$B$6:$B$300,$A590,'Stella'!$F$6:$F$300,"Concluído")+COUNTIFS('Igor'!$B$6:$B$300,$A590,'Igor'!$F$6:$F$300,"Concluído"))&amp;" / "&amp;(COUNTIF('Clarice'!$B$6:$B$300,$A590)+COUNTIF('Luisa'!$B$6:$B$300,$A590)+COUNTIF('Lui'!$B$6:$B$300,$A590)+COUNTIF('Thaís'!$B$6:$B$300,$A590)+COUNTIF('Daniel'!$B$6:$B$300,$A590)+COUNTIF('Fernando'!$B$6:$B$300,$A590)+COUNTIF('Stephanie'!$B$6:$B$300,$A590)+COUNTIF('Fox'!$B$6:$B$300,$A590)+COUNTIF('Bruna'!$B$6:$B$300,$A590)+COUNTIF('Stella'!$B$6:$B$300,$A590)+COUNTIF('Igor'!$B$6:$B$300,$A590)))</f>
        <v/>
      </c>
      <c r="P590" s="25">
        <f>IF($A590="","",IF(M590&lt;&gt;"",M590,IF(K590&lt;&gt;"",K590,"")))</f>
        <v/>
      </c>
      <c r="Q590" s="25">
        <f>IF($A590="","",IF(N590&lt;&gt;"",N590,IF(L590&lt;&gt;"",L590,"")))</f>
        <v/>
      </c>
      <c r="S590" s="23">
        <f t="array" ref="S590">IF($A590="","",_xlfn.TEXTJOIN(CHAR(10),TRUE,IF('Clarice'!$B$6:$B$300=$A590,"Clarice"&amp;IF('Clarice'!$E$6:$E$300="",""," : "&amp;'Clarice'!$E$6:$E$300)&amp;" ["&amp;'Clarice'!$F$6:$F$300&amp;"]",""),IF('Luisa'!$B$6:$B$300=$A590,"Luisa"&amp;IF('Luisa'!$E$6:$E$300="",""," : "&amp;'Luisa'!$E$6:$E$300)&amp;" ["&amp;'Luisa'!$F$6:$F$300&amp;"]",""),IF('Lui'!$B$6:$B$300=$A590,"Lui"&amp;IF('Lui'!$E$6:$E$300="",""," : "&amp;'Lui'!$E$6:$E$300)&amp;" ["&amp;'Lui'!$F$6:$F$300&amp;"]",""),IF('Thaís'!$B$6:$B$300=$A590,"Thaís"&amp;IF('Thaís'!$E$6:$E$300="",""," : "&amp;'Thaís'!$E$6:$E$300)&amp;" ["&amp;'Thaís'!$F$6:$F$300&amp;"]",""),IF('Daniel'!$B$6:$B$300=$A590,"Daniel"&amp;IF('Daniel'!$E$6:$E$300="",""," : "&amp;'Daniel'!$E$6:$E$300)&amp;" ["&amp;'Daniel'!$F$6:$F$300&amp;"]",""),IF('Fernando'!$B$6:$B$300=$A590,"Fernando"&amp;IF('Fernando'!$E$6:$E$300="",""," : "&amp;'Fernando'!$E$6:$E$300)&amp;" ["&amp;'Fernando'!$F$6:$F$300&amp;"]",""),IF('Stephanie'!$B$6:$B$300=$A590,"Stephanie"&amp;IF('Stephanie'!$E$6:$E$300="",""," : "&amp;'Stephanie'!$E$6:$E$300)&amp;" ["&amp;'Stephanie'!$F$6:$F$300&amp;"]",""),IF('Fox'!$B$6:$B$300=$A590,"Fox"&amp;IF('Fox'!$E$6:$E$300="",""," : "&amp;'Fox'!$E$6:$E$300)&amp;" ["&amp;'Fox'!$F$6:$F$300&amp;"]",""),IF('Bruna'!$B$6:$B$300=$A590,"Bruna"&amp;IF('Bruna'!$E$6:$E$300="",""," : "&amp;'Bruna'!$E$6:$E$300)&amp;" ["&amp;'Bruna'!$F$6:$F$300&amp;"]",""),IF('Stella'!$B$6:$B$300=$A590,"Stella"&amp;IF('Stella'!$E$6:$E$300="",""," : "&amp;'Stella'!$E$6:$E$300)&amp;" ["&amp;'Stella'!$F$6:$F$300&amp;"]",""),IF('Igor'!$B$6:$B$300=$A590,"Igor"&amp;IF('Igor'!$E$6:$E$300="",""," : "&amp;'Igor'!$E$6:$E$300)&amp;" ["&amp;'Igor'!$F$6:$F$300&amp;"]","")))</f>
        <v/>
      </c>
    </row>
    <row r="591">
      <c r="G591" s="23">
        <f>IF($A591="","",_xlfn.TEXTJOIN("; ",TRUE,IF(COUNTIF('Clarice'!$B$6:$B$300,$A591)&gt;0,"Clarice",""),IF(COUNTIF('Luisa'!$B$6:$B$300,$A591)&gt;0,"Luisa",""),IF(COUNTIF('Lui'!$B$6:$B$300,$A591)&gt;0,"Lui",""),IF(COUNTIF('Thaís'!$B$6:$B$300,$A591)&gt;0,"Thaís",""),IF(COUNTIF('Daniel'!$B$6:$B$300,$A591)&gt;0,"Daniel",""),IF(COUNTIF('Fernando'!$B$6:$B$300,$A591)&gt;0,"Fernando",""),IF(COUNTIF('Stephanie'!$B$6:$B$300,$A591)&gt;0,"Stephanie",""),IF(COUNTIF('Fox'!$B$6:$B$300,$A591)&gt;0,"Fox",""),IF(COUNTIF('Bruna'!$B$6:$B$300,$A591)&gt;0,"Bruna",""),IF(COUNTIF('Stella'!$B$6:$B$300,$A591)&gt;0,"Stella",""),IF(COUNTIF('Igor'!$B$6:$B$300,$A591)&gt;0,"Igor","")))</f>
        <v/>
      </c>
      <c r="J591" s="24">
        <f>IF(OR($A591="",(COUNTIF('Clarice'!$B$6:$B$300,$A591)+COUNTIF('Luisa'!$B$6:$B$300,$A591)+COUNTIF('Lui'!$B$6:$B$300,$A591)+COUNTIF('Thaís'!$B$6:$B$300,$A591)+COUNTIF('Daniel'!$B$6:$B$300,$A591)+COUNTIF('Fernando'!$B$6:$B$300,$A591)+COUNTIF('Stephanie'!$B$6:$B$300,$A591)+COUNTIF('Fox'!$B$6:$B$300,$A591)+COUNTIF('Bruna'!$B$6:$B$300,$A591)+COUNTIF('Stella'!$B$6:$B$300,$A591)+COUNTIF('Igor'!$B$6:$B$300,$A591))=0),"",(COUNTIFS('Clarice'!$B$6:$B$300,$A591,'Clarice'!$F$6:$F$300,"Concluído")+COUNTIFS('Luisa'!$B$6:$B$300,$A591,'Luisa'!$F$6:$F$300,"Concluído")+COUNTIFS('Lui'!$B$6:$B$300,$A591,'Lui'!$F$6:$F$300,"Concluído")+COUNTIFS('Thaís'!$B$6:$B$300,$A591,'Thaís'!$F$6:$F$300,"Concluído")+COUNTIFS('Daniel'!$B$6:$B$300,$A591,'Daniel'!$F$6:$F$300,"Concluído")+COUNTIFS('Fernando'!$B$6:$B$300,$A591,'Fernando'!$F$6:$F$300,"Concluído")+COUNTIFS('Stephanie'!$B$6:$B$300,$A591,'Stephanie'!$F$6:$F$300,"Concluído")+COUNTIFS('Fox'!$B$6:$B$300,$A591,'Fox'!$F$6:$F$300,"Concluído")+COUNTIFS('Bruna'!$B$6:$B$300,$A591,'Bruna'!$F$6:$F$300,"Concluído")+COUNTIFS('Stella'!$B$6:$B$300,$A591,'Stella'!$F$6:$F$300,"Concluído")+COUNTIFS('Igor'!$B$6:$B$300,$A591,'Igor'!$F$6:$F$300,"Concluído"))&amp;" / "&amp;(COUNTIF('Clarice'!$B$6:$B$300,$A591)+COUNTIF('Luisa'!$B$6:$B$300,$A591)+COUNTIF('Lui'!$B$6:$B$300,$A591)+COUNTIF('Thaís'!$B$6:$B$300,$A591)+COUNTIF('Daniel'!$B$6:$B$300,$A591)+COUNTIF('Fernando'!$B$6:$B$300,$A591)+COUNTIF('Stephanie'!$B$6:$B$300,$A591)+COUNTIF('Fox'!$B$6:$B$300,$A591)+COUNTIF('Bruna'!$B$6:$B$300,$A591)+COUNTIF('Stella'!$B$6:$B$300,$A591)+COUNTIF('Igor'!$B$6:$B$300,$A591)))</f>
        <v/>
      </c>
      <c r="P591" s="25">
        <f>IF($A591="","",IF(M591&lt;&gt;"",M591,IF(K591&lt;&gt;"",K591,"")))</f>
        <v/>
      </c>
      <c r="Q591" s="25">
        <f>IF($A591="","",IF(N591&lt;&gt;"",N591,IF(L591&lt;&gt;"",L591,"")))</f>
        <v/>
      </c>
      <c r="S591" s="23">
        <f t="array" ref="S591">IF($A591="","",_xlfn.TEXTJOIN(CHAR(10),TRUE,IF('Clarice'!$B$6:$B$300=$A591,"Clarice"&amp;IF('Clarice'!$E$6:$E$300="",""," : "&amp;'Clarice'!$E$6:$E$300)&amp;" ["&amp;'Clarice'!$F$6:$F$300&amp;"]",""),IF('Luisa'!$B$6:$B$300=$A591,"Luisa"&amp;IF('Luisa'!$E$6:$E$300="",""," : "&amp;'Luisa'!$E$6:$E$300)&amp;" ["&amp;'Luisa'!$F$6:$F$300&amp;"]",""),IF('Lui'!$B$6:$B$300=$A591,"Lui"&amp;IF('Lui'!$E$6:$E$300="",""," : "&amp;'Lui'!$E$6:$E$300)&amp;" ["&amp;'Lui'!$F$6:$F$300&amp;"]",""),IF('Thaís'!$B$6:$B$300=$A591,"Thaís"&amp;IF('Thaís'!$E$6:$E$300="",""," : "&amp;'Thaís'!$E$6:$E$300)&amp;" ["&amp;'Thaís'!$F$6:$F$300&amp;"]",""),IF('Daniel'!$B$6:$B$300=$A591,"Daniel"&amp;IF('Daniel'!$E$6:$E$300="",""," : "&amp;'Daniel'!$E$6:$E$300)&amp;" ["&amp;'Daniel'!$F$6:$F$300&amp;"]",""),IF('Fernando'!$B$6:$B$300=$A591,"Fernando"&amp;IF('Fernando'!$E$6:$E$300="",""," : "&amp;'Fernando'!$E$6:$E$300)&amp;" ["&amp;'Fernando'!$F$6:$F$300&amp;"]",""),IF('Stephanie'!$B$6:$B$300=$A591,"Stephanie"&amp;IF('Stephanie'!$E$6:$E$300="",""," : "&amp;'Stephanie'!$E$6:$E$300)&amp;" ["&amp;'Stephanie'!$F$6:$F$300&amp;"]",""),IF('Fox'!$B$6:$B$300=$A591,"Fox"&amp;IF('Fox'!$E$6:$E$300="",""," : "&amp;'Fox'!$E$6:$E$300)&amp;" ["&amp;'Fox'!$F$6:$F$300&amp;"]",""),IF('Bruna'!$B$6:$B$300=$A591,"Bruna"&amp;IF('Bruna'!$E$6:$E$300="",""," : "&amp;'Bruna'!$E$6:$E$300)&amp;" ["&amp;'Bruna'!$F$6:$F$300&amp;"]",""),IF('Stella'!$B$6:$B$300=$A591,"Stella"&amp;IF('Stella'!$E$6:$E$300="",""," : "&amp;'Stella'!$E$6:$E$300)&amp;" ["&amp;'Stella'!$F$6:$F$300&amp;"]",""),IF('Igor'!$B$6:$B$300=$A591,"Igor"&amp;IF('Igor'!$E$6:$E$300="",""," : "&amp;'Igor'!$E$6:$E$300)&amp;" ["&amp;'Igor'!$F$6:$F$300&amp;"]","")))</f>
        <v/>
      </c>
    </row>
    <row r="592">
      <c r="G592" s="23">
        <f>IF($A592="","",_xlfn.TEXTJOIN("; ",TRUE,IF(COUNTIF('Clarice'!$B$6:$B$300,$A592)&gt;0,"Clarice",""),IF(COUNTIF('Luisa'!$B$6:$B$300,$A592)&gt;0,"Luisa",""),IF(COUNTIF('Lui'!$B$6:$B$300,$A592)&gt;0,"Lui",""),IF(COUNTIF('Thaís'!$B$6:$B$300,$A592)&gt;0,"Thaís",""),IF(COUNTIF('Daniel'!$B$6:$B$300,$A592)&gt;0,"Daniel",""),IF(COUNTIF('Fernando'!$B$6:$B$300,$A592)&gt;0,"Fernando",""),IF(COUNTIF('Stephanie'!$B$6:$B$300,$A592)&gt;0,"Stephanie",""),IF(COUNTIF('Fox'!$B$6:$B$300,$A592)&gt;0,"Fox",""),IF(COUNTIF('Bruna'!$B$6:$B$300,$A592)&gt;0,"Bruna",""),IF(COUNTIF('Stella'!$B$6:$B$300,$A592)&gt;0,"Stella",""),IF(COUNTIF('Igor'!$B$6:$B$300,$A592)&gt;0,"Igor","")))</f>
        <v/>
      </c>
      <c r="J592" s="24">
        <f>IF(OR($A592="",(COUNTIF('Clarice'!$B$6:$B$300,$A592)+COUNTIF('Luisa'!$B$6:$B$300,$A592)+COUNTIF('Lui'!$B$6:$B$300,$A592)+COUNTIF('Thaís'!$B$6:$B$300,$A592)+COUNTIF('Daniel'!$B$6:$B$300,$A592)+COUNTIF('Fernando'!$B$6:$B$300,$A592)+COUNTIF('Stephanie'!$B$6:$B$300,$A592)+COUNTIF('Fox'!$B$6:$B$300,$A592)+COUNTIF('Bruna'!$B$6:$B$300,$A592)+COUNTIF('Stella'!$B$6:$B$300,$A592)+COUNTIF('Igor'!$B$6:$B$300,$A592))=0),"",(COUNTIFS('Clarice'!$B$6:$B$300,$A592,'Clarice'!$F$6:$F$300,"Concluído")+COUNTIFS('Luisa'!$B$6:$B$300,$A592,'Luisa'!$F$6:$F$300,"Concluído")+COUNTIFS('Lui'!$B$6:$B$300,$A592,'Lui'!$F$6:$F$300,"Concluído")+COUNTIFS('Thaís'!$B$6:$B$300,$A592,'Thaís'!$F$6:$F$300,"Concluído")+COUNTIFS('Daniel'!$B$6:$B$300,$A592,'Daniel'!$F$6:$F$300,"Concluído")+COUNTIFS('Fernando'!$B$6:$B$300,$A592,'Fernando'!$F$6:$F$300,"Concluído")+COUNTIFS('Stephanie'!$B$6:$B$300,$A592,'Stephanie'!$F$6:$F$300,"Concluído")+COUNTIFS('Fox'!$B$6:$B$300,$A592,'Fox'!$F$6:$F$300,"Concluído")+COUNTIFS('Bruna'!$B$6:$B$300,$A592,'Bruna'!$F$6:$F$300,"Concluído")+COUNTIFS('Stella'!$B$6:$B$300,$A592,'Stella'!$F$6:$F$300,"Concluído")+COUNTIFS('Igor'!$B$6:$B$300,$A592,'Igor'!$F$6:$F$300,"Concluído"))&amp;" / "&amp;(COUNTIF('Clarice'!$B$6:$B$300,$A592)+COUNTIF('Luisa'!$B$6:$B$300,$A592)+COUNTIF('Lui'!$B$6:$B$300,$A592)+COUNTIF('Thaís'!$B$6:$B$300,$A592)+COUNTIF('Daniel'!$B$6:$B$300,$A592)+COUNTIF('Fernando'!$B$6:$B$300,$A592)+COUNTIF('Stephanie'!$B$6:$B$300,$A592)+COUNTIF('Fox'!$B$6:$B$300,$A592)+COUNTIF('Bruna'!$B$6:$B$300,$A592)+COUNTIF('Stella'!$B$6:$B$300,$A592)+COUNTIF('Igor'!$B$6:$B$300,$A592)))</f>
        <v/>
      </c>
      <c r="P592" s="25">
        <f>IF($A592="","",IF(M592&lt;&gt;"",M592,IF(K592&lt;&gt;"",K592,"")))</f>
        <v/>
      </c>
      <c r="Q592" s="25">
        <f>IF($A592="","",IF(N592&lt;&gt;"",N592,IF(L592&lt;&gt;"",L592,"")))</f>
        <v/>
      </c>
      <c r="S592" s="23">
        <f t="array" ref="S592">IF($A592="","",_xlfn.TEXTJOIN(CHAR(10),TRUE,IF('Clarice'!$B$6:$B$300=$A592,"Clarice"&amp;IF('Clarice'!$E$6:$E$300="",""," : "&amp;'Clarice'!$E$6:$E$300)&amp;" ["&amp;'Clarice'!$F$6:$F$300&amp;"]",""),IF('Luisa'!$B$6:$B$300=$A592,"Luisa"&amp;IF('Luisa'!$E$6:$E$300="",""," : "&amp;'Luisa'!$E$6:$E$300)&amp;" ["&amp;'Luisa'!$F$6:$F$300&amp;"]",""),IF('Lui'!$B$6:$B$300=$A592,"Lui"&amp;IF('Lui'!$E$6:$E$300="",""," : "&amp;'Lui'!$E$6:$E$300)&amp;" ["&amp;'Lui'!$F$6:$F$300&amp;"]",""),IF('Thaís'!$B$6:$B$300=$A592,"Thaís"&amp;IF('Thaís'!$E$6:$E$300="",""," : "&amp;'Thaís'!$E$6:$E$300)&amp;" ["&amp;'Thaís'!$F$6:$F$300&amp;"]",""),IF('Daniel'!$B$6:$B$300=$A592,"Daniel"&amp;IF('Daniel'!$E$6:$E$300="",""," : "&amp;'Daniel'!$E$6:$E$300)&amp;" ["&amp;'Daniel'!$F$6:$F$300&amp;"]",""),IF('Fernando'!$B$6:$B$300=$A592,"Fernando"&amp;IF('Fernando'!$E$6:$E$300="",""," : "&amp;'Fernando'!$E$6:$E$300)&amp;" ["&amp;'Fernando'!$F$6:$F$300&amp;"]",""),IF('Stephanie'!$B$6:$B$300=$A592,"Stephanie"&amp;IF('Stephanie'!$E$6:$E$300="",""," : "&amp;'Stephanie'!$E$6:$E$300)&amp;" ["&amp;'Stephanie'!$F$6:$F$300&amp;"]",""),IF('Fox'!$B$6:$B$300=$A592,"Fox"&amp;IF('Fox'!$E$6:$E$300="",""," : "&amp;'Fox'!$E$6:$E$300)&amp;" ["&amp;'Fox'!$F$6:$F$300&amp;"]",""),IF('Bruna'!$B$6:$B$300=$A592,"Bruna"&amp;IF('Bruna'!$E$6:$E$300="",""," : "&amp;'Bruna'!$E$6:$E$300)&amp;" ["&amp;'Bruna'!$F$6:$F$300&amp;"]",""),IF('Stella'!$B$6:$B$300=$A592,"Stella"&amp;IF('Stella'!$E$6:$E$300="",""," : "&amp;'Stella'!$E$6:$E$300)&amp;" ["&amp;'Stella'!$F$6:$F$300&amp;"]",""),IF('Igor'!$B$6:$B$300=$A592,"Igor"&amp;IF('Igor'!$E$6:$E$300="",""," : "&amp;'Igor'!$E$6:$E$300)&amp;" ["&amp;'Igor'!$F$6:$F$300&amp;"]","")))</f>
        <v/>
      </c>
    </row>
    <row r="593">
      <c r="G593" s="23">
        <f>IF($A593="","",_xlfn.TEXTJOIN("; ",TRUE,IF(COUNTIF('Clarice'!$B$6:$B$300,$A593)&gt;0,"Clarice",""),IF(COUNTIF('Luisa'!$B$6:$B$300,$A593)&gt;0,"Luisa",""),IF(COUNTIF('Lui'!$B$6:$B$300,$A593)&gt;0,"Lui",""),IF(COUNTIF('Thaís'!$B$6:$B$300,$A593)&gt;0,"Thaís",""),IF(COUNTIF('Daniel'!$B$6:$B$300,$A593)&gt;0,"Daniel",""),IF(COUNTIF('Fernando'!$B$6:$B$300,$A593)&gt;0,"Fernando",""),IF(COUNTIF('Stephanie'!$B$6:$B$300,$A593)&gt;0,"Stephanie",""),IF(COUNTIF('Fox'!$B$6:$B$300,$A593)&gt;0,"Fox",""),IF(COUNTIF('Bruna'!$B$6:$B$300,$A593)&gt;0,"Bruna",""),IF(COUNTIF('Stella'!$B$6:$B$300,$A593)&gt;0,"Stella",""),IF(COUNTIF('Igor'!$B$6:$B$300,$A593)&gt;0,"Igor","")))</f>
        <v/>
      </c>
      <c r="J593" s="24">
        <f>IF(OR($A593="",(COUNTIF('Clarice'!$B$6:$B$300,$A593)+COUNTIF('Luisa'!$B$6:$B$300,$A593)+COUNTIF('Lui'!$B$6:$B$300,$A593)+COUNTIF('Thaís'!$B$6:$B$300,$A593)+COUNTIF('Daniel'!$B$6:$B$300,$A593)+COUNTIF('Fernando'!$B$6:$B$300,$A593)+COUNTIF('Stephanie'!$B$6:$B$300,$A593)+COUNTIF('Fox'!$B$6:$B$300,$A593)+COUNTIF('Bruna'!$B$6:$B$300,$A593)+COUNTIF('Stella'!$B$6:$B$300,$A593)+COUNTIF('Igor'!$B$6:$B$300,$A593))=0),"",(COUNTIFS('Clarice'!$B$6:$B$300,$A593,'Clarice'!$F$6:$F$300,"Concluído")+COUNTIFS('Luisa'!$B$6:$B$300,$A593,'Luisa'!$F$6:$F$300,"Concluído")+COUNTIFS('Lui'!$B$6:$B$300,$A593,'Lui'!$F$6:$F$300,"Concluído")+COUNTIFS('Thaís'!$B$6:$B$300,$A593,'Thaís'!$F$6:$F$300,"Concluído")+COUNTIFS('Daniel'!$B$6:$B$300,$A593,'Daniel'!$F$6:$F$300,"Concluído")+COUNTIFS('Fernando'!$B$6:$B$300,$A593,'Fernando'!$F$6:$F$300,"Concluído")+COUNTIFS('Stephanie'!$B$6:$B$300,$A593,'Stephanie'!$F$6:$F$300,"Concluído")+COUNTIFS('Fox'!$B$6:$B$300,$A593,'Fox'!$F$6:$F$300,"Concluído")+COUNTIFS('Bruna'!$B$6:$B$300,$A593,'Bruna'!$F$6:$F$300,"Concluído")+COUNTIFS('Stella'!$B$6:$B$300,$A593,'Stella'!$F$6:$F$300,"Concluído")+COUNTIFS('Igor'!$B$6:$B$300,$A593,'Igor'!$F$6:$F$300,"Concluído"))&amp;" / "&amp;(COUNTIF('Clarice'!$B$6:$B$300,$A593)+COUNTIF('Luisa'!$B$6:$B$300,$A593)+COUNTIF('Lui'!$B$6:$B$300,$A593)+COUNTIF('Thaís'!$B$6:$B$300,$A593)+COUNTIF('Daniel'!$B$6:$B$300,$A593)+COUNTIF('Fernando'!$B$6:$B$300,$A593)+COUNTIF('Stephanie'!$B$6:$B$300,$A593)+COUNTIF('Fox'!$B$6:$B$300,$A593)+COUNTIF('Bruna'!$B$6:$B$300,$A593)+COUNTIF('Stella'!$B$6:$B$300,$A593)+COUNTIF('Igor'!$B$6:$B$300,$A593)))</f>
        <v/>
      </c>
      <c r="P593" s="25">
        <f>IF($A593="","",IF(M593&lt;&gt;"",M593,IF(K593&lt;&gt;"",K593,"")))</f>
        <v/>
      </c>
      <c r="Q593" s="25">
        <f>IF($A593="","",IF(N593&lt;&gt;"",N593,IF(L593&lt;&gt;"",L593,"")))</f>
        <v/>
      </c>
      <c r="S593" s="23">
        <f t="array" ref="S593">IF($A593="","",_xlfn.TEXTJOIN(CHAR(10),TRUE,IF('Clarice'!$B$6:$B$300=$A593,"Clarice"&amp;IF('Clarice'!$E$6:$E$300="",""," : "&amp;'Clarice'!$E$6:$E$300)&amp;" ["&amp;'Clarice'!$F$6:$F$300&amp;"]",""),IF('Luisa'!$B$6:$B$300=$A593,"Luisa"&amp;IF('Luisa'!$E$6:$E$300="",""," : "&amp;'Luisa'!$E$6:$E$300)&amp;" ["&amp;'Luisa'!$F$6:$F$300&amp;"]",""),IF('Lui'!$B$6:$B$300=$A593,"Lui"&amp;IF('Lui'!$E$6:$E$300="",""," : "&amp;'Lui'!$E$6:$E$300)&amp;" ["&amp;'Lui'!$F$6:$F$300&amp;"]",""),IF('Thaís'!$B$6:$B$300=$A593,"Thaís"&amp;IF('Thaís'!$E$6:$E$300="",""," : "&amp;'Thaís'!$E$6:$E$300)&amp;" ["&amp;'Thaís'!$F$6:$F$300&amp;"]",""),IF('Daniel'!$B$6:$B$300=$A593,"Daniel"&amp;IF('Daniel'!$E$6:$E$300="",""," : "&amp;'Daniel'!$E$6:$E$300)&amp;" ["&amp;'Daniel'!$F$6:$F$300&amp;"]",""),IF('Fernando'!$B$6:$B$300=$A593,"Fernando"&amp;IF('Fernando'!$E$6:$E$300="",""," : "&amp;'Fernando'!$E$6:$E$300)&amp;" ["&amp;'Fernando'!$F$6:$F$300&amp;"]",""),IF('Stephanie'!$B$6:$B$300=$A593,"Stephanie"&amp;IF('Stephanie'!$E$6:$E$300="",""," : "&amp;'Stephanie'!$E$6:$E$300)&amp;" ["&amp;'Stephanie'!$F$6:$F$300&amp;"]",""),IF('Fox'!$B$6:$B$300=$A593,"Fox"&amp;IF('Fox'!$E$6:$E$300="",""," : "&amp;'Fox'!$E$6:$E$300)&amp;" ["&amp;'Fox'!$F$6:$F$300&amp;"]",""),IF('Bruna'!$B$6:$B$300=$A593,"Bruna"&amp;IF('Bruna'!$E$6:$E$300="",""," : "&amp;'Bruna'!$E$6:$E$300)&amp;" ["&amp;'Bruna'!$F$6:$F$300&amp;"]",""),IF('Stella'!$B$6:$B$300=$A593,"Stella"&amp;IF('Stella'!$E$6:$E$300="",""," : "&amp;'Stella'!$E$6:$E$300)&amp;" ["&amp;'Stella'!$F$6:$F$300&amp;"]",""),IF('Igor'!$B$6:$B$300=$A593,"Igor"&amp;IF('Igor'!$E$6:$E$300="",""," : "&amp;'Igor'!$E$6:$E$300)&amp;" ["&amp;'Igor'!$F$6:$F$300&amp;"]","")))</f>
        <v/>
      </c>
    </row>
    <row r="594">
      <c r="G594" s="23">
        <f>IF($A594="","",_xlfn.TEXTJOIN("; ",TRUE,IF(COUNTIF('Clarice'!$B$6:$B$300,$A594)&gt;0,"Clarice",""),IF(COUNTIF('Luisa'!$B$6:$B$300,$A594)&gt;0,"Luisa",""),IF(COUNTIF('Lui'!$B$6:$B$300,$A594)&gt;0,"Lui",""),IF(COUNTIF('Thaís'!$B$6:$B$300,$A594)&gt;0,"Thaís",""),IF(COUNTIF('Daniel'!$B$6:$B$300,$A594)&gt;0,"Daniel",""),IF(COUNTIF('Fernando'!$B$6:$B$300,$A594)&gt;0,"Fernando",""),IF(COUNTIF('Stephanie'!$B$6:$B$300,$A594)&gt;0,"Stephanie",""),IF(COUNTIF('Fox'!$B$6:$B$300,$A594)&gt;0,"Fox",""),IF(COUNTIF('Bruna'!$B$6:$B$300,$A594)&gt;0,"Bruna",""),IF(COUNTIF('Stella'!$B$6:$B$300,$A594)&gt;0,"Stella",""),IF(COUNTIF('Igor'!$B$6:$B$300,$A594)&gt;0,"Igor","")))</f>
        <v/>
      </c>
      <c r="J594" s="24">
        <f>IF(OR($A594="",(COUNTIF('Clarice'!$B$6:$B$300,$A594)+COUNTIF('Luisa'!$B$6:$B$300,$A594)+COUNTIF('Lui'!$B$6:$B$300,$A594)+COUNTIF('Thaís'!$B$6:$B$300,$A594)+COUNTIF('Daniel'!$B$6:$B$300,$A594)+COUNTIF('Fernando'!$B$6:$B$300,$A594)+COUNTIF('Stephanie'!$B$6:$B$300,$A594)+COUNTIF('Fox'!$B$6:$B$300,$A594)+COUNTIF('Bruna'!$B$6:$B$300,$A594)+COUNTIF('Stella'!$B$6:$B$300,$A594)+COUNTIF('Igor'!$B$6:$B$300,$A594))=0),"",(COUNTIFS('Clarice'!$B$6:$B$300,$A594,'Clarice'!$F$6:$F$300,"Concluído")+COUNTIFS('Luisa'!$B$6:$B$300,$A594,'Luisa'!$F$6:$F$300,"Concluído")+COUNTIFS('Lui'!$B$6:$B$300,$A594,'Lui'!$F$6:$F$300,"Concluído")+COUNTIFS('Thaís'!$B$6:$B$300,$A594,'Thaís'!$F$6:$F$300,"Concluído")+COUNTIFS('Daniel'!$B$6:$B$300,$A594,'Daniel'!$F$6:$F$300,"Concluído")+COUNTIFS('Fernando'!$B$6:$B$300,$A594,'Fernando'!$F$6:$F$300,"Concluído")+COUNTIFS('Stephanie'!$B$6:$B$300,$A594,'Stephanie'!$F$6:$F$300,"Concluído")+COUNTIFS('Fox'!$B$6:$B$300,$A594,'Fox'!$F$6:$F$300,"Concluído")+COUNTIFS('Bruna'!$B$6:$B$300,$A594,'Bruna'!$F$6:$F$300,"Concluído")+COUNTIFS('Stella'!$B$6:$B$300,$A594,'Stella'!$F$6:$F$300,"Concluído")+COUNTIFS('Igor'!$B$6:$B$300,$A594,'Igor'!$F$6:$F$300,"Concluído"))&amp;" / "&amp;(COUNTIF('Clarice'!$B$6:$B$300,$A594)+COUNTIF('Luisa'!$B$6:$B$300,$A594)+COUNTIF('Lui'!$B$6:$B$300,$A594)+COUNTIF('Thaís'!$B$6:$B$300,$A594)+COUNTIF('Daniel'!$B$6:$B$300,$A594)+COUNTIF('Fernando'!$B$6:$B$300,$A594)+COUNTIF('Stephanie'!$B$6:$B$300,$A594)+COUNTIF('Fox'!$B$6:$B$300,$A594)+COUNTIF('Bruna'!$B$6:$B$300,$A594)+COUNTIF('Stella'!$B$6:$B$300,$A594)+COUNTIF('Igor'!$B$6:$B$300,$A594)))</f>
        <v/>
      </c>
      <c r="P594" s="25">
        <f>IF($A594="","",IF(M594&lt;&gt;"",M594,IF(K594&lt;&gt;"",K594,"")))</f>
        <v/>
      </c>
      <c r="Q594" s="25">
        <f>IF($A594="","",IF(N594&lt;&gt;"",N594,IF(L594&lt;&gt;"",L594,"")))</f>
        <v/>
      </c>
      <c r="S594" s="23">
        <f t="array" ref="S594">IF($A594="","",_xlfn.TEXTJOIN(CHAR(10),TRUE,IF('Clarice'!$B$6:$B$300=$A594,"Clarice"&amp;IF('Clarice'!$E$6:$E$300="",""," : "&amp;'Clarice'!$E$6:$E$300)&amp;" ["&amp;'Clarice'!$F$6:$F$300&amp;"]",""),IF('Luisa'!$B$6:$B$300=$A594,"Luisa"&amp;IF('Luisa'!$E$6:$E$300="",""," : "&amp;'Luisa'!$E$6:$E$300)&amp;" ["&amp;'Luisa'!$F$6:$F$300&amp;"]",""),IF('Lui'!$B$6:$B$300=$A594,"Lui"&amp;IF('Lui'!$E$6:$E$300="",""," : "&amp;'Lui'!$E$6:$E$300)&amp;" ["&amp;'Lui'!$F$6:$F$300&amp;"]",""),IF('Thaís'!$B$6:$B$300=$A594,"Thaís"&amp;IF('Thaís'!$E$6:$E$300="",""," : "&amp;'Thaís'!$E$6:$E$300)&amp;" ["&amp;'Thaís'!$F$6:$F$300&amp;"]",""),IF('Daniel'!$B$6:$B$300=$A594,"Daniel"&amp;IF('Daniel'!$E$6:$E$300="",""," : "&amp;'Daniel'!$E$6:$E$300)&amp;" ["&amp;'Daniel'!$F$6:$F$300&amp;"]",""),IF('Fernando'!$B$6:$B$300=$A594,"Fernando"&amp;IF('Fernando'!$E$6:$E$300="",""," : "&amp;'Fernando'!$E$6:$E$300)&amp;" ["&amp;'Fernando'!$F$6:$F$300&amp;"]",""),IF('Stephanie'!$B$6:$B$300=$A594,"Stephanie"&amp;IF('Stephanie'!$E$6:$E$300="",""," : "&amp;'Stephanie'!$E$6:$E$300)&amp;" ["&amp;'Stephanie'!$F$6:$F$300&amp;"]",""),IF('Fox'!$B$6:$B$300=$A594,"Fox"&amp;IF('Fox'!$E$6:$E$300="",""," : "&amp;'Fox'!$E$6:$E$300)&amp;" ["&amp;'Fox'!$F$6:$F$300&amp;"]",""),IF('Bruna'!$B$6:$B$300=$A594,"Bruna"&amp;IF('Bruna'!$E$6:$E$300="",""," : "&amp;'Bruna'!$E$6:$E$300)&amp;" ["&amp;'Bruna'!$F$6:$F$300&amp;"]",""),IF('Stella'!$B$6:$B$300=$A594,"Stella"&amp;IF('Stella'!$E$6:$E$300="",""," : "&amp;'Stella'!$E$6:$E$300)&amp;" ["&amp;'Stella'!$F$6:$F$300&amp;"]",""),IF('Igor'!$B$6:$B$300=$A594,"Igor"&amp;IF('Igor'!$E$6:$E$300="",""," : "&amp;'Igor'!$E$6:$E$300)&amp;" ["&amp;'Igor'!$F$6:$F$300&amp;"]","")))</f>
        <v/>
      </c>
    </row>
    <row r="595">
      <c r="G595" s="23">
        <f>IF($A595="","",_xlfn.TEXTJOIN("; ",TRUE,IF(COUNTIF('Clarice'!$B$6:$B$300,$A595)&gt;0,"Clarice",""),IF(COUNTIF('Luisa'!$B$6:$B$300,$A595)&gt;0,"Luisa",""),IF(COUNTIF('Lui'!$B$6:$B$300,$A595)&gt;0,"Lui",""),IF(COUNTIF('Thaís'!$B$6:$B$300,$A595)&gt;0,"Thaís",""),IF(COUNTIF('Daniel'!$B$6:$B$300,$A595)&gt;0,"Daniel",""),IF(COUNTIF('Fernando'!$B$6:$B$300,$A595)&gt;0,"Fernando",""),IF(COUNTIF('Stephanie'!$B$6:$B$300,$A595)&gt;0,"Stephanie",""),IF(COUNTIF('Fox'!$B$6:$B$300,$A595)&gt;0,"Fox",""),IF(COUNTIF('Bruna'!$B$6:$B$300,$A595)&gt;0,"Bruna",""),IF(COUNTIF('Stella'!$B$6:$B$300,$A595)&gt;0,"Stella",""),IF(COUNTIF('Igor'!$B$6:$B$300,$A595)&gt;0,"Igor","")))</f>
        <v/>
      </c>
      <c r="J595" s="24">
        <f>IF(OR($A595="",(COUNTIF('Clarice'!$B$6:$B$300,$A595)+COUNTIF('Luisa'!$B$6:$B$300,$A595)+COUNTIF('Lui'!$B$6:$B$300,$A595)+COUNTIF('Thaís'!$B$6:$B$300,$A595)+COUNTIF('Daniel'!$B$6:$B$300,$A595)+COUNTIF('Fernando'!$B$6:$B$300,$A595)+COUNTIF('Stephanie'!$B$6:$B$300,$A595)+COUNTIF('Fox'!$B$6:$B$300,$A595)+COUNTIF('Bruna'!$B$6:$B$300,$A595)+COUNTIF('Stella'!$B$6:$B$300,$A595)+COUNTIF('Igor'!$B$6:$B$300,$A595))=0),"",(COUNTIFS('Clarice'!$B$6:$B$300,$A595,'Clarice'!$F$6:$F$300,"Concluído")+COUNTIFS('Luisa'!$B$6:$B$300,$A595,'Luisa'!$F$6:$F$300,"Concluído")+COUNTIFS('Lui'!$B$6:$B$300,$A595,'Lui'!$F$6:$F$300,"Concluído")+COUNTIFS('Thaís'!$B$6:$B$300,$A595,'Thaís'!$F$6:$F$300,"Concluído")+COUNTIFS('Daniel'!$B$6:$B$300,$A595,'Daniel'!$F$6:$F$300,"Concluído")+COUNTIFS('Fernando'!$B$6:$B$300,$A595,'Fernando'!$F$6:$F$300,"Concluído")+COUNTIFS('Stephanie'!$B$6:$B$300,$A595,'Stephanie'!$F$6:$F$300,"Concluído")+COUNTIFS('Fox'!$B$6:$B$300,$A595,'Fox'!$F$6:$F$300,"Concluído")+COUNTIFS('Bruna'!$B$6:$B$300,$A595,'Bruna'!$F$6:$F$300,"Concluído")+COUNTIFS('Stella'!$B$6:$B$300,$A595,'Stella'!$F$6:$F$300,"Concluído")+COUNTIFS('Igor'!$B$6:$B$300,$A595,'Igor'!$F$6:$F$300,"Concluído"))&amp;" / "&amp;(COUNTIF('Clarice'!$B$6:$B$300,$A595)+COUNTIF('Luisa'!$B$6:$B$300,$A595)+COUNTIF('Lui'!$B$6:$B$300,$A595)+COUNTIF('Thaís'!$B$6:$B$300,$A595)+COUNTIF('Daniel'!$B$6:$B$300,$A595)+COUNTIF('Fernando'!$B$6:$B$300,$A595)+COUNTIF('Stephanie'!$B$6:$B$300,$A595)+COUNTIF('Fox'!$B$6:$B$300,$A595)+COUNTIF('Bruna'!$B$6:$B$300,$A595)+COUNTIF('Stella'!$B$6:$B$300,$A595)+COUNTIF('Igor'!$B$6:$B$300,$A595)))</f>
        <v/>
      </c>
      <c r="P595" s="25">
        <f>IF($A595="","",IF(M595&lt;&gt;"",M595,IF(K595&lt;&gt;"",K595,"")))</f>
        <v/>
      </c>
      <c r="Q595" s="25">
        <f>IF($A595="","",IF(N595&lt;&gt;"",N595,IF(L595&lt;&gt;"",L595,"")))</f>
        <v/>
      </c>
      <c r="S595" s="23">
        <f t="array" ref="S595">IF($A595="","",_xlfn.TEXTJOIN(CHAR(10),TRUE,IF('Clarice'!$B$6:$B$300=$A595,"Clarice"&amp;IF('Clarice'!$E$6:$E$300="",""," : "&amp;'Clarice'!$E$6:$E$300)&amp;" ["&amp;'Clarice'!$F$6:$F$300&amp;"]",""),IF('Luisa'!$B$6:$B$300=$A595,"Luisa"&amp;IF('Luisa'!$E$6:$E$300="",""," : "&amp;'Luisa'!$E$6:$E$300)&amp;" ["&amp;'Luisa'!$F$6:$F$300&amp;"]",""),IF('Lui'!$B$6:$B$300=$A595,"Lui"&amp;IF('Lui'!$E$6:$E$300="",""," : "&amp;'Lui'!$E$6:$E$300)&amp;" ["&amp;'Lui'!$F$6:$F$300&amp;"]",""),IF('Thaís'!$B$6:$B$300=$A595,"Thaís"&amp;IF('Thaís'!$E$6:$E$300="",""," : "&amp;'Thaís'!$E$6:$E$300)&amp;" ["&amp;'Thaís'!$F$6:$F$300&amp;"]",""),IF('Daniel'!$B$6:$B$300=$A595,"Daniel"&amp;IF('Daniel'!$E$6:$E$300="",""," : "&amp;'Daniel'!$E$6:$E$300)&amp;" ["&amp;'Daniel'!$F$6:$F$300&amp;"]",""),IF('Fernando'!$B$6:$B$300=$A595,"Fernando"&amp;IF('Fernando'!$E$6:$E$300="",""," : "&amp;'Fernando'!$E$6:$E$300)&amp;" ["&amp;'Fernando'!$F$6:$F$300&amp;"]",""),IF('Stephanie'!$B$6:$B$300=$A595,"Stephanie"&amp;IF('Stephanie'!$E$6:$E$300="",""," : "&amp;'Stephanie'!$E$6:$E$300)&amp;" ["&amp;'Stephanie'!$F$6:$F$300&amp;"]",""),IF('Fox'!$B$6:$B$300=$A595,"Fox"&amp;IF('Fox'!$E$6:$E$300="",""," : "&amp;'Fox'!$E$6:$E$300)&amp;" ["&amp;'Fox'!$F$6:$F$300&amp;"]",""),IF('Bruna'!$B$6:$B$300=$A595,"Bruna"&amp;IF('Bruna'!$E$6:$E$300="",""," : "&amp;'Bruna'!$E$6:$E$300)&amp;" ["&amp;'Bruna'!$F$6:$F$300&amp;"]",""),IF('Stella'!$B$6:$B$300=$A595,"Stella"&amp;IF('Stella'!$E$6:$E$300="",""," : "&amp;'Stella'!$E$6:$E$300)&amp;" ["&amp;'Stella'!$F$6:$F$300&amp;"]",""),IF('Igor'!$B$6:$B$300=$A595,"Igor"&amp;IF('Igor'!$E$6:$E$300="",""," : "&amp;'Igor'!$E$6:$E$300)&amp;" ["&amp;'Igor'!$F$6:$F$300&amp;"]","")))</f>
        <v/>
      </c>
    </row>
    <row r="596">
      <c r="G596" s="23">
        <f>IF($A596="","",_xlfn.TEXTJOIN("; ",TRUE,IF(COUNTIF('Clarice'!$B$6:$B$300,$A596)&gt;0,"Clarice",""),IF(COUNTIF('Luisa'!$B$6:$B$300,$A596)&gt;0,"Luisa",""),IF(COUNTIF('Lui'!$B$6:$B$300,$A596)&gt;0,"Lui",""),IF(COUNTIF('Thaís'!$B$6:$B$300,$A596)&gt;0,"Thaís",""),IF(COUNTIF('Daniel'!$B$6:$B$300,$A596)&gt;0,"Daniel",""),IF(COUNTIF('Fernando'!$B$6:$B$300,$A596)&gt;0,"Fernando",""),IF(COUNTIF('Stephanie'!$B$6:$B$300,$A596)&gt;0,"Stephanie",""),IF(COUNTIF('Fox'!$B$6:$B$300,$A596)&gt;0,"Fox",""),IF(COUNTIF('Bruna'!$B$6:$B$300,$A596)&gt;0,"Bruna",""),IF(COUNTIF('Stella'!$B$6:$B$300,$A596)&gt;0,"Stella",""),IF(COUNTIF('Igor'!$B$6:$B$300,$A596)&gt;0,"Igor","")))</f>
        <v/>
      </c>
      <c r="J596" s="24">
        <f>IF(OR($A596="",(COUNTIF('Clarice'!$B$6:$B$300,$A596)+COUNTIF('Luisa'!$B$6:$B$300,$A596)+COUNTIF('Lui'!$B$6:$B$300,$A596)+COUNTIF('Thaís'!$B$6:$B$300,$A596)+COUNTIF('Daniel'!$B$6:$B$300,$A596)+COUNTIF('Fernando'!$B$6:$B$300,$A596)+COUNTIF('Stephanie'!$B$6:$B$300,$A596)+COUNTIF('Fox'!$B$6:$B$300,$A596)+COUNTIF('Bruna'!$B$6:$B$300,$A596)+COUNTIF('Stella'!$B$6:$B$300,$A596)+COUNTIF('Igor'!$B$6:$B$300,$A596))=0),"",(COUNTIFS('Clarice'!$B$6:$B$300,$A596,'Clarice'!$F$6:$F$300,"Concluído")+COUNTIFS('Luisa'!$B$6:$B$300,$A596,'Luisa'!$F$6:$F$300,"Concluído")+COUNTIFS('Lui'!$B$6:$B$300,$A596,'Lui'!$F$6:$F$300,"Concluído")+COUNTIFS('Thaís'!$B$6:$B$300,$A596,'Thaís'!$F$6:$F$300,"Concluído")+COUNTIFS('Daniel'!$B$6:$B$300,$A596,'Daniel'!$F$6:$F$300,"Concluído")+COUNTIFS('Fernando'!$B$6:$B$300,$A596,'Fernando'!$F$6:$F$300,"Concluído")+COUNTIFS('Stephanie'!$B$6:$B$300,$A596,'Stephanie'!$F$6:$F$300,"Concluído")+COUNTIFS('Fox'!$B$6:$B$300,$A596,'Fox'!$F$6:$F$300,"Concluído")+COUNTIFS('Bruna'!$B$6:$B$300,$A596,'Bruna'!$F$6:$F$300,"Concluído")+COUNTIFS('Stella'!$B$6:$B$300,$A596,'Stella'!$F$6:$F$300,"Concluído")+COUNTIFS('Igor'!$B$6:$B$300,$A596,'Igor'!$F$6:$F$300,"Concluído"))&amp;" / "&amp;(COUNTIF('Clarice'!$B$6:$B$300,$A596)+COUNTIF('Luisa'!$B$6:$B$300,$A596)+COUNTIF('Lui'!$B$6:$B$300,$A596)+COUNTIF('Thaís'!$B$6:$B$300,$A596)+COUNTIF('Daniel'!$B$6:$B$300,$A596)+COUNTIF('Fernando'!$B$6:$B$300,$A596)+COUNTIF('Stephanie'!$B$6:$B$300,$A596)+COUNTIF('Fox'!$B$6:$B$300,$A596)+COUNTIF('Bruna'!$B$6:$B$300,$A596)+COUNTIF('Stella'!$B$6:$B$300,$A596)+COUNTIF('Igor'!$B$6:$B$300,$A596)))</f>
        <v/>
      </c>
      <c r="P596" s="25">
        <f>IF($A596="","",IF(M596&lt;&gt;"",M596,IF(K596&lt;&gt;"",K596,"")))</f>
        <v/>
      </c>
      <c r="Q596" s="25">
        <f>IF($A596="","",IF(N596&lt;&gt;"",N596,IF(L596&lt;&gt;"",L596,"")))</f>
        <v/>
      </c>
      <c r="S596" s="23">
        <f t="array" ref="S596">IF($A596="","",_xlfn.TEXTJOIN(CHAR(10),TRUE,IF('Clarice'!$B$6:$B$300=$A596,"Clarice"&amp;IF('Clarice'!$E$6:$E$300="",""," : "&amp;'Clarice'!$E$6:$E$300)&amp;" ["&amp;'Clarice'!$F$6:$F$300&amp;"]",""),IF('Luisa'!$B$6:$B$300=$A596,"Luisa"&amp;IF('Luisa'!$E$6:$E$300="",""," : "&amp;'Luisa'!$E$6:$E$300)&amp;" ["&amp;'Luisa'!$F$6:$F$300&amp;"]",""),IF('Lui'!$B$6:$B$300=$A596,"Lui"&amp;IF('Lui'!$E$6:$E$300="",""," : "&amp;'Lui'!$E$6:$E$300)&amp;" ["&amp;'Lui'!$F$6:$F$300&amp;"]",""),IF('Thaís'!$B$6:$B$300=$A596,"Thaís"&amp;IF('Thaís'!$E$6:$E$300="",""," : "&amp;'Thaís'!$E$6:$E$300)&amp;" ["&amp;'Thaís'!$F$6:$F$300&amp;"]",""),IF('Daniel'!$B$6:$B$300=$A596,"Daniel"&amp;IF('Daniel'!$E$6:$E$300="",""," : "&amp;'Daniel'!$E$6:$E$300)&amp;" ["&amp;'Daniel'!$F$6:$F$300&amp;"]",""),IF('Fernando'!$B$6:$B$300=$A596,"Fernando"&amp;IF('Fernando'!$E$6:$E$300="",""," : "&amp;'Fernando'!$E$6:$E$300)&amp;" ["&amp;'Fernando'!$F$6:$F$300&amp;"]",""),IF('Stephanie'!$B$6:$B$300=$A596,"Stephanie"&amp;IF('Stephanie'!$E$6:$E$300="",""," : "&amp;'Stephanie'!$E$6:$E$300)&amp;" ["&amp;'Stephanie'!$F$6:$F$300&amp;"]",""),IF('Fox'!$B$6:$B$300=$A596,"Fox"&amp;IF('Fox'!$E$6:$E$300="",""," : "&amp;'Fox'!$E$6:$E$300)&amp;" ["&amp;'Fox'!$F$6:$F$300&amp;"]",""),IF('Bruna'!$B$6:$B$300=$A596,"Bruna"&amp;IF('Bruna'!$E$6:$E$300="",""," : "&amp;'Bruna'!$E$6:$E$300)&amp;" ["&amp;'Bruna'!$F$6:$F$300&amp;"]",""),IF('Stella'!$B$6:$B$300=$A596,"Stella"&amp;IF('Stella'!$E$6:$E$300="",""," : "&amp;'Stella'!$E$6:$E$300)&amp;" ["&amp;'Stella'!$F$6:$F$300&amp;"]",""),IF('Igor'!$B$6:$B$300=$A596,"Igor"&amp;IF('Igor'!$E$6:$E$300="",""," : "&amp;'Igor'!$E$6:$E$300)&amp;" ["&amp;'Igor'!$F$6:$F$300&amp;"]","")))</f>
        <v/>
      </c>
    </row>
    <row r="597">
      <c r="G597" s="23">
        <f>IF($A597="","",_xlfn.TEXTJOIN("; ",TRUE,IF(COUNTIF('Clarice'!$B$6:$B$300,$A597)&gt;0,"Clarice",""),IF(COUNTIF('Luisa'!$B$6:$B$300,$A597)&gt;0,"Luisa",""),IF(COUNTIF('Lui'!$B$6:$B$300,$A597)&gt;0,"Lui",""),IF(COUNTIF('Thaís'!$B$6:$B$300,$A597)&gt;0,"Thaís",""),IF(COUNTIF('Daniel'!$B$6:$B$300,$A597)&gt;0,"Daniel",""),IF(COUNTIF('Fernando'!$B$6:$B$300,$A597)&gt;0,"Fernando",""),IF(COUNTIF('Stephanie'!$B$6:$B$300,$A597)&gt;0,"Stephanie",""),IF(COUNTIF('Fox'!$B$6:$B$300,$A597)&gt;0,"Fox",""),IF(COUNTIF('Bruna'!$B$6:$B$300,$A597)&gt;0,"Bruna",""),IF(COUNTIF('Stella'!$B$6:$B$300,$A597)&gt;0,"Stella",""),IF(COUNTIF('Igor'!$B$6:$B$300,$A597)&gt;0,"Igor","")))</f>
        <v/>
      </c>
      <c r="J597" s="24">
        <f>IF(OR($A597="",(COUNTIF('Clarice'!$B$6:$B$300,$A597)+COUNTIF('Luisa'!$B$6:$B$300,$A597)+COUNTIF('Lui'!$B$6:$B$300,$A597)+COUNTIF('Thaís'!$B$6:$B$300,$A597)+COUNTIF('Daniel'!$B$6:$B$300,$A597)+COUNTIF('Fernando'!$B$6:$B$300,$A597)+COUNTIF('Stephanie'!$B$6:$B$300,$A597)+COUNTIF('Fox'!$B$6:$B$300,$A597)+COUNTIF('Bruna'!$B$6:$B$300,$A597)+COUNTIF('Stella'!$B$6:$B$300,$A597)+COUNTIF('Igor'!$B$6:$B$300,$A597))=0),"",(COUNTIFS('Clarice'!$B$6:$B$300,$A597,'Clarice'!$F$6:$F$300,"Concluído")+COUNTIFS('Luisa'!$B$6:$B$300,$A597,'Luisa'!$F$6:$F$300,"Concluído")+COUNTIFS('Lui'!$B$6:$B$300,$A597,'Lui'!$F$6:$F$300,"Concluído")+COUNTIFS('Thaís'!$B$6:$B$300,$A597,'Thaís'!$F$6:$F$300,"Concluído")+COUNTIFS('Daniel'!$B$6:$B$300,$A597,'Daniel'!$F$6:$F$300,"Concluído")+COUNTIFS('Fernando'!$B$6:$B$300,$A597,'Fernando'!$F$6:$F$300,"Concluído")+COUNTIFS('Stephanie'!$B$6:$B$300,$A597,'Stephanie'!$F$6:$F$300,"Concluído")+COUNTIFS('Fox'!$B$6:$B$300,$A597,'Fox'!$F$6:$F$300,"Concluído")+COUNTIFS('Bruna'!$B$6:$B$300,$A597,'Bruna'!$F$6:$F$300,"Concluído")+COUNTIFS('Stella'!$B$6:$B$300,$A597,'Stella'!$F$6:$F$300,"Concluído")+COUNTIFS('Igor'!$B$6:$B$300,$A597,'Igor'!$F$6:$F$300,"Concluído"))&amp;" / "&amp;(COUNTIF('Clarice'!$B$6:$B$300,$A597)+COUNTIF('Luisa'!$B$6:$B$300,$A597)+COUNTIF('Lui'!$B$6:$B$300,$A597)+COUNTIF('Thaís'!$B$6:$B$300,$A597)+COUNTIF('Daniel'!$B$6:$B$300,$A597)+COUNTIF('Fernando'!$B$6:$B$300,$A597)+COUNTIF('Stephanie'!$B$6:$B$300,$A597)+COUNTIF('Fox'!$B$6:$B$300,$A597)+COUNTIF('Bruna'!$B$6:$B$300,$A597)+COUNTIF('Stella'!$B$6:$B$300,$A597)+COUNTIF('Igor'!$B$6:$B$300,$A597)))</f>
        <v/>
      </c>
      <c r="P597" s="25">
        <f>IF($A597="","",IF(M597&lt;&gt;"",M597,IF(K597&lt;&gt;"",K597,"")))</f>
        <v/>
      </c>
      <c r="Q597" s="25">
        <f>IF($A597="","",IF(N597&lt;&gt;"",N597,IF(L597&lt;&gt;"",L597,"")))</f>
        <v/>
      </c>
      <c r="S597" s="23">
        <f t="array" ref="S597">IF($A597="","",_xlfn.TEXTJOIN(CHAR(10),TRUE,IF('Clarice'!$B$6:$B$300=$A597,"Clarice"&amp;IF('Clarice'!$E$6:$E$300="",""," : "&amp;'Clarice'!$E$6:$E$300)&amp;" ["&amp;'Clarice'!$F$6:$F$300&amp;"]",""),IF('Luisa'!$B$6:$B$300=$A597,"Luisa"&amp;IF('Luisa'!$E$6:$E$300="",""," : "&amp;'Luisa'!$E$6:$E$300)&amp;" ["&amp;'Luisa'!$F$6:$F$300&amp;"]",""),IF('Lui'!$B$6:$B$300=$A597,"Lui"&amp;IF('Lui'!$E$6:$E$300="",""," : "&amp;'Lui'!$E$6:$E$300)&amp;" ["&amp;'Lui'!$F$6:$F$300&amp;"]",""),IF('Thaís'!$B$6:$B$300=$A597,"Thaís"&amp;IF('Thaís'!$E$6:$E$300="",""," : "&amp;'Thaís'!$E$6:$E$300)&amp;" ["&amp;'Thaís'!$F$6:$F$300&amp;"]",""),IF('Daniel'!$B$6:$B$300=$A597,"Daniel"&amp;IF('Daniel'!$E$6:$E$300="",""," : "&amp;'Daniel'!$E$6:$E$300)&amp;" ["&amp;'Daniel'!$F$6:$F$300&amp;"]",""),IF('Fernando'!$B$6:$B$300=$A597,"Fernando"&amp;IF('Fernando'!$E$6:$E$300="",""," : "&amp;'Fernando'!$E$6:$E$300)&amp;" ["&amp;'Fernando'!$F$6:$F$300&amp;"]",""),IF('Stephanie'!$B$6:$B$300=$A597,"Stephanie"&amp;IF('Stephanie'!$E$6:$E$300="",""," : "&amp;'Stephanie'!$E$6:$E$300)&amp;" ["&amp;'Stephanie'!$F$6:$F$300&amp;"]",""),IF('Fox'!$B$6:$B$300=$A597,"Fox"&amp;IF('Fox'!$E$6:$E$300="",""," : "&amp;'Fox'!$E$6:$E$300)&amp;" ["&amp;'Fox'!$F$6:$F$300&amp;"]",""),IF('Bruna'!$B$6:$B$300=$A597,"Bruna"&amp;IF('Bruna'!$E$6:$E$300="",""," : "&amp;'Bruna'!$E$6:$E$300)&amp;" ["&amp;'Bruna'!$F$6:$F$300&amp;"]",""),IF('Stella'!$B$6:$B$300=$A597,"Stella"&amp;IF('Stella'!$E$6:$E$300="",""," : "&amp;'Stella'!$E$6:$E$300)&amp;" ["&amp;'Stella'!$F$6:$F$300&amp;"]",""),IF('Igor'!$B$6:$B$300=$A597,"Igor"&amp;IF('Igor'!$E$6:$E$300="",""," : "&amp;'Igor'!$E$6:$E$300)&amp;" ["&amp;'Igor'!$F$6:$F$300&amp;"]","")))</f>
        <v/>
      </c>
    </row>
    <row r="598">
      <c r="G598" s="23">
        <f>IF($A598="","",_xlfn.TEXTJOIN("; ",TRUE,IF(COUNTIF('Clarice'!$B$6:$B$300,$A598)&gt;0,"Clarice",""),IF(COUNTIF('Luisa'!$B$6:$B$300,$A598)&gt;0,"Luisa",""),IF(COUNTIF('Lui'!$B$6:$B$300,$A598)&gt;0,"Lui",""),IF(COUNTIF('Thaís'!$B$6:$B$300,$A598)&gt;0,"Thaís",""),IF(COUNTIF('Daniel'!$B$6:$B$300,$A598)&gt;0,"Daniel",""),IF(COUNTIF('Fernando'!$B$6:$B$300,$A598)&gt;0,"Fernando",""),IF(COUNTIF('Stephanie'!$B$6:$B$300,$A598)&gt;0,"Stephanie",""),IF(COUNTIF('Fox'!$B$6:$B$300,$A598)&gt;0,"Fox",""),IF(COUNTIF('Bruna'!$B$6:$B$300,$A598)&gt;0,"Bruna",""),IF(COUNTIF('Stella'!$B$6:$B$300,$A598)&gt;0,"Stella",""),IF(COUNTIF('Igor'!$B$6:$B$300,$A598)&gt;0,"Igor","")))</f>
        <v/>
      </c>
      <c r="J598" s="24">
        <f>IF(OR($A598="",(COUNTIF('Clarice'!$B$6:$B$300,$A598)+COUNTIF('Luisa'!$B$6:$B$300,$A598)+COUNTIF('Lui'!$B$6:$B$300,$A598)+COUNTIF('Thaís'!$B$6:$B$300,$A598)+COUNTIF('Daniel'!$B$6:$B$300,$A598)+COUNTIF('Fernando'!$B$6:$B$300,$A598)+COUNTIF('Stephanie'!$B$6:$B$300,$A598)+COUNTIF('Fox'!$B$6:$B$300,$A598)+COUNTIF('Bruna'!$B$6:$B$300,$A598)+COUNTIF('Stella'!$B$6:$B$300,$A598)+COUNTIF('Igor'!$B$6:$B$300,$A598))=0),"",(COUNTIFS('Clarice'!$B$6:$B$300,$A598,'Clarice'!$F$6:$F$300,"Concluído")+COUNTIFS('Luisa'!$B$6:$B$300,$A598,'Luisa'!$F$6:$F$300,"Concluído")+COUNTIFS('Lui'!$B$6:$B$300,$A598,'Lui'!$F$6:$F$300,"Concluído")+COUNTIFS('Thaís'!$B$6:$B$300,$A598,'Thaís'!$F$6:$F$300,"Concluído")+COUNTIFS('Daniel'!$B$6:$B$300,$A598,'Daniel'!$F$6:$F$300,"Concluído")+COUNTIFS('Fernando'!$B$6:$B$300,$A598,'Fernando'!$F$6:$F$300,"Concluído")+COUNTIFS('Stephanie'!$B$6:$B$300,$A598,'Stephanie'!$F$6:$F$300,"Concluído")+COUNTIFS('Fox'!$B$6:$B$300,$A598,'Fox'!$F$6:$F$300,"Concluído")+COUNTIFS('Bruna'!$B$6:$B$300,$A598,'Bruna'!$F$6:$F$300,"Concluído")+COUNTIFS('Stella'!$B$6:$B$300,$A598,'Stella'!$F$6:$F$300,"Concluído")+COUNTIFS('Igor'!$B$6:$B$300,$A598,'Igor'!$F$6:$F$300,"Concluído"))&amp;" / "&amp;(COUNTIF('Clarice'!$B$6:$B$300,$A598)+COUNTIF('Luisa'!$B$6:$B$300,$A598)+COUNTIF('Lui'!$B$6:$B$300,$A598)+COUNTIF('Thaís'!$B$6:$B$300,$A598)+COUNTIF('Daniel'!$B$6:$B$300,$A598)+COUNTIF('Fernando'!$B$6:$B$300,$A598)+COUNTIF('Stephanie'!$B$6:$B$300,$A598)+COUNTIF('Fox'!$B$6:$B$300,$A598)+COUNTIF('Bruna'!$B$6:$B$300,$A598)+COUNTIF('Stella'!$B$6:$B$300,$A598)+COUNTIF('Igor'!$B$6:$B$300,$A598)))</f>
        <v/>
      </c>
      <c r="P598" s="25">
        <f>IF($A598="","",IF(M598&lt;&gt;"",M598,IF(K598&lt;&gt;"",K598,"")))</f>
        <v/>
      </c>
      <c r="Q598" s="25">
        <f>IF($A598="","",IF(N598&lt;&gt;"",N598,IF(L598&lt;&gt;"",L598,"")))</f>
        <v/>
      </c>
      <c r="S598" s="23">
        <f t="array" ref="S598">IF($A598="","",_xlfn.TEXTJOIN(CHAR(10),TRUE,IF('Clarice'!$B$6:$B$300=$A598,"Clarice"&amp;IF('Clarice'!$E$6:$E$300="",""," : "&amp;'Clarice'!$E$6:$E$300)&amp;" ["&amp;'Clarice'!$F$6:$F$300&amp;"]",""),IF('Luisa'!$B$6:$B$300=$A598,"Luisa"&amp;IF('Luisa'!$E$6:$E$300="",""," : "&amp;'Luisa'!$E$6:$E$300)&amp;" ["&amp;'Luisa'!$F$6:$F$300&amp;"]",""),IF('Lui'!$B$6:$B$300=$A598,"Lui"&amp;IF('Lui'!$E$6:$E$300="",""," : "&amp;'Lui'!$E$6:$E$300)&amp;" ["&amp;'Lui'!$F$6:$F$300&amp;"]",""),IF('Thaís'!$B$6:$B$300=$A598,"Thaís"&amp;IF('Thaís'!$E$6:$E$300="",""," : "&amp;'Thaís'!$E$6:$E$300)&amp;" ["&amp;'Thaís'!$F$6:$F$300&amp;"]",""),IF('Daniel'!$B$6:$B$300=$A598,"Daniel"&amp;IF('Daniel'!$E$6:$E$300="",""," : "&amp;'Daniel'!$E$6:$E$300)&amp;" ["&amp;'Daniel'!$F$6:$F$300&amp;"]",""),IF('Fernando'!$B$6:$B$300=$A598,"Fernando"&amp;IF('Fernando'!$E$6:$E$300="",""," : "&amp;'Fernando'!$E$6:$E$300)&amp;" ["&amp;'Fernando'!$F$6:$F$300&amp;"]",""),IF('Stephanie'!$B$6:$B$300=$A598,"Stephanie"&amp;IF('Stephanie'!$E$6:$E$300="",""," : "&amp;'Stephanie'!$E$6:$E$300)&amp;" ["&amp;'Stephanie'!$F$6:$F$300&amp;"]",""),IF('Fox'!$B$6:$B$300=$A598,"Fox"&amp;IF('Fox'!$E$6:$E$300="",""," : "&amp;'Fox'!$E$6:$E$300)&amp;" ["&amp;'Fox'!$F$6:$F$300&amp;"]",""),IF('Bruna'!$B$6:$B$300=$A598,"Bruna"&amp;IF('Bruna'!$E$6:$E$300="",""," : "&amp;'Bruna'!$E$6:$E$300)&amp;" ["&amp;'Bruna'!$F$6:$F$300&amp;"]",""),IF('Stella'!$B$6:$B$300=$A598,"Stella"&amp;IF('Stella'!$E$6:$E$300="",""," : "&amp;'Stella'!$E$6:$E$300)&amp;" ["&amp;'Stella'!$F$6:$F$300&amp;"]",""),IF('Igor'!$B$6:$B$300=$A598,"Igor"&amp;IF('Igor'!$E$6:$E$300="",""," : "&amp;'Igor'!$E$6:$E$300)&amp;" ["&amp;'Igor'!$F$6:$F$300&amp;"]","")))</f>
        <v/>
      </c>
    </row>
    <row r="599">
      <c r="G599" s="23">
        <f>IF($A599="","",_xlfn.TEXTJOIN("; ",TRUE,IF(COUNTIF('Clarice'!$B$6:$B$300,$A599)&gt;0,"Clarice",""),IF(COUNTIF('Luisa'!$B$6:$B$300,$A599)&gt;0,"Luisa",""),IF(COUNTIF('Lui'!$B$6:$B$300,$A599)&gt;0,"Lui",""),IF(COUNTIF('Thaís'!$B$6:$B$300,$A599)&gt;0,"Thaís",""),IF(COUNTIF('Daniel'!$B$6:$B$300,$A599)&gt;0,"Daniel",""),IF(COUNTIF('Fernando'!$B$6:$B$300,$A599)&gt;0,"Fernando",""),IF(COUNTIF('Stephanie'!$B$6:$B$300,$A599)&gt;0,"Stephanie",""),IF(COUNTIF('Fox'!$B$6:$B$300,$A599)&gt;0,"Fox",""),IF(COUNTIF('Bruna'!$B$6:$B$300,$A599)&gt;0,"Bruna",""),IF(COUNTIF('Stella'!$B$6:$B$300,$A599)&gt;0,"Stella",""),IF(COUNTIF('Igor'!$B$6:$B$300,$A599)&gt;0,"Igor","")))</f>
        <v/>
      </c>
      <c r="J599" s="24">
        <f>IF(OR($A599="",(COUNTIF('Clarice'!$B$6:$B$300,$A599)+COUNTIF('Luisa'!$B$6:$B$300,$A599)+COUNTIF('Lui'!$B$6:$B$300,$A599)+COUNTIF('Thaís'!$B$6:$B$300,$A599)+COUNTIF('Daniel'!$B$6:$B$300,$A599)+COUNTIF('Fernando'!$B$6:$B$300,$A599)+COUNTIF('Stephanie'!$B$6:$B$300,$A599)+COUNTIF('Fox'!$B$6:$B$300,$A599)+COUNTIF('Bruna'!$B$6:$B$300,$A599)+COUNTIF('Stella'!$B$6:$B$300,$A599)+COUNTIF('Igor'!$B$6:$B$300,$A599))=0),"",(COUNTIFS('Clarice'!$B$6:$B$300,$A599,'Clarice'!$F$6:$F$300,"Concluído")+COUNTIFS('Luisa'!$B$6:$B$300,$A599,'Luisa'!$F$6:$F$300,"Concluído")+COUNTIFS('Lui'!$B$6:$B$300,$A599,'Lui'!$F$6:$F$300,"Concluído")+COUNTIFS('Thaís'!$B$6:$B$300,$A599,'Thaís'!$F$6:$F$300,"Concluído")+COUNTIFS('Daniel'!$B$6:$B$300,$A599,'Daniel'!$F$6:$F$300,"Concluído")+COUNTIFS('Fernando'!$B$6:$B$300,$A599,'Fernando'!$F$6:$F$300,"Concluído")+COUNTIFS('Stephanie'!$B$6:$B$300,$A599,'Stephanie'!$F$6:$F$300,"Concluído")+COUNTIFS('Fox'!$B$6:$B$300,$A599,'Fox'!$F$6:$F$300,"Concluído")+COUNTIFS('Bruna'!$B$6:$B$300,$A599,'Bruna'!$F$6:$F$300,"Concluído")+COUNTIFS('Stella'!$B$6:$B$300,$A599,'Stella'!$F$6:$F$300,"Concluído")+COUNTIFS('Igor'!$B$6:$B$300,$A599,'Igor'!$F$6:$F$300,"Concluído"))&amp;" / "&amp;(COUNTIF('Clarice'!$B$6:$B$300,$A599)+COUNTIF('Luisa'!$B$6:$B$300,$A599)+COUNTIF('Lui'!$B$6:$B$300,$A599)+COUNTIF('Thaís'!$B$6:$B$300,$A599)+COUNTIF('Daniel'!$B$6:$B$300,$A599)+COUNTIF('Fernando'!$B$6:$B$300,$A599)+COUNTIF('Stephanie'!$B$6:$B$300,$A599)+COUNTIF('Fox'!$B$6:$B$300,$A599)+COUNTIF('Bruna'!$B$6:$B$300,$A599)+COUNTIF('Stella'!$B$6:$B$300,$A599)+COUNTIF('Igor'!$B$6:$B$300,$A599)))</f>
        <v/>
      </c>
      <c r="P599" s="25">
        <f>IF($A599="","",IF(M599&lt;&gt;"",M599,IF(K599&lt;&gt;"",K599,"")))</f>
        <v/>
      </c>
      <c r="Q599" s="25">
        <f>IF($A599="","",IF(N599&lt;&gt;"",N599,IF(L599&lt;&gt;"",L599,"")))</f>
        <v/>
      </c>
      <c r="S599" s="23">
        <f t="array" ref="S599">IF($A599="","",_xlfn.TEXTJOIN(CHAR(10),TRUE,IF('Clarice'!$B$6:$B$300=$A599,"Clarice"&amp;IF('Clarice'!$E$6:$E$300="",""," : "&amp;'Clarice'!$E$6:$E$300)&amp;" ["&amp;'Clarice'!$F$6:$F$300&amp;"]",""),IF('Luisa'!$B$6:$B$300=$A599,"Luisa"&amp;IF('Luisa'!$E$6:$E$300="",""," : "&amp;'Luisa'!$E$6:$E$300)&amp;" ["&amp;'Luisa'!$F$6:$F$300&amp;"]",""),IF('Lui'!$B$6:$B$300=$A599,"Lui"&amp;IF('Lui'!$E$6:$E$300="",""," : "&amp;'Lui'!$E$6:$E$300)&amp;" ["&amp;'Lui'!$F$6:$F$300&amp;"]",""),IF('Thaís'!$B$6:$B$300=$A599,"Thaís"&amp;IF('Thaís'!$E$6:$E$300="",""," : "&amp;'Thaís'!$E$6:$E$300)&amp;" ["&amp;'Thaís'!$F$6:$F$300&amp;"]",""),IF('Daniel'!$B$6:$B$300=$A599,"Daniel"&amp;IF('Daniel'!$E$6:$E$300="",""," : "&amp;'Daniel'!$E$6:$E$300)&amp;" ["&amp;'Daniel'!$F$6:$F$300&amp;"]",""),IF('Fernando'!$B$6:$B$300=$A599,"Fernando"&amp;IF('Fernando'!$E$6:$E$300="",""," : "&amp;'Fernando'!$E$6:$E$300)&amp;" ["&amp;'Fernando'!$F$6:$F$300&amp;"]",""),IF('Stephanie'!$B$6:$B$300=$A599,"Stephanie"&amp;IF('Stephanie'!$E$6:$E$300="",""," : "&amp;'Stephanie'!$E$6:$E$300)&amp;" ["&amp;'Stephanie'!$F$6:$F$300&amp;"]",""),IF('Fox'!$B$6:$B$300=$A599,"Fox"&amp;IF('Fox'!$E$6:$E$300="",""," : "&amp;'Fox'!$E$6:$E$300)&amp;" ["&amp;'Fox'!$F$6:$F$300&amp;"]",""),IF('Bruna'!$B$6:$B$300=$A599,"Bruna"&amp;IF('Bruna'!$E$6:$E$300="",""," : "&amp;'Bruna'!$E$6:$E$300)&amp;" ["&amp;'Bruna'!$F$6:$F$300&amp;"]",""),IF('Stella'!$B$6:$B$300=$A599,"Stella"&amp;IF('Stella'!$E$6:$E$300="",""," : "&amp;'Stella'!$E$6:$E$300)&amp;" ["&amp;'Stella'!$F$6:$F$300&amp;"]",""),IF('Igor'!$B$6:$B$300=$A599,"Igor"&amp;IF('Igor'!$E$6:$E$300="",""," : "&amp;'Igor'!$E$6:$E$300)&amp;" ["&amp;'Igor'!$F$6:$F$300&amp;"]","")))</f>
        <v/>
      </c>
    </row>
    <row r="600">
      <c r="G600" s="23">
        <f>IF($A600="","",_xlfn.TEXTJOIN("; ",TRUE,IF(COUNTIF('Clarice'!$B$6:$B$300,$A600)&gt;0,"Clarice",""),IF(COUNTIF('Luisa'!$B$6:$B$300,$A600)&gt;0,"Luisa",""),IF(COUNTIF('Lui'!$B$6:$B$300,$A600)&gt;0,"Lui",""),IF(COUNTIF('Thaís'!$B$6:$B$300,$A600)&gt;0,"Thaís",""),IF(COUNTIF('Daniel'!$B$6:$B$300,$A600)&gt;0,"Daniel",""),IF(COUNTIF('Fernando'!$B$6:$B$300,$A600)&gt;0,"Fernando",""),IF(COUNTIF('Stephanie'!$B$6:$B$300,$A600)&gt;0,"Stephanie",""),IF(COUNTIF('Fox'!$B$6:$B$300,$A600)&gt;0,"Fox",""),IF(COUNTIF('Bruna'!$B$6:$B$300,$A600)&gt;0,"Bruna",""),IF(COUNTIF('Stella'!$B$6:$B$300,$A600)&gt;0,"Stella",""),IF(COUNTIF('Igor'!$B$6:$B$300,$A600)&gt;0,"Igor","")))</f>
        <v/>
      </c>
      <c r="J600" s="24">
        <f>IF(OR($A600="",(COUNTIF('Clarice'!$B$6:$B$300,$A600)+COUNTIF('Luisa'!$B$6:$B$300,$A600)+COUNTIF('Lui'!$B$6:$B$300,$A600)+COUNTIF('Thaís'!$B$6:$B$300,$A600)+COUNTIF('Daniel'!$B$6:$B$300,$A600)+COUNTIF('Fernando'!$B$6:$B$300,$A600)+COUNTIF('Stephanie'!$B$6:$B$300,$A600)+COUNTIF('Fox'!$B$6:$B$300,$A600)+COUNTIF('Bruna'!$B$6:$B$300,$A600)+COUNTIF('Stella'!$B$6:$B$300,$A600)+COUNTIF('Igor'!$B$6:$B$300,$A600))=0),"",(COUNTIFS('Clarice'!$B$6:$B$300,$A600,'Clarice'!$F$6:$F$300,"Concluído")+COUNTIFS('Luisa'!$B$6:$B$300,$A600,'Luisa'!$F$6:$F$300,"Concluído")+COUNTIFS('Lui'!$B$6:$B$300,$A600,'Lui'!$F$6:$F$300,"Concluído")+COUNTIFS('Thaís'!$B$6:$B$300,$A600,'Thaís'!$F$6:$F$300,"Concluído")+COUNTIFS('Daniel'!$B$6:$B$300,$A600,'Daniel'!$F$6:$F$300,"Concluído")+COUNTIFS('Fernando'!$B$6:$B$300,$A600,'Fernando'!$F$6:$F$300,"Concluído")+COUNTIFS('Stephanie'!$B$6:$B$300,$A600,'Stephanie'!$F$6:$F$300,"Concluído")+COUNTIFS('Fox'!$B$6:$B$300,$A600,'Fox'!$F$6:$F$300,"Concluído")+COUNTIFS('Bruna'!$B$6:$B$300,$A600,'Bruna'!$F$6:$F$300,"Concluído")+COUNTIFS('Stella'!$B$6:$B$300,$A600,'Stella'!$F$6:$F$300,"Concluído")+COUNTIFS('Igor'!$B$6:$B$300,$A600,'Igor'!$F$6:$F$300,"Concluído"))&amp;" / "&amp;(COUNTIF('Clarice'!$B$6:$B$300,$A600)+COUNTIF('Luisa'!$B$6:$B$300,$A600)+COUNTIF('Lui'!$B$6:$B$300,$A600)+COUNTIF('Thaís'!$B$6:$B$300,$A600)+COUNTIF('Daniel'!$B$6:$B$300,$A600)+COUNTIF('Fernando'!$B$6:$B$300,$A600)+COUNTIF('Stephanie'!$B$6:$B$300,$A600)+COUNTIF('Fox'!$B$6:$B$300,$A600)+COUNTIF('Bruna'!$B$6:$B$300,$A600)+COUNTIF('Stella'!$B$6:$B$300,$A600)+COUNTIF('Igor'!$B$6:$B$300,$A600)))</f>
        <v/>
      </c>
      <c r="P600" s="25">
        <f>IF($A600="","",IF(M600&lt;&gt;"",M600,IF(K600&lt;&gt;"",K600,"")))</f>
        <v/>
      </c>
      <c r="Q600" s="25">
        <f>IF($A600="","",IF(N600&lt;&gt;"",N600,IF(L600&lt;&gt;"",L600,"")))</f>
        <v/>
      </c>
      <c r="S600" s="23">
        <f t="array" ref="S600">IF($A600="","",_xlfn.TEXTJOIN(CHAR(10),TRUE,IF('Clarice'!$B$6:$B$300=$A600,"Clarice"&amp;IF('Clarice'!$E$6:$E$300="",""," : "&amp;'Clarice'!$E$6:$E$300)&amp;" ["&amp;'Clarice'!$F$6:$F$300&amp;"]",""),IF('Luisa'!$B$6:$B$300=$A600,"Luisa"&amp;IF('Luisa'!$E$6:$E$300="",""," : "&amp;'Luisa'!$E$6:$E$300)&amp;" ["&amp;'Luisa'!$F$6:$F$300&amp;"]",""),IF('Lui'!$B$6:$B$300=$A600,"Lui"&amp;IF('Lui'!$E$6:$E$300="",""," : "&amp;'Lui'!$E$6:$E$300)&amp;" ["&amp;'Lui'!$F$6:$F$300&amp;"]",""),IF('Thaís'!$B$6:$B$300=$A600,"Thaís"&amp;IF('Thaís'!$E$6:$E$300="",""," : "&amp;'Thaís'!$E$6:$E$300)&amp;" ["&amp;'Thaís'!$F$6:$F$300&amp;"]",""),IF('Daniel'!$B$6:$B$300=$A600,"Daniel"&amp;IF('Daniel'!$E$6:$E$300="",""," : "&amp;'Daniel'!$E$6:$E$300)&amp;" ["&amp;'Daniel'!$F$6:$F$300&amp;"]",""),IF('Fernando'!$B$6:$B$300=$A600,"Fernando"&amp;IF('Fernando'!$E$6:$E$300="",""," : "&amp;'Fernando'!$E$6:$E$300)&amp;" ["&amp;'Fernando'!$F$6:$F$300&amp;"]",""),IF('Stephanie'!$B$6:$B$300=$A600,"Stephanie"&amp;IF('Stephanie'!$E$6:$E$300="",""," : "&amp;'Stephanie'!$E$6:$E$300)&amp;" ["&amp;'Stephanie'!$F$6:$F$300&amp;"]",""),IF('Fox'!$B$6:$B$300=$A600,"Fox"&amp;IF('Fox'!$E$6:$E$300="",""," : "&amp;'Fox'!$E$6:$E$300)&amp;" ["&amp;'Fox'!$F$6:$F$300&amp;"]",""),IF('Bruna'!$B$6:$B$300=$A600,"Bruna"&amp;IF('Bruna'!$E$6:$E$300="",""," : "&amp;'Bruna'!$E$6:$E$300)&amp;" ["&amp;'Bruna'!$F$6:$F$300&amp;"]",""),IF('Stella'!$B$6:$B$300=$A600,"Stella"&amp;IF('Stella'!$E$6:$E$300="",""," : "&amp;'Stella'!$E$6:$E$300)&amp;" ["&amp;'Stella'!$F$6:$F$300&amp;"]",""),IF('Igor'!$B$6:$B$300=$A600,"Igor"&amp;IF('Igor'!$E$6:$E$300="",""," : "&amp;'Igor'!$E$6:$E$300)&amp;" ["&amp;'Igor'!$F$6:$F$300&amp;"]","")))</f>
        <v/>
      </c>
    </row>
  </sheetData>
  <autoFilter ref="A6:S600"/>
  <mergeCells count="1">
    <mergeCell ref="T3:U3"/>
  </mergeCells>
  <conditionalFormatting sqref="T7:BI600">
    <cfRule type="expression" priority="1" dxfId="0">
      <formula>AND(ISNUMBER($P7),ISNUMBER($Q7),$P7&lt;=T$6+6,$Q7&gt;=T$6)</formula>
    </cfRule>
  </conditionalFormatting>
  <conditionalFormatting sqref="I7:I600">
    <cfRule type="expression" priority="2" dxfId="1">
      <formula>$I7="Concluído"</formula>
    </cfRule>
    <cfRule type="expression" priority="3" dxfId="2">
      <formula>$I7="Em andamento"</formula>
    </cfRule>
    <cfRule type="expression" priority="4" dxfId="3">
      <formula>$I7="Pausado"</formula>
    </cfRule>
    <cfRule type="expression" priority="5" dxfId="4">
      <formula>$I7="Não iniciado"</formula>
    </cfRule>
  </conditionalFormatting>
  <conditionalFormatting sqref="A7:A600">
    <cfRule type="expression" priority="6" dxfId="5">
      <formula>AND($A7&lt;&gt;"",COUNTIF($A$7:$A$600,$A7)&gt;1)</formula>
    </cfRule>
  </conditionalFormatting>
  <dataValidations count="4">
    <dataValidation sqref="I7:I600" showDropDown="0" showInputMessage="0" showErrorMessage="0" allowBlank="1" type="list">
      <formula1>=lst_Status</formula1>
    </dataValidation>
    <dataValidation sqref="F7:F600" showDropDown="0" showInputMessage="0" showErrorMessage="0" allowBlank="1" type="list">
      <formula1>=lst_Equipe</formula1>
    </dataValidation>
    <dataValidation sqref="C7:C600" showDropDown="0" showInputMessage="0" showErrorMessage="0" allowBlank="1" type="list">
      <formula1>=lst_Frentes</formula1>
    </dataValidation>
    <dataValidation sqref="K7:O6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Painel de acompanhamento</t>
        </is>
      </c>
    </row>
    <row r="2">
      <c r="A2" s="4" t="inlineStr">
        <is>
          <t>Tudo nesta aba é automático. "Atrasadas" = Meu prazo (ou prazo da Geral, se vazio) anterior a hoje e status diferente de Concluído.</t>
        </is>
      </c>
    </row>
    <row r="3">
      <c r="A3" s="26" t="inlineStr">
        <is>
          <t>Hoje:</t>
        </is>
      </c>
      <c r="B3" s="27">
        <f>TODAY()</f>
        <v/>
      </c>
    </row>
    <row r="5" ht="30" customHeight="1">
      <c r="A5" s="9" t="inlineStr">
        <is>
          <t>Pessoa</t>
        </is>
      </c>
      <c r="B5" s="9" t="inlineStr">
        <is>
          <t>Não iniciado</t>
        </is>
      </c>
      <c r="C5" s="9" t="inlineStr">
        <is>
          <t>Em andamento</t>
        </is>
      </c>
      <c r="D5" s="9" t="inlineStr">
        <is>
          <t>Pausado</t>
        </is>
      </c>
      <c r="E5" s="9" t="inlineStr">
        <is>
          <t>Concluído</t>
        </is>
      </c>
      <c r="F5" s="9" t="inlineStr">
        <is>
          <t>Total</t>
        </is>
      </c>
      <c r="G5" s="9" t="inlineStr">
        <is>
          <t>Atrasadas</t>
        </is>
      </c>
    </row>
    <row r="6">
      <c r="A6" s="28" t="inlineStr">
        <is>
          <t>Clarice</t>
        </is>
      </c>
      <c r="B6" s="29">
        <f>COUNTIFS('Clarice'!$B$6:$B$300,"?*",'Clarice'!$F$6:$F$300,"Não iniciado")</f>
        <v/>
      </c>
      <c r="C6" s="29">
        <f>COUNTIFS('Clarice'!$B$6:$B$300,"?*",'Clarice'!$F$6:$F$300,"Em andamento")</f>
        <v/>
      </c>
      <c r="D6" s="29">
        <f>COUNTIFS('Clarice'!$B$6:$B$300,"?*",'Clarice'!$F$6:$F$300,"Pausado")</f>
        <v/>
      </c>
      <c r="E6" s="29">
        <f>COUNTIFS('Clarice'!$B$6:$B$300,"?*",'Clarice'!$F$6:$F$300,"Concluído")</f>
        <v/>
      </c>
      <c r="F6" s="29">
        <f>COUNTIF('Clarice'!$B$6:$B$300,"?*")</f>
        <v/>
      </c>
      <c r="G6" s="29">
        <f t="array" ref="G6">SUMPRODUCT(('Clarice'!$B$6:$B$300&lt;&gt;"")*('Clarice'!$F$6:$F$300&lt;&gt;"Concluído")*(IF(ISNUMBER('Clarice'!$I$6:$I$300),'Clarice'!$I$6:$I$300,IF(ISNUMBER('Clarice'!$G$6:$G$300),'Clarice'!$G$6:$G$300,99999))&lt;$B$3))</f>
        <v/>
      </c>
    </row>
    <row r="7">
      <c r="A7" s="28" t="inlineStr">
        <is>
          <t>Luisa</t>
        </is>
      </c>
      <c r="B7" s="29">
        <f>COUNTIFS('Luisa'!$B$6:$B$300,"?*",'Luisa'!$F$6:$F$300,"Não iniciado")</f>
        <v/>
      </c>
      <c r="C7" s="29">
        <f>COUNTIFS('Luisa'!$B$6:$B$300,"?*",'Luisa'!$F$6:$F$300,"Em andamento")</f>
        <v/>
      </c>
      <c r="D7" s="29">
        <f>COUNTIFS('Luisa'!$B$6:$B$300,"?*",'Luisa'!$F$6:$F$300,"Pausado")</f>
        <v/>
      </c>
      <c r="E7" s="29">
        <f>COUNTIFS('Luisa'!$B$6:$B$300,"?*",'Luisa'!$F$6:$F$300,"Concluído")</f>
        <v/>
      </c>
      <c r="F7" s="29">
        <f>COUNTIF('Luisa'!$B$6:$B$300,"?*")</f>
        <v/>
      </c>
      <c r="G7" s="29">
        <f t="array" ref="G7">SUMPRODUCT(('Luisa'!$B$6:$B$300&lt;&gt;"")*('Luisa'!$F$6:$F$300&lt;&gt;"Concluído")*(IF(ISNUMBER('Luisa'!$I$6:$I$300),'Luisa'!$I$6:$I$300,IF(ISNUMBER('Luisa'!$G$6:$G$300),'Luisa'!$G$6:$G$300,99999))&lt;$B$3))</f>
        <v/>
      </c>
    </row>
    <row r="8">
      <c r="A8" s="28" t="inlineStr">
        <is>
          <t>Lui</t>
        </is>
      </c>
      <c r="B8" s="29">
        <f>COUNTIFS('Lui'!$B$6:$B$300,"?*",'Lui'!$F$6:$F$300,"Não iniciado")</f>
        <v/>
      </c>
      <c r="C8" s="29">
        <f>COUNTIFS('Lui'!$B$6:$B$300,"?*",'Lui'!$F$6:$F$300,"Em andamento")</f>
        <v/>
      </c>
      <c r="D8" s="29">
        <f>COUNTIFS('Lui'!$B$6:$B$300,"?*",'Lui'!$F$6:$F$300,"Pausado")</f>
        <v/>
      </c>
      <c r="E8" s="29">
        <f>COUNTIFS('Lui'!$B$6:$B$300,"?*",'Lui'!$F$6:$F$300,"Concluído")</f>
        <v/>
      </c>
      <c r="F8" s="29">
        <f>COUNTIF('Lui'!$B$6:$B$300,"?*")</f>
        <v/>
      </c>
      <c r="G8" s="29">
        <f t="array" ref="G8">SUMPRODUCT(('Lui'!$B$6:$B$300&lt;&gt;"")*('Lui'!$F$6:$F$300&lt;&gt;"Concluído")*(IF(ISNUMBER('Lui'!$I$6:$I$300),'Lui'!$I$6:$I$300,IF(ISNUMBER('Lui'!$G$6:$G$300),'Lui'!$G$6:$G$300,99999))&lt;$B$3))</f>
        <v/>
      </c>
    </row>
    <row r="9">
      <c r="A9" s="28" t="inlineStr">
        <is>
          <t>Thaís</t>
        </is>
      </c>
      <c r="B9" s="29">
        <f>COUNTIFS('Thaís'!$B$6:$B$300,"?*",'Thaís'!$F$6:$F$300,"Não iniciado")</f>
        <v/>
      </c>
      <c r="C9" s="29">
        <f>COUNTIFS('Thaís'!$B$6:$B$300,"?*",'Thaís'!$F$6:$F$300,"Em andamento")</f>
        <v/>
      </c>
      <c r="D9" s="29">
        <f>COUNTIFS('Thaís'!$B$6:$B$300,"?*",'Thaís'!$F$6:$F$300,"Pausado")</f>
        <v/>
      </c>
      <c r="E9" s="29">
        <f>COUNTIFS('Thaís'!$B$6:$B$300,"?*",'Thaís'!$F$6:$F$300,"Concluído")</f>
        <v/>
      </c>
      <c r="F9" s="29">
        <f>COUNTIF('Thaís'!$B$6:$B$300,"?*")</f>
        <v/>
      </c>
      <c r="G9" s="29">
        <f t="array" ref="G9">SUMPRODUCT(('Thaís'!$B$6:$B$300&lt;&gt;"")*('Thaís'!$F$6:$F$300&lt;&gt;"Concluído")*(IF(ISNUMBER('Thaís'!$I$6:$I$300),'Thaís'!$I$6:$I$300,IF(ISNUMBER('Thaís'!$G$6:$G$300),'Thaís'!$G$6:$G$300,99999))&lt;$B$3))</f>
        <v/>
      </c>
    </row>
    <row r="10">
      <c r="A10" s="28" t="inlineStr">
        <is>
          <t>Daniel</t>
        </is>
      </c>
      <c r="B10" s="29">
        <f>COUNTIFS('Daniel'!$B$6:$B$300,"?*",'Daniel'!$F$6:$F$300,"Não iniciado")</f>
        <v/>
      </c>
      <c r="C10" s="29">
        <f>COUNTIFS('Daniel'!$B$6:$B$300,"?*",'Daniel'!$F$6:$F$300,"Em andamento")</f>
        <v/>
      </c>
      <c r="D10" s="29">
        <f>COUNTIFS('Daniel'!$B$6:$B$300,"?*",'Daniel'!$F$6:$F$300,"Pausado")</f>
        <v/>
      </c>
      <c r="E10" s="29">
        <f>COUNTIFS('Daniel'!$B$6:$B$300,"?*",'Daniel'!$F$6:$F$300,"Concluído")</f>
        <v/>
      </c>
      <c r="F10" s="29">
        <f>COUNTIF('Daniel'!$B$6:$B$300,"?*")</f>
        <v/>
      </c>
      <c r="G10" s="29">
        <f t="array" ref="G10">SUMPRODUCT(('Daniel'!$B$6:$B$300&lt;&gt;"")*('Daniel'!$F$6:$F$300&lt;&gt;"Concluído")*(IF(ISNUMBER('Daniel'!$I$6:$I$300),'Daniel'!$I$6:$I$300,IF(ISNUMBER('Daniel'!$G$6:$G$300),'Daniel'!$G$6:$G$300,99999))&lt;$B$3))</f>
        <v/>
      </c>
    </row>
    <row r="11">
      <c r="A11" s="28" t="inlineStr">
        <is>
          <t>Fernando</t>
        </is>
      </c>
      <c r="B11" s="29">
        <f>COUNTIFS('Fernando'!$B$6:$B$300,"?*",'Fernando'!$F$6:$F$300,"Não iniciado")</f>
        <v/>
      </c>
      <c r="C11" s="29">
        <f>COUNTIFS('Fernando'!$B$6:$B$300,"?*",'Fernando'!$F$6:$F$300,"Em andamento")</f>
        <v/>
      </c>
      <c r="D11" s="29">
        <f>COUNTIFS('Fernando'!$B$6:$B$300,"?*",'Fernando'!$F$6:$F$300,"Pausado")</f>
        <v/>
      </c>
      <c r="E11" s="29">
        <f>COUNTIFS('Fernando'!$B$6:$B$300,"?*",'Fernando'!$F$6:$F$300,"Concluído")</f>
        <v/>
      </c>
      <c r="F11" s="29">
        <f>COUNTIF('Fernando'!$B$6:$B$300,"?*")</f>
        <v/>
      </c>
      <c r="G11" s="29">
        <f t="array" ref="G11">SUMPRODUCT(('Fernando'!$B$6:$B$300&lt;&gt;"")*('Fernando'!$F$6:$F$300&lt;&gt;"Concluído")*(IF(ISNUMBER('Fernando'!$I$6:$I$300),'Fernando'!$I$6:$I$300,IF(ISNUMBER('Fernando'!$G$6:$G$300),'Fernando'!$G$6:$G$300,99999))&lt;$B$3))</f>
        <v/>
      </c>
    </row>
    <row r="12">
      <c r="A12" s="28" t="inlineStr">
        <is>
          <t>Stephanie</t>
        </is>
      </c>
      <c r="B12" s="29">
        <f>COUNTIFS('Stephanie'!$B$6:$B$300,"?*",'Stephanie'!$F$6:$F$300,"Não iniciado")</f>
        <v/>
      </c>
      <c r="C12" s="29">
        <f>COUNTIFS('Stephanie'!$B$6:$B$300,"?*",'Stephanie'!$F$6:$F$300,"Em andamento")</f>
        <v/>
      </c>
      <c r="D12" s="29">
        <f>COUNTIFS('Stephanie'!$B$6:$B$300,"?*",'Stephanie'!$F$6:$F$300,"Pausado")</f>
        <v/>
      </c>
      <c r="E12" s="29">
        <f>COUNTIFS('Stephanie'!$B$6:$B$300,"?*",'Stephanie'!$F$6:$F$300,"Concluído")</f>
        <v/>
      </c>
      <c r="F12" s="29">
        <f>COUNTIF('Stephanie'!$B$6:$B$300,"?*")</f>
        <v/>
      </c>
      <c r="G12" s="29">
        <f t="array" ref="G12">SUMPRODUCT(('Stephanie'!$B$6:$B$300&lt;&gt;"")*('Stephanie'!$F$6:$F$300&lt;&gt;"Concluído")*(IF(ISNUMBER('Stephanie'!$I$6:$I$300),'Stephanie'!$I$6:$I$300,IF(ISNUMBER('Stephanie'!$G$6:$G$300),'Stephanie'!$G$6:$G$300,99999))&lt;$B$3))</f>
        <v/>
      </c>
    </row>
    <row r="13">
      <c r="A13" s="28" t="inlineStr">
        <is>
          <t>Fox</t>
        </is>
      </c>
      <c r="B13" s="29">
        <f>COUNTIFS('Fox'!$B$6:$B$300,"?*",'Fox'!$F$6:$F$300,"Não iniciado")</f>
        <v/>
      </c>
      <c r="C13" s="29">
        <f>COUNTIFS('Fox'!$B$6:$B$300,"?*",'Fox'!$F$6:$F$300,"Em andamento")</f>
        <v/>
      </c>
      <c r="D13" s="29">
        <f>COUNTIFS('Fox'!$B$6:$B$300,"?*",'Fox'!$F$6:$F$300,"Pausado")</f>
        <v/>
      </c>
      <c r="E13" s="29">
        <f>COUNTIFS('Fox'!$B$6:$B$300,"?*",'Fox'!$F$6:$F$300,"Concluído")</f>
        <v/>
      </c>
      <c r="F13" s="29">
        <f>COUNTIF('Fox'!$B$6:$B$300,"?*")</f>
        <v/>
      </c>
      <c r="G13" s="29">
        <f t="array" ref="G13">SUMPRODUCT(('Fox'!$B$6:$B$300&lt;&gt;"")*('Fox'!$F$6:$F$300&lt;&gt;"Concluído")*(IF(ISNUMBER('Fox'!$I$6:$I$300),'Fox'!$I$6:$I$300,IF(ISNUMBER('Fox'!$G$6:$G$300),'Fox'!$G$6:$G$300,99999))&lt;$B$3))</f>
        <v/>
      </c>
    </row>
    <row r="14">
      <c r="A14" s="28" t="inlineStr">
        <is>
          <t>Bruna</t>
        </is>
      </c>
      <c r="B14" s="29">
        <f>COUNTIFS('Bruna'!$B$6:$B$300,"?*",'Bruna'!$F$6:$F$300,"Não iniciado")</f>
        <v/>
      </c>
      <c r="C14" s="29">
        <f>COUNTIFS('Bruna'!$B$6:$B$300,"?*",'Bruna'!$F$6:$F$300,"Em andamento")</f>
        <v/>
      </c>
      <c r="D14" s="29">
        <f>COUNTIFS('Bruna'!$B$6:$B$300,"?*",'Bruna'!$F$6:$F$300,"Pausado")</f>
        <v/>
      </c>
      <c r="E14" s="29">
        <f>COUNTIFS('Bruna'!$B$6:$B$300,"?*",'Bruna'!$F$6:$F$300,"Concluído")</f>
        <v/>
      </c>
      <c r="F14" s="29">
        <f>COUNTIF('Bruna'!$B$6:$B$300,"?*")</f>
        <v/>
      </c>
      <c r="G14" s="29">
        <f t="array" ref="G14">SUMPRODUCT(('Bruna'!$B$6:$B$300&lt;&gt;"")*('Bruna'!$F$6:$F$300&lt;&gt;"Concluído")*(IF(ISNUMBER('Bruna'!$I$6:$I$300),'Bruna'!$I$6:$I$300,IF(ISNUMBER('Bruna'!$G$6:$G$300),'Bruna'!$G$6:$G$300,99999))&lt;$B$3))</f>
        <v/>
      </c>
    </row>
    <row r="15">
      <c r="A15" s="28" t="inlineStr">
        <is>
          <t>Stella</t>
        </is>
      </c>
      <c r="B15" s="29">
        <f>COUNTIFS('Stella'!$B$6:$B$300,"?*",'Stella'!$F$6:$F$300,"Não iniciado")</f>
        <v/>
      </c>
      <c r="C15" s="29">
        <f>COUNTIFS('Stella'!$B$6:$B$300,"?*",'Stella'!$F$6:$F$300,"Em andamento")</f>
        <v/>
      </c>
      <c r="D15" s="29">
        <f>COUNTIFS('Stella'!$B$6:$B$300,"?*",'Stella'!$F$6:$F$300,"Pausado")</f>
        <v/>
      </c>
      <c r="E15" s="29">
        <f>COUNTIFS('Stella'!$B$6:$B$300,"?*",'Stella'!$F$6:$F$300,"Concluído")</f>
        <v/>
      </c>
      <c r="F15" s="29">
        <f>COUNTIF('Stella'!$B$6:$B$300,"?*")</f>
        <v/>
      </c>
      <c r="G15" s="29">
        <f t="array" ref="G15">SUMPRODUCT(('Stella'!$B$6:$B$300&lt;&gt;"")*('Stella'!$F$6:$F$300&lt;&gt;"Concluído")*(IF(ISNUMBER('Stella'!$I$6:$I$300),'Stella'!$I$6:$I$300,IF(ISNUMBER('Stella'!$G$6:$G$300),'Stella'!$G$6:$G$300,99999))&lt;$B$3))</f>
        <v/>
      </c>
    </row>
    <row r="16">
      <c r="A16" s="28" t="inlineStr">
        <is>
          <t>Igor</t>
        </is>
      </c>
      <c r="B16" s="29">
        <f>COUNTIFS('Igor'!$B$6:$B$300,"?*",'Igor'!$F$6:$F$300,"Não iniciado")</f>
        <v/>
      </c>
      <c r="C16" s="29">
        <f>COUNTIFS('Igor'!$B$6:$B$300,"?*",'Igor'!$F$6:$F$300,"Em andamento")</f>
        <v/>
      </c>
      <c r="D16" s="29">
        <f>COUNTIFS('Igor'!$B$6:$B$300,"?*",'Igor'!$F$6:$F$300,"Pausado")</f>
        <v/>
      </c>
      <c r="E16" s="29">
        <f>COUNTIFS('Igor'!$B$6:$B$300,"?*",'Igor'!$F$6:$F$300,"Concluído")</f>
        <v/>
      </c>
      <c r="F16" s="29">
        <f>COUNTIF('Igor'!$B$6:$B$300,"?*")</f>
        <v/>
      </c>
      <c r="G16" s="29">
        <f t="array" ref="G16">SUMPRODUCT(('Igor'!$B$6:$B$300&lt;&gt;"")*('Igor'!$F$6:$F$300&lt;&gt;"Concluído")*(IF(ISNUMBER('Igor'!$I$6:$I$300),'Igor'!$I$6:$I$300,IF(ISNUMBER('Igor'!$G$6:$G$300),'Igor'!$G$6:$G$300,99999))&lt;$B$3))</f>
        <v/>
      </c>
    </row>
    <row r="17">
      <c r="A17" s="30" t="inlineStr">
        <is>
          <t>Total</t>
        </is>
      </c>
      <c r="B17" s="28">
        <f>SUM(B6:B16)</f>
        <v/>
      </c>
      <c r="C17" s="28">
        <f>SUM(C6:C16)</f>
        <v/>
      </c>
      <c r="D17" s="28">
        <f>SUM(D6:D16)</f>
        <v/>
      </c>
      <c r="E17" s="28">
        <f>SUM(E6:E16)</f>
        <v/>
      </c>
      <c r="F17" s="28">
        <f>SUM(F6:F16)</f>
        <v/>
      </c>
      <c r="G17" s="28">
        <f>SUM(G6:G16)</f>
        <v/>
      </c>
    </row>
    <row r="19">
      <c r="A19" s="31" t="inlineStr">
        <is>
          <t>Atividades da Geral por frente</t>
        </is>
      </c>
    </row>
    <row r="20">
      <c r="A20" s="9" t="inlineStr">
        <is>
          <t>Frente</t>
        </is>
      </c>
      <c r="B20" s="9" t="inlineStr">
        <is>
          <t>Não iniciado</t>
        </is>
      </c>
      <c r="C20" s="9" t="inlineStr">
        <is>
          <t>Em andamento</t>
        </is>
      </c>
      <c r="D20" s="9" t="inlineStr">
        <is>
          <t>Pausado</t>
        </is>
      </c>
      <c r="E20" s="9" t="inlineStr">
        <is>
          <t>Concluído</t>
        </is>
      </c>
      <c r="F20" s="9" t="inlineStr">
        <is>
          <t>Sem status</t>
        </is>
      </c>
      <c r="G20" s="9" t="inlineStr">
        <is>
          <t>Total</t>
        </is>
      </c>
      <c r="H20" s="9" t="inlineStr">
        <is>
          <t>% concluído</t>
        </is>
      </c>
    </row>
    <row r="21">
      <c r="A21" s="32">
        <f>Listas!C4</f>
        <v/>
      </c>
      <c r="B21" s="29">
        <f>COUNTIFS(Geral!$C$7:$C$600,$A21,Geral!$A$7:$A$600,"?*",Geral!$I$7:$I$600,"Não iniciado")</f>
        <v/>
      </c>
      <c r="C21" s="29">
        <f>COUNTIFS(Geral!$C$7:$C$600,$A21,Geral!$A$7:$A$600,"?*",Geral!$I$7:$I$600,"Em andamento")</f>
        <v/>
      </c>
      <c r="D21" s="29">
        <f>COUNTIFS(Geral!$C$7:$C$600,$A21,Geral!$A$7:$A$600,"?*",Geral!$I$7:$I$600,"Pausado")</f>
        <v/>
      </c>
      <c r="E21" s="29">
        <f>COUNTIFS(Geral!$C$7:$C$600,$A21,Geral!$A$7:$A$600,"?*",Geral!$I$7:$I$600,"Concluído")</f>
        <v/>
      </c>
      <c r="F21" s="29">
        <f>COUNTIFS(Geral!$C$7:$C$600,$A21,Geral!$A$7:$A$600,"?*",Geral!$I$7:$I$600,"")</f>
        <v/>
      </c>
      <c r="G21" s="29">
        <f>COUNTIFS(Geral!$C$7:$C$600,$A21,Geral!$A$7:$A$600,"?*")</f>
        <v/>
      </c>
      <c r="H21" s="33">
        <f>IF(G21=0,"",E21/G21)</f>
        <v/>
      </c>
    </row>
    <row r="22">
      <c r="A22" s="32">
        <f>Listas!C5</f>
        <v/>
      </c>
      <c r="B22" s="29">
        <f>COUNTIFS(Geral!$C$7:$C$600,$A22,Geral!$A$7:$A$600,"?*",Geral!$I$7:$I$600,"Não iniciado")</f>
        <v/>
      </c>
      <c r="C22" s="29">
        <f>COUNTIFS(Geral!$C$7:$C$600,$A22,Geral!$A$7:$A$600,"?*",Geral!$I$7:$I$600,"Em andamento")</f>
        <v/>
      </c>
      <c r="D22" s="29">
        <f>COUNTIFS(Geral!$C$7:$C$600,$A22,Geral!$A$7:$A$600,"?*",Geral!$I$7:$I$600,"Pausado")</f>
        <v/>
      </c>
      <c r="E22" s="29">
        <f>COUNTIFS(Geral!$C$7:$C$600,$A22,Geral!$A$7:$A$600,"?*",Geral!$I$7:$I$600,"Concluído")</f>
        <v/>
      </c>
      <c r="F22" s="29">
        <f>COUNTIFS(Geral!$C$7:$C$600,$A22,Geral!$A$7:$A$600,"?*",Geral!$I$7:$I$600,"")</f>
        <v/>
      </c>
      <c r="G22" s="29">
        <f>COUNTIFS(Geral!$C$7:$C$600,$A22,Geral!$A$7:$A$600,"?*")</f>
        <v/>
      </c>
      <c r="H22" s="33">
        <f>IF(G22=0,"",E22/G22)</f>
        <v/>
      </c>
    </row>
    <row r="23">
      <c r="A23" s="32">
        <f>Listas!C6</f>
        <v/>
      </c>
      <c r="B23" s="29">
        <f>COUNTIFS(Geral!$C$7:$C$600,$A23,Geral!$A$7:$A$600,"?*",Geral!$I$7:$I$600,"Não iniciado")</f>
        <v/>
      </c>
      <c r="C23" s="29">
        <f>COUNTIFS(Geral!$C$7:$C$600,$A23,Geral!$A$7:$A$600,"?*",Geral!$I$7:$I$600,"Em andamento")</f>
        <v/>
      </c>
      <c r="D23" s="29">
        <f>COUNTIFS(Geral!$C$7:$C$600,$A23,Geral!$A$7:$A$600,"?*",Geral!$I$7:$I$600,"Pausado")</f>
        <v/>
      </c>
      <c r="E23" s="29">
        <f>COUNTIFS(Geral!$C$7:$C$600,$A23,Geral!$A$7:$A$600,"?*",Geral!$I$7:$I$600,"Concluído")</f>
        <v/>
      </c>
      <c r="F23" s="29">
        <f>COUNTIFS(Geral!$C$7:$C$600,$A23,Geral!$A$7:$A$600,"?*",Geral!$I$7:$I$600,"")</f>
        <v/>
      </c>
      <c r="G23" s="29">
        <f>COUNTIFS(Geral!$C$7:$C$600,$A23,Geral!$A$7:$A$600,"?*")</f>
        <v/>
      </c>
      <c r="H23" s="33">
        <f>IF(G23=0,"",E23/G23)</f>
        <v/>
      </c>
    </row>
    <row r="24">
      <c r="A24" s="32">
        <f>Listas!C7</f>
        <v/>
      </c>
      <c r="B24" s="29">
        <f>COUNTIFS(Geral!$C$7:$C$600,$A24,Geral!$A$7:$A$600,"?*",Geral!$I$7:$I$600,"Não iniciado")</f>
        <v/>
      </c>
      <c r="C24" s="29">
        <f>COUNTIFS(Geral!$C$7:$C$600,$A24,Geral!$A$7:$A$600,"?*",Geral!$I$7:$I$600,"Em andamento")</f>
        <v/>
      </c>
      <c r="D24" s="29">
        <f>COUNTIFS(Geral!$C$7:$C$600,$A24,Geral!$A$7:$A$600,"?*",Geral!$I$7:$I$600,"Pausado")</f>
        <v/>
      </c>
      <c r="E24" s="29">
        <f>COUNTIFS(Geral!$C$7:$C$600,$A24,Geral!$A$7:$A$600,"?*",Geral!$I$7:$I$600,"Concluído")</f>
        <v/>
      </c>
      <c r="F24" s="29">
        <f>COUNTIFS(Geral!$C$7:$C$600,$A24,Geral!$A$7:$A$600,"?*",Geral!$I$7:$I$600,"")</f>
        <v/>
      </c>
      <c r="G24" s="29">
        <f>COUNTIFS(Geral!$C$7:$C$600,$A24,Geral!$A$7:$A$600,"?*")</f>
        <v/>
      </c>
      <c r="H24" s="33">
        <f>IF(G24=0,"",E24/G24)</f>
        <v/>
      </c>
    </row>
    <row r="25">
      <c r="A25" s="32">
        <f>Listas!C8</f>
        <v/>
      </c>
      <c r="B25" s="29">
        <f>COUNTIFS(Geral!$C$7:$C$600,$A25,Geral!$A$7:$A$600,"?*",Geral!$I$7:$I$600,"Não iniciado")</f>
        <v/>
      </c>
      <c r="C25" s="29">
        <f>COUNTIFS(Geral!$C$7:$C$600,$A25,Geral!$A$7:$A$600,"?*",Geral!$I$7:$I$600,"Em andamento")</f>
        <v/>
      </c>
      <c r="D25" s="29">
        <f>COUNTIFS(Geral!$C$7:$C$600,$A25,Geral!$A$7:$A$600,"?*",Geral!$I$7:$I$600,"Pausado")</f>
        <v/>
      </c>
      <c r="E25" s="29">
        <f>COUNTIFS(Geral!$C$7:$C$600,$A25,Geral!$A$7:$A$600,"?*",Geral!$I$7:$I$600,"Concluído")</f>
        <v/>
      </c>
      <c r="F25" s="29">
        <f>COUNTIFS(Geral!$C$7:$C$600,$A25,Geral!$A$7:$A$600,"?*",Geral!$I$7:$I$600,"")</f>
        <v/>
      </c>
      <c r="G25" s="29">
        <f>COUNTIFS(Geral!$C$7:$C$600,$A25,Geral!$A$7:$A$600,"?*")</f>
        <v/>
      </c>
      <c r="H25" s="33">
        <f>IF(G25=0,"",E25/G25)</f>
        <v/>
      </c>
    </row>
    <row r="26">
      <c r="A26" s="32">
        <f>Listas!C9</f>
        <v/>
      </c>
      <c r="B26" s="29">
        <f>COUNTIFS(Geral!$C$7:$C$600,$A26,Geral!$A$7:$A$600,"?*",Geral!$I$7:$I$600,"Não iniciado")</f>
        <v/>
      </c>
      <c r="C26" s="29">
        <f>COUNTIFS(Geral!$C$7:$C$600,$A26,Geral!$A$7:$A$600,"?*",Geral!$I$7:$I$600,"Em andamento")</f>
        <v/>
      </c>
      <c r="D26" s="29">
        <f>COUNTIFS(Geral!$C$7:$C$600,$A26,Geral!$A$7:$A$600,"?*",Geral!$I$7:$I$600,"Pausado")</f>
        <v/>
      </c>
      <c r="E26" s="29">
        <f>COUNTIFS(Geral!$C$7:$C$600,$A26,Geral!$A$7:$A$600,"?*",Geral!$I$7:$I$600,"Concluído")</f>
        <v/>
      </c>
      <c r="F26" s="29">
        <f>COUNTIFS(Geral!$C$7:$C$600,$A26,Geral!$A$7:$A$600,"?*",Geral!$I$7:$I$600,"")</f>
        <v/>
      </c>
      <c r="G26" s="29">
        <f>COUNTIFS(Geral!$C$7:$C$600,$A26,Geral!$A$7:$A$600,"?*")</f>
        <v/>
      </c>
      <c r="H26" s="33">
        <f>IF(G26=0,"",E26/G26)</f>
        <v/>
      </c>
    </row>
  </sheetData>
  <conditionalFormatting sqref="G6:G16">
    <cfRule type="expression" priority="1" dxfId="6">
      <formula>G6&gt;0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Clarice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ART-006 · Revisão pela equipe interna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ART-008 · Revisar possibibilidade de inclusao de métricas de função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ART-016 · Incorporar os ajustes da Petrobras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Em andamento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EC-002 · Definir as espécies internamente (UTGCA)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EC-004 · Procurar os dados das espécies na literatura (UTGCA)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EC-005 · Definir os buffers e as áreas de estudo (UTGCA)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Concluído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EC-006 · Definir os rasters de uso da terra e shapes de fragmentos para os cenários avaliados (UTGCA)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EC-007 · Rodar as análises no R (UTGCA)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Concluído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EC-008 · Apresentar e consolidar os resultados internamente (UTGCA)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EC-009 · Apresentar os resultados para a Petrobras (UTGCA)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Concluído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EC-011 · Fazer os ajustes necessários (UTGCA) - cenário de impacto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Concluído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EC-012 · Definir as espécies internamente (Boaventura)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Concluído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EC-013 · Validar as espécies com a Petrobras (Boaventura e GR3)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Concluído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EC-014 · Pesquisar dados ecológicos das espécies na literatura (Boaventura e GR3)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Em andamento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EC-015 · Validação das decisões sobre as espécies por especialistas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Em andamento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EC-016 · Definir as camadas e dados espaciais para aplicação da métrica (Boaventura e GR3)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Em andamento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EC-018 · Preparar os dados espaciais (rasters e shape) para os cenários a serem avaliados (Boaventura e GR3)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Não iniciado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EC-019 · Rodar as análises no R (Boaventura e GR3)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Não iniciado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EC-020 · Consolidar os resultados e apresentar internamente (Boaventura e GR3)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Não iniciado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EC-021 · Apresentar os resultados para a Petrobras (Boaventura e GR3)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EC-022 · Fazer os ajustes necessários (Boaventura e GR3)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Não iniciado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EC-023 · Definir as espécies internamente (GR3)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Concluído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EC-024 · Validar as espécies com a Petrobras (GR3)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Em andamento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EC-025 · Procurar os dados das espécies na literatura (GR3)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Não iniciado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EC-026 · Definir os buffers e as áreas de estudo (GR3)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Não iniciado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EC-027 · Definir os rasters de uso da terra e shapes de fragmentos para os cenários avaliados (GR3)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Não iniciado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EC-028 · Rodar as análises no R (GR3)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Não iniciado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EC-029 · Apresentar e consolidar os resultados internamente (GR3)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Não iniciado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EC-030 · Apresentar os resultados para a Petrobras (GR3)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Não iniciado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EC-031 · Fazer os ajustes necessários (GR3)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Não iniciado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DM-001 · Elaboração da metodologia de aplicação da métrica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Em andamento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DM-003 · Compreender o histórico da unidade (UTGCA)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Concluído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DM-005 · Solicitar dados faltantes para Petrobras (UTGCA)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Concluído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DM-010 · Definir a estratégia de aplicação - flora (UTGCA)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Concluído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DM-011 · Avaliar disponibilidade de informação temporal e espacial para aplicação da métrica - flora (UTGCA)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Concluído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DM-012 · Definir tipo, componente e atributos - flora (UTGCA)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Concluído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DM-013 · Definir os dados usados para cálculo de perdas e ganhos - flora (UTGCA)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Concluído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DM-014 · Definir parâmetros e fatores de ajuste - flora (UTGCA)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Concluído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DM-017 · Apresentar e consolidar os resultados internamente - flora (UTGCA)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Concluído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DM-019 · Definir a estratégia de aplicação por táxon - fauna (UTGCA)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Em andamento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DM-020 · Avaliar disponibilidade de informação temporal e espacial para aplicação da métrica por táxon - fauna (UTGCA)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Em andamento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DM-021 · Definir tipo, componente e atributos por táxon - fauna (UTGCA)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Não iniciado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DM-022 · Definir os dados usados para cálculo de perdas e ganhos por táxon - fauna (UTGCA)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Em andamento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DM-023 · Definir parâmetros e fatores de ajuste por táxon - fauna (UTGCA)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Em andamento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inlineStr">
        <is>
          <t>DM-026 · Apresentar e consolidar os resultados internamente por táxon - fauna (UTGCA)</t>
        </is>
      </c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inlineStr">
        <is>
          <t>Não iniciado</t>
        </is>
      </c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inlineStr">
        <is>
          <t>DM-028 · Apresentar os resultados para a Petrobras (UTGCA)</t>
        </is>
      </c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inlineStr">
        <is>
          <t>Não iniciado</t>
        </is>
      </c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inlineStr">
        <is>
          <t>DM-029 · Fazer os ajustes necessários (UTGCA)</t>
        </is>
      </c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inlineStr">
        <is>
          <t>Não iniciado</t>
        </is>
      </c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inlineStr">
        <is>
          <t>DM-047 · Definir a estratégia de aplicação - fauna terrestre (Boaventura)</t>
        </is>
      </c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inlineStr">
        <is>
          <t>Não iniciado</t>
        </is>
      </c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inlineStr">
        <is>
          <t>DM-048 · Avaliar disponibilidade de informação temporal e espacial para aplicação da métrica - fauna terrestre (Boaventura)</t>
        </is>
      </c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inlineStr">
        <is>
          <t>Não iniciado</t>
        </is>
      </c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inlineStr">
        <is>
          <t>DM-049 · Definir tipo, componente e atributos - fauna terrestre (Boaventura)</t>
        </is>
      </c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inlineStr">
        <is>
          <t>Não iniciado</t>
        </is>
      </c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inlineStr">
        <is>
          <t>DM-050 · Definir os dados usados para cálculo de perdas e ganhos - fauna terrestre (Boaventura)</t>
        </is>
      </c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inlineStr">
        <is>
          <t>Não iniciado</t>
        </is>
      </c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inlineStr">
        <is>
          <t>DM-051 · Definir parâmetros e fatores de ajuste - fauna terrestre (Boaventura)</t>
        </is>
      </c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inlineStr">
        <is>
          <t>Não iniciado</t>
        </is>
      </c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inlineStr">
        <is>
          <t>DM-052 · Estruturação dos cálculos no excel - fauna terrestre (Boaventura)</t>
        </is>
      </c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inlineStr">
        <is>
          <t>Não iniciado</t>
        </is>
      </c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inlineStr">
        <is>
          <t>DM-053 · Rodar a métrica - fauna terrestre (Boaventura)</t>
        </is>
      </c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inlineStr">
        <is>
          <t>Não iniciado</t>
        </is>
      </c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inlineStr">
        <is>
          <t>DM-054 · Apresentar e consolidar os resultados internamente - fauna terrestre (Boaventura)</t>
        </is>
      </c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inlineStr">
        <is>
          <t>Não iniciado</t>
        </is>
      </c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inlineStr">
        <is>
          <t>DM-055 · Identificar lacunas de dados para recomendar para a Petrobras - fauna terrestre (Boaventura)</t>
        </is>
      </c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inlineStr">
        <is>
          <t>Não iniciado</t>
        </is>
      </c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inlineStr">
        <is>
          <t>DM-074 · Definir a estratégia de aplicação - flora (GR3)</t>
        </is>
      </c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inlineStr">
        <is>
          <t>Não iniciado</t>
        </is>
      </c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inlineStr">
        <is>
          <t>DM-075 · Avaliar disponibilidade de informação temporal e espacial para aplicação da métrica - flora (GR3)</t>
        </is>
      </c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inlineStr">
        <is>
          <t>Não iniciado</t>
        </is>
      </c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inlineStr">
        <is>
          <t>DM-076 · Definir tipo, componente e atributos - flora (GR3)</t>
        </is>
      </c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inlineStr">
        <is>
          <t>Não iniciado</t>
        </is>
      </c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inlineStr">
        <is>
          <t>DM-077 · Definir quais dados serão usados para cálcular perdas e ganhos - flora (GR3)</t>
        </is>
      </c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inlineStr">
        <is>
          <t>Não iniciado</t>
        </is>
      </c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inlineStr">
        <is>
          <t>DM-078 · Definir parâmetros e fatores de ajuste - flora (GR3)</t>
        </is>
      </c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inlineStr">
        <is>
          <t>Não iniciado</t>
        </is>
      </c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inlineStr">
        <is>
          <t>DM-079 · Estruturação dos cálculos no excel - flora (GR3)</t>
        </is>
      </c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inlineStr">
        <is>
          <t>Não iniciado</t>
        </is>
      </c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inlineStr">
        <is>
          <t>DM-081 · Apresentar e consolidar os resultados internamente - flora (GR3)</t>
        </is>
      </c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inlineStr">
        <is>
          <t>Não iniciado</t>
        </is>
      </c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inlineStr">
        <is>
          <t>DM-082 · Identificar lacunas de dados para recomendar para a Petrobras - flora (GR3)</t>
        </is>
      </c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inlineStr">
        <is>
          <t>Não iniciado</t>
        </is>
      </c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inlineStr">
        <is>
          <t>DM-083 · Definir a estratégia de aplicação - fauna (GR3)</t>
        </is>
      </c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inlineStr">
        <is>
          <t>Não iniciado</t>
        </is>
      </c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inlineStr">
        <is>
          <t>DM-084 · Avaliar disponibilidade de informação temporal e espacial para aplicação da métrica - fauna (GR3)</t>
        </is>
      </c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inlineStr">
        <is>
          <t>Não iniciado</t>
        </is>
      </c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inlineStr">
        <is>
          <t>DM-085 · Definir tipo, componente e atributos - fauna (GR3)</t>
        </is>
      </c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inlineStr">
        <is>
          <t>Não iniciado</t>
        </is>
      </c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inlineStr">
        <is>
          <t>DM-086 · Definir quais dados serão usados para cálcular perdas e ganhos - fauna (GR3)</t>
        </is>
      </c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inlineStr">
        <is>
          <t>Não iniciado</t>
        </is>
      </c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inlineStr">
        <is>
          <t>DM-087 · Definir parâmetros e fatores de ajuste - fauna (GR3)</t>
        </is>
      </c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inlineStr">
        <is>
          <t>Não iniciado</t>
        </is>
      </c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inlineStr">
        <is>
          <t>DM-088 · Estruturação dos cálculos no excel - fauna (GR3)</t>
        </is>
      </c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inlineStr">
        <is>
          <t>Não iniciado</t>
        </is>
      </c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inlineStr">
        <is>
          <t>DM-090 · Apresentar e consolidar os resultados internamente - fauna (GR3)</t>
        </is>
      </c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inlineStr">
        <is>
          <t>Não iniciado</t>
        </is>
      </c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inlineStr">
        <is>
          <t>DM-091 · Identificar lacunas de dados para recomendar para a Petrobras - fauna (GR3)</t>
        </is>
      </c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inlineStr">
        <is>
          <t>Não iniciado</t>
        </is>
      </c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inlineStr">
        <is>
          <t>DM-092 · Definir a estratégia de aplicação - fauna aquática (GR3)</t>
        </is>
      </c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inlineStr">
        <is>
          <t>Pausado</t>
        </is>
      </c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inlineStr">
        <is>
          <t>DM-093 · Avaliar disponibilidade de informação temporal e espacial para aplicação da métrica - fauna aquática (GR3)</t>
        </is>
      </c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inlineStr">
        <is>
          <t>Pausado</t>
        </is>
      </c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inlineStr">
        <is>
          <t>DM-094 · Definir tipo, componente e atributos - fauna aquática  (GR3)</t>
        </is>
      </c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inlineStr">
        <is>
          <t>Pausado</t>
        </is>
      </c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inlineStr">
        <is>
          <t>DM-095 · Definir dados serão usados para cálcular perdas e ganhos - fauna aquática (GR3)</t>
        </is>
      </c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inlineStr">
        <is>
          <t>Pausado</t>
        </is>
      </c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inlineStr">
        <is>
          <t>DM-096 · Definir parâmetros e fatores de ajuste - fauna aquática (GR3)</t>
        </is>
      </c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inlineStr">
        <is>
          <t>Pausado</t>
        </is>
      </c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inlineStr">
        <is>
          <t>DM-097 · Estruturação dos cálculos no excel - fauna aquática (GR3)</t>
        </is>
      </c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inlineStr">
        <is>
          <t>Pausado</t>
        </is>
      </c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inlineStr">
        <is>
          <t>DM-099 · Apresentar e consolidar os resultados internamente - fauna aquática (GR3)</t>
        </is>
      </c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inlineStr">
        <is>
          <t>Pausado</t>
        </is>
      </c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inlineStr">
        <is>
          <t>DM-100 · Identificar lacunas de dados para recomendar para a Petrobras - fauna aquática (GR3)</t>
        </is>
      </c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inlineStr">
        <is>
          <t>Pausado</t>
        </is>
      </c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inlineStr">
        <is>
          <t>SBM-004 · Mapa dos habitats</t>
        </is>
      </c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inlineStr">
        <is>
          <t>Concluído</t>
        </is>
      </c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inlineStr">
        <is>
          <t>SBM-005 · Definir a estratégia de aplicação - distinção</t>
        </is>
      </c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inlineStr">
        <is>
          <t>Concluído</t>
        </is>
      </c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inlineStr">
        <is>
          <t>SBM-006 · Adaptar o parâmetro (ex. construir a tabela) - distinção</t>
        </is>
      </c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inlineStr">
        <is>
          <t>Em andamento</t>
        </is>
      </c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inlineStr">
        <is>
          <t>SBM-007 · Definir a estratégia de aplicação - condição</t>
        </is>
      </c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inlineStr">
        <is>
          <t>Concluído</t>
        </is>
      </c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inlineStr">
        <is>
          <t>SBM-008 · Adaptar o parâmetro (ex. construir a tabela) - condição</t>
        </is>
      </c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inlineStr">
        <is>
          <t>Em andamento</t>
        </is>
      </c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inlineStr">
        <is>
          <t>SBM-009 · Adaptar o parâmetro com foco em restinga - condição</t>
        </is>
      </c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inlineStr">
        <is>
          <t>Não iniciado</t>
        </is>
      </c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inlineStr">
        <is>
          <t>SBM-010 · Definir a estratégia de aplicação - valor estratégico</t>
        </is>
      </c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inlineStr">
        <is>
          <t>Concluído</t>
        </is>
      </c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inlineStr">
        <is>
          <t>SBM-011 · Adaptar o parâmetro (ex. construir a tabela) - valor estratégico</t>
        </is>
      </c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inlineStr">
        <is>
          <t>Não iniciado</t>
        </is>
      </c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inlineStr">
        <is>
          <t>SBM-012 · Realizar alinhamento com a Mineral - hábitats críticos (Valor Estratégico)</t>
        </is>
      </c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inlineStr">
        <is>
          <t>Em andamento</t>
        </is>
      </c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inlineStr">
        <is>
          <t>SBM-013 · Definir a estratégia de aplicação - fatores de ajuste</t>
        </is>
      </c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inlineStr">
        <is>
          <t>Pausado</t>
        </is>
      </c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inlineStr">
        <is>
          <t>SBM-014 · Definir a estratégia de aplicação da métrica (Excel ou R)</t>
        </is>
      </c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inlineStr">
        <is>
          <t>Concluído</t>
        </is>
      </c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inlineStr">
        <is>
          <t>SBM-015 · Considerar a proposta pontuações maiores para os parâmetros</t>
        </is>
      </c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inlineStr">
        <is>
          <t>Em andamento</t>
        </is>
      </c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inlineStr">
        <is>
          <t>SBM-016 · Apresentar proposta consolidada internamente</t>
        </is>
      </c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inlineStr">
        <is>
          <t>Não iniciado</t>
        </is>
      </c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inlineStr">
        <is>
          <t>SBM-017 · Apresentar proposta para a Petrobras</t>
        </is>
      </c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inlineStr">
        <is>
          <t>Não iniciado</t>
        </is>
      </c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inlineStr">
        <is>
          <t>SBM-018 · Realizar ajustes necessários</t>
        </is>
      </c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inlineStr">
        <is>
          <t>Não iniciado</t>
        </is>
      </c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inlineStr">
        <is>
          <t>SBM-028 · Realizar as atividades pré-campo</t>
        </is>
      </c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inlineStr">
        <is>
          <t>Em andamento</t>
        </is>
      </c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inlineStr">
        <is>
          <t>P3-016 · Finalização e padronização dos anexos e dos metadados</t>
        </is>
      </c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inlineStr">
        <is>
          <t>Em andamento</t>
        </is>
      </c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Luisa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ART-003 · Escrever a versão preliminar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ART-004 · Preparar tabelas e figuras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ART-005 · Preparar material suplementar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ART-016 · Incorporar os ajustes da Petrobras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Em andamento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EC-002 · Definir as espécies internamente (UTGCA)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EC-004 · Procurar os dados das espécies na literatura (UTGCA)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Concluído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EC-005 · Definir os buffers e as áreas de estudo (UTGCA)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EC-008 · Apresentar e consolidar os resultados internamente (UTGCA)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Concluído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EC-009 · Apresentar os resultados para a Petrobras (UTGCA)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EC-012 · Definir as espécies internamente (Boaventura)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Concluído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EC-014 · Pesquisar dados ecológicos das espécies na literatura (Boaventura e GR3)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Em andamento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EC-016 · Definir as camadas e dados espaciais para aplicação da métrica (Boaventura e GR3)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Em andamento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EC-020 · Consolidar os resultados e apresentar internamente (Boaventura e GR3)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Não iniciado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EC-021 · Apresentar os resultados para a Petrobras (Boaventura e GR3)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Não iniciado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EC-023 · Definir as espécies internamente (GR3)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Concluído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EC-025 · Procurar os dados das espécies na literatura (GR3)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Não iniciado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EC-026 · Definir os buffers e as áreas de estudo (GR3)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Não iniciado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EC-029 · Apresentar e consolidar os resultados internamente (GR3)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Não iniciado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EC-030 · Apresentar os resultados para a Petrobras (GR3)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Não iniciado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DM-008 · Corrigir a avaliação taxonômica - cf aff e sp. (UTGCA)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Concluído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DM-009 · Separação de táxons por aba (UTGCA)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Concluído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DM-010 · Definir a estratégia de aplicação - flora (UTGCA)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Concluído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DM-011 · Avaliar disponibilidade de informação temporal e espacial para aplicação da métrica - flora (UTGCA)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Concluído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DM-019 · Definir a estratégia de aplicação por táxon - fauna (UTGCA)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Em andamento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DM-020 · Avaliar disponibilidade de informação temporal e espacial para aplicação da métrica por táxon - fauna (UTGCA)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Em andamento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DM-036 · Corrigir a avaliação taxonômica - cf aff e sp. (Boaventura)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Concluído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SBM-001 · Reler os documentos associados à métrica (ex. relatório da SBM, adaptação da Mineral, slide Petrobras, tabelas da Etapa 1)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Concluído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SBM-002 · Ler o material da Ramboll da ABM e GBM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Concluído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SBM-003 · Procurar material de apoio para aplicação da métrica (ex. áreas protegidas, ecorregião, mapa da Clarice, base de dados da IUCN)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Concluído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SBM-005 · Definir a estratégia de aplicação - distinção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Concluído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SBM-006 · Adaptar o parâmetro (ex. construir a tabela) - distinção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Em andamento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SBM-007 · Definir a estratégia de aplicação - condição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Concluído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SBM-008 · Adaptar o parâmetro (ex. construir a tabela) - condição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Em andamento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SBM-010 · Definir a estratégia de aplicação - valor estratégico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Concluído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SBM-011 · Adaptar o parâmetro (ex. construir a tabela) - valor estratégico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Não iniciado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SBM-012 · Realizar alinhamento com a Mineral - hábitats críticos (Valor Estratégico)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Em andamento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SBM-013 · Definir a estratégia de aplicação - fatores de ajuste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Pausado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SBM-014 · Definir a estratégia de aplicação da métrica (Excel ou R)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Concluído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SBM-015 · Considerar a proposta pontuações maiores para os parâmetros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Em andamento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SBM-016 · Apresentar proposta consolidada internamente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Não iniciado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SBM-017 · Apresentar proposta para a Petrobras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Não iniciado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SBM-018 · Realizar ajustes necessários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Não iniciado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SBM-019 · Fazer script no R para aplicação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Não iniciado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SBM-020 · Delimitar os dados úteis para a aplicação (UTGCA)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Em andamento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inlineStr">
        <is>
          <t>SBM-021 · Preparar os dados para aplicação (UTGCA)</t>
        </is>
      </c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inlineStr">
        <is>
          <t>Não iniciado</t>
        </is>
      </c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inlineStr">
        <is>
          <t>SBM-022 · Calcular o parâmetro - condição (UTGCA)</t>
        </is>
      </c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inlineStr">
        <is>
          <t>Não iniciado</t>
        </is>
      </c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inlineStr">
        <is>
          <t>SBM-023 · Calcular o parâmetro - valor estratégico</t>
        </is>
      </c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inlineStr">
        <is>
          <t>Não iniciado</t>
        </is>
      </c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inlineStr">
        <is>
          <t>SBM-024 · Estruturar as fórmulas no excel ou script no R para aplicação</t>
        </is>
      </c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inlineStr">
        <is>
          <t>Não iniciado</t>
        </is>
      </c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inlineStr">
        <is>
          <t>SBM-025 · Rodar a métrica</t>
        </is>
      </c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inlineStr">
        <is>
          <t>Não iniciado</t>
        </is>
      </c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inlineStr">
        <is>
          <t>SBM-026 · Apresentar e consolidar os resultados internamente</t>
        </is>
      </c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inlineStr">
        <is>
          <t>Não iniciado</t>
        </is>
      </c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inlineStr">
        <is>
          <t>SBM-027 · Identificar lacunas de dados para recomendar para a Petrobras</t>
        </is>
      </c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inlineStr">
        <is>
          <t>Em andamento</t>
        </is>
      </c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inlineStr">
        <is>
          <t>SBM-028 · Realizar as atividades pré-campo</t>
        </is>
      </c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inlineStr">
        <is>
          <t>Em andamento</t>
        </is>
      </c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inlineStr">
        <is>
          <t>SBM-029 · Realizar o campo</t>
        </is>
      </c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inlineStr">
        <is>
          <t>Não iniciado</t>
        </is>
      </c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inlineStr">
        <is>
          <t>SBM-030 · Realizar as atividade pós-campo</t>
        </is>
      </c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inlineStr">
        <is>
          <t>Não iniciado</t>
        </is>
      </c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inlineStr">
        <is>
          <t>SBM-031 · Delimitar os dados úteis para a aplicação (UTGCA)</t>
        </is>
      </c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inlineStr">
        <is>
          <t>Não iniciado</t>
        </is>
      </c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inlineStr">
        <is>
          <t>SBM-032 · Preparar os dados para aplicação (UTGCA)</t>
        </is>
      </c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inlineStr">
        <is>
          <t>Não iniciado</t>
        </is>
      </c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inlineStr">
        <is>
          <t>SBM-033 · Calcular o parâmetro - condição (UTGCA)</t>
        </is>
      </c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inlineStr">
        <is>
          <t>Não iniciado</t>
        </is>
      </c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inlineStr">
        <is>
          <t>SBM-034 · Calcular o parâmetro - valor estratégico</t>
        </is>
      </c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inlineStr">
        <is>
          <t>Não iniciado</t>
        </is>
      </c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inlineStr">
        <is>
          <t>SBM-035 · Estruturar as fórmulas no excel ou script no R para aplicação</t>
        </is>
      </c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inlineStr">
        <is>
          <t>Não iniciado</t>
        </is>
      </c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inlineStr">
        <is>
          <t>SBM-036 · Rodar a métrica</t>
        </is>
      </c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inlineStr">
        <is>
          <t>Não iniciado</t>
        </is>
      </c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inlineStr">
        <is>
          <t>SBM-037 · Apresentar e consolidar os resultados internamente</t>
        </is>
      </c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inlineStr">
        <is>
          <t>Não iniciado</t>
        </is>
      </c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inlineStr">
        <is>
          <t>SBM-038 · Identificar lacunas de dados para recomendar para a Petrobras</t>
        </is>
      </c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inlineStr">
        <is>
          <t>Não iniciado</t>
        </is>
      </c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inlineStr">
        <is>
          <t>SBM-042 · Delimitar os dados úteis para a aplicação (UTGCA)</t>
        </is>
      </c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inlineStr">
        <is>
          <t>Não iniciado</t>
        </is>
      </c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inlineStr">
        <is>
          <t>SBM-043 · Preparar os dados para aplicação (UTGCA)</t>
        </is>
      </c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inlineStr">
        <is>
          <t>Não iniciado</t>
        </is>
      </c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inlineStr">
        <is>
          <t>SBM-044 · Calcular o parâmetro - distinção (UTGCA)</t>
        </is>
      </c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inlineStr">
        <is>
          <t>Não iniciado</t>
        </is>
      </c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inlineStr">
        <is>
          <t>SBM-045 · Calcular o parâmetro - condição (UTGCA)</t>
        </is>
      </c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inlineStr">
        <is>
          <t>Não iniciado</t>
        </is>
      </c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inlineStr">
        <is>
          <t>SBM-046 · Calcular o parâmetro - valor estratégico</t>
        </is>
      </c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inlineStr">
        <is>
          <t>Não iniciado</t>
        </is>
      </c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inlineStr">
        <is>
          <t>SBM-047 · Calcular o parâmetro - fatores de ajuste</t>
        </is>
      </c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inlineStr">
        <is>
          <t>Não iniciado</t>
        </is>
      </c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inlineStr">
        <is>
          <t>SBM-048 · Estruturar as fórmulas no excel ou script no R para aplicação</t>
        </is>
      </c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inlineStr">
        <is>
          <t>Não iniciado</t>
        </is>
      </c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inlineStr">
        <is>
          <t>SBM-049 · Rodar a métrica</t>
        </is>
      </c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inlineStr">
        <is>
          <t>Não iniciado</t>
        </is>
      </c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inlineStr">
        <is>
          <t>SBM-050 · Apresentar e consolidar os resultados internamente</t>
        </is>
      </c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inlineStr">
        <is>
          <t>Não iniciado</t>
        </is>
      </c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inlineStr">
        <is>
          <t>SBM-051 · Identificar lacunas de dados para recomendar para a Petrobras</t>
        </is>
      </c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inlineStr">
        <is>
          <t>Em andamento</t>
        </is>
      </c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inlineStr">
        <is>
          <t>SBM-052 · Apresentar os resultados para a Petrobras</t>
        </is>
      </c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inlineStr">
        <is>
          <t>Não iniciado</t>
        </is>
      </c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inlineStr">
        <is>
          <t>SBM-053 · Fazer os ajustes necessários</t>
        </is>
      </c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inlineStr">
        <is>
          <t>Não iniciado</t>
        </is>
      </c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Lui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DM-001 · Elaboração da metodologia de aplicação da métrica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Em andamento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DM-030 · Extrair dados primários (Boaventura)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DM-031 · Compreender o histórico da unidade (Boaventura)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DM-032 · Extração e espacialização dos pontos de coleta dos dados (Boaventura)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DM-033 · Solicitar dados faltantes para Petrobras (Boaventura)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DM-035 · Sistematizar os novos dados (Boaventura)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Concluído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DM-037 · Separação de táxons por aba (Boaventura)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DM-038 · Definir a estratégia de aplicação - flora (Boaventura)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Concluído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DM-039 · Avaliar disponibilidade de informação temporal e espacial para aplicação da métrica - flora (Boaventura)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DM-040 · Definir tipo, componente e atributos - flora (Boaventura)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Em andamento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DM-041 · Definir os dados usados para cálculo de perdas e ganhos - flora (Boaventura)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Em andamento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DM-042 · Definir parâmetros e fatores de ajuste - flora (Boaventura)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Em andamento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DM-043 · Estruturação dos cálculos no excel - flora (Boaventura)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Não iniciado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DM-044 · Rodar a métrica - flora (Boaventura)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Não iniciado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DM-045 · Apresentar e consolidar os resultados internamente - flora (Boaventura)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Não iniciado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DM-046 · Identificar lacunas de dados para recomendar para a Petrobras - flora (Boaventura)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Não iniciado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DM-047 · Definir a estratégia de aplicação - fauna terrestre (Boaventura)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Não iniciado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DM-048 · Avaliar disponibilidade de informação temporal e espacial para aplicação da métrica - fauna terrestre (Boaventura)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Não iniciado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DM-049 · Definir tipo, componente e atributos - fauna terrestre (Boaventura)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Não iniciado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DM-050 · Definir os dados usados para cálculo de perdas e ganhos - fauna terrestre (Boaventura)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DM-051 · Definir parâmetros e fatores de ajuste - fauna terrestre (Boaventura)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Não iniciado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DM-052 · Estruturação dos cálculos no excel - fauna terrestre (Boaventura)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Não iniciado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DM-053 · Rodar a métrica - fauna terrestre (Boaventura)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Não iniciado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DM-054 · Apresentar e consolidar os resultados internamente - fauna terrestre (Boaventura)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Não iniciado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DM-055 · Identificar lacunas de dados para recomendar para a Petrobras - fauna terrestre (Boaventura)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Não iniciado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DM-056 · Definir a estratégia de aplicação - fauna aquática (Boaventura)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Pausado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DM-057 · Avaliar disponibilidade de informação temporal e espacial para aplicação da métrica - fauna aquática (Boaventura)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Pausado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DM-058 · Definir tipo, componente e atributos - fauna aquática  (Boaventura)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Pausado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DM-059 · Definir os dados usados para cálculo de perdas e ganhos - fauna aquática (Boaventura)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Pausado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DM-060 · Definir parâmetros e fatores de ajuste - fauna aquática (Boaventura)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Pausado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DM-061 · Estruturação dos cálculos no excel - fauna aquática (Boaventura)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Pausado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DM-062 · Rodar a métrica - fauna aquática  (Boaventura)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Pausado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DM-063 · Apresentar e consolidar os resultados internamente - fauna aquática  (Boaventura)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Pausado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DM-064 · Identificar lacunas de dados para recomendar para a Petrobras - fauna aquática (Boaventura)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Pausado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DM-065 · Apresentar os resultados para a Petrobras (Boaventura)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Pausado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DM-066 · Fazer os ajustes necessários (Boaventura)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Pausado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DM-072 · Sistematizar os novos dados (GR3)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Concluído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SBM-031 · Delimitar os dados úteis para a aplicação (UTGCA)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Não iniciado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SBM-032 · Preparar os dados para aplicação (UTGCA)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Não iniciado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P3-001 · Sistematizar dados de biodiversidade para as 3 unidades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Em andamento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P3-008 · Preparar as tabelas dos dados sistematizados (Boaventura e UTGCA)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Concluído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P3-010 · Escrever texto da unidade (ex. histórico da unidade, dados disponíveis da unidade, relação entre dados e as 3 métricas) (Boaventura)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Concluído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P3-013 · Revisão do texto da unidade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Não iniciado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P3-016 · Finalização e padronização dos anexos e dos metadados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Em andamento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n"/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n"/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Thaís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ART-004 · Preparar tabelas e figuras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ART-006 · Revisão pela equipe interna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ART-008 · Revisar possibibilidade de inclusao de métricas de função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ART-010 · Formatar artigo para a revista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ART-012 · Incorporar os ajustes da Bruna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ART-016 · Incorporar os ajustes da Petrobras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Em andamento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EC-005 · Definir os buffers e as áreas de estudo (UTGCA)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EC-006 · Definir os rasters de uso da terra e shapes de fragmentos para os cenários avaliados (UTGCA)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Concluído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EC-007 · Rodar as análises no R (UTGCA)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EC-008 · Apresentar e consolidar os resultados internamente (UTGCA)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Concluído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EC-011 · Fazer os ajustes necessários (UTGCA) - cenário de impacto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Concluído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EC-016 · Definir as camadas e dados espaciais para aplicação da métrica (Boaventura e GR3)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Em andamento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EC-018 · Preparar os dados espaciais (rasters e shape) para os cenários a serem avaliados (Boaventura e GR3)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Não iniciado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EC-019 · Rodar as análises no R (Boaventura e GR3)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Não iniciado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EC-020 · Consolidar os resultados e apresentar internamente (Boaventura e GR3)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Não iniciado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EC-021 · Apresentar os resultados para a Petrobras (Boaventura e GR3)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Não iniciado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EC-022 · Fazer os ajustes necessários (Boaventura e GR3)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Não iniciado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EC-026 · Definir os buffers e as áreas de estudo (GR3)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Não iniciado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EC-027 · Definir os rasters de uso da terra e shapes de fragmentos para os cenários avaliados (GR3)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Não iniciado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EC-028 · Rodar as análises no R (GR3)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EC-029 · Apresentar e consolidar os resultados internamente (GR3)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Não iniciado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EC-030 · Apresentar os resultados para a Petrobras (GR3)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Não iniciado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EC-031 · Fazer os ajustes necessários (GR3)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Não iniciado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DM-001 · Elaboração da metodologia de aplicação da métrica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Em andamento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DM-015 · Estruturação dos cálculos no excel - flora (UTGCA)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Concluído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DM-016 · Rodar a métrica - flora (UTGCA)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Concluído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DM-017 · Apresentar e consolidar os resultados internamente - flora (UTGCA)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Concluído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DM-024 · Estruturação dos cálculos no excel - fauna (UTGCA)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Não iniciado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DM-025 · Rodar a métrica por táxon - fauna (UTGCA)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Não iniciado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DM-026 · Apresentar e consolidar os resultados internamente por táxon - fauna (UTGCA)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Não iniciado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DM-030 · Extrair dados primários (Boaventura)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Concluído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DM-031 · Compreender o histórico da unidade (Boaventura)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Concluído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DM-033 · Solicitar dados faltantes para Petrobras (Boaventura)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Concluído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DM-036 · Corrigir a avaliação taxonômica - cf aff e sp. (Boaventura)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Concluído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DM-037 · Separação de táxons por aba (Boaventura)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Concluído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DM-047 · Definir a estratégia de aplicação - fauna terrestre (Boaventura)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Não iniciado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DM-048 · Avaliar disponibilidade de informação temporal e espacial para aplicação da métrica - fauna terrestre (Boaventura)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Não iniciado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DM-049 · Definir tipo, componente e atributos - fauna terrestre (Boaventura)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Não iniciado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DM-050 · Definir os dados usados para cálculo de perdas e ganhos - fauna terrestre (Boaventura)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Não iniciado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DM-051 · Definir parâmetros e fatores de ajuste - fauna terrestre (Boaventura)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Não iniciado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DM-052 · Estruturação dos cálculos no excel - fauna terrestre (Boaventura)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Não iniciado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DM-053 · Rodar a métrica - fauna terrestre (Boaventura)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Não iniciado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DM-054 · Apresentar e consolidar os resultados internamente - fauna terrestre (Boaventura)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Não iniciado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DM-055 · Identificar lacunas de dados para recomendar para a Petrobras - fauna terrestre (Boaventura)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Não iniciado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inlineStr">
        <is>
          <t>DM-056 · Definir a estratégia de aplicação - fauna aquática (Boaventura)</t>
        </is>
      </c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inlineStr">
        <is>
          <t>Pausado</t>
        </is>
      </c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inlineStr">
        <is>
          <t>DM-057 · Avaliar disponibilidade de informação temporal e espacial para aplicação da métrica - fauna aquática (Boaventura)</t>
        </is>
      </c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inlineStr">
        <is>
          <t>Pausado</t>
        </is>
      </c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inlineStr">
        <is>
          <t>DM-058 · Definir tipo, componente e atributos - fauna aquática  (Boaventura)</t>
        </is>
      </c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inlineStr">
        <is>
          <t>Pausado</t>
        </is>
      </c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inlineStr">
        <is>
          <t>DM-059 · Definir os dados usados para cálculo de perdas e ganhos - fauna aquática (Boaventura)</t>
        </is>
      </c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inlineStr">
        <is>
          <t>Pausado</t>
        </is>
      </c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inlineStr">
        <is>
          <t>DM-060 · Definir parâmetros e fatores de ajuste - fauna aquática (Boaventura)</t>
        </is>
      </c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inlineStr">
        <is>
          <t>Pausado</t>
        </is>
      </c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inlineStr">
        <is>
          <t>DM-061 · Estruturação dos cálculos no excel - fauna aquática (Boaventura)</t>
        </is>
      </c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inlineStr">
        <is>
          <t>Pausado</t>
        </is>
      </c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inlineStr">
        <is>
          <t>DM-062 · Rodar a métrica - fauna aquática  (Boaventura)</t>
        </is>
      </c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inlineStr">
        <is>
          <t>Pausado</t>
        </is>
      </c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inlineStr">
        <is>
          <t>DM-063 · Apresentar e consolidar os resultados internamente - fauna aquática  (Boaventura)</t>
        </is>
      </c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inlineStr">
        <is>
          <t>Pausado</t>
        </is>
      </c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inlineStr">
        <is>
          <t>DM-064 · Identificar lacunas de dados para recomendar para a Petrobras - fauna aquática (Boaventura)</t>
        </is>
      </c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inlineStr">
        <is>
          <t>Pausado</t>
        </is>
      </c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inlineStr">
        <is>
          <t>DM-065 · Apresentar os resultados para a Petrobras (Boaventura)</t>
        </is>
      </c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inlineStr">
        <is>
          <t>Pausado</t>
        </is>
      </c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inlineStr">
        <is>
          <t>DM-066 · Fazer os ajustes necessários (Boaventura)</t>
        </is>
      </c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inlineStr">
        <is>
          <t>Pausado</t>
        </is>
      </c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inlineStr">
        <is>
          <t>DM-073 · Realizar atualização taxonômica e status de conservação- cf aff e sp. (GR3)</t>
        </is>
      </c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inlineStr">
        <is>
          <t>Em andamento</t>
        </is>
      </c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inlineStr">
        <is>
          <t>SBM-031 · Delimitar os dados úteis para a aplicação (UTGCA)</t>
        </is>
      </c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inlineStr">
        <is>
          <t>Não iniciado</t>
        </is>
      </c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inlineStr">
        <is>
          <t>SBM-032 · Preparar os dados para aplicação (UTGCA)</t>
        </is>
      </c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inlineStr">
        <is>
          <t>Não iniciado</t>
        </is>
      </c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inlineStr">
        <is>
          <t>SBM-035 · Estruturar as fórmulas no excel ou script no R para aplicação</t>
        </is>
      </c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inlineStr">
        <is>
          <t>Não iniciado</t>
        </is>
      </c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inlineStr">
        <is>
          <t>SBM-036 · Rodar a métrica</t>
        </is>
      </c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inlineStr">
        <is>
          <t>Não iniciado</t>
        </is>
      </c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inlineStr">
        <is>
          <t>SBM-048 · Estruturar as fórmulas no excel ou script no R para aplicação</t>
        </is>
      </c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inlineStr">
        <is>
          <t>Não iniciado</t>
        </is>
      </c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inlineStr">
        <is>
          <t>SBM-049 · Rodar a métrica</t>
        </is>
      </c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inlineStr">
        <is>
          <t>Não iniciado</t>
        </is>
      </c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inlineStr">
        <is>
          <t>P3-008 · Preparar as tabelas dos dados sistematizados (Boaventura e UTGCA)</t>
        </is>
      </c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inlineStr">
        <is>
          <t>Concluído</t>
        </is>
      </c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inlineStr">
        <is>
          <t>P3-010 · Escrever texto da unidade (ex. histórico da unidade, dados disponíveis da unidade, relação entre dados e as 3 métricas) (Boaventura)</t>
        </is>
      </c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inlineStr">
        <is>
          <t>Concluído</t>
        </is>
      </c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inlineStr">
        <is>
          <t>P3-016 · Finalização e padronização dos anexos e dos metadados</t>
        </is>
      </c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inlineStr">
        <is>
          <t>Em andamento</t>
        </is>
      </c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Daniel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DM-035 · Sistematizar os novos dados (Boaventura)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DM-067 · Extrair dados primários (GR3)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DM-068 · Preparar slides com o histórico da unidade (GR3)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Em andamento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DM-069 · Extração e espacialização dos pontos de coleta dos dados (GR3)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Não iniciado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DM-070 · Solicitar dados faltantes para Petrobras (GR3)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DM-071 · Obter dados faltantes (GR3)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Concluído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DM-072 · Sistematizar os novos dados (GR3)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DM-073 · Realizar atualização taxonômica e status de conservação- cf aff e sp. (GR3)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Em andamento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DM-074 · Definir a estratégia de aplicação - flora (GR3)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Não iniciado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DM-075 · Avaliar disponibilidade de informação temporal e espacial para aplicação da métrica - flora (GR3)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Não iniciado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DM-076 · Definir tipo, componente e atributos - flora (GR3)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Não iniciado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DM-077 · Definir quais dados serão usados para cálcular perdas e ganhos - flora (GR3)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Não iniciado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DM-078 · Definir parâmetros e fatores de ajuste - flora (GR3)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Não iniciado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DM-079 · Estruturação dos cálculos no excel - flora (GR3)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Não iniciado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DM-080 · Escrever código R e analisar métrica - flora (GR3)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Não iniciado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DM-081 · Apresentar e consolidar os resultados internamente - flora (GR3)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Não iniciado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DM-082 · Identificar lacunas de dados para recomendar para a Petrobras - flora (GR3)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Não iniciado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DM-083 · Definir a estratégia de aplicação - fauna (GR3)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Não iniciado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DM-084 · Avaliar disponibilidade de informação temporal e espacial para aplicação da métrica - fauna (GR3)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Não iniciado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DM-085 · Definir tipo, componente e atributos - fauna (GR3)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DM-086 · Definir quais dados serão usados para cálcular perdas e ganhos - fauna (GR3)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Não iniciado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DM-087 · Definir parâmetros e fatores de ajuste - fauna (GR3)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Não iniciado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DM-088 · Estruturação dos cálculos no excel - fauna (GR3)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Não iniciado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DM-089 · Escrever código R e analisar métrica - fauna (GR3)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Não iniciado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DM-090 · Apresentar e consolidar os resultados internamente - fauna (GR3)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Não iniciado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DM-091 · Identificar lacunas de dados para recomendar para a Petrobras - fauna (GR3)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Não iniciado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DM-092 · Definir a estratégia de aplicação - fauna aquática (GR3)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Pausado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DM-093 · Avaliar disponibilidade de informação temporal e espacial para aplicação da métrica - fauna aquática (GR3)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Pausado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DM-094 · Definir tipo, componente e atributos - fauna aquática  (GR3)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Pausado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DM-095 · Definir dados serão usados para cálcular perdas e ganhos - fauna aquática (GR3)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Pausado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DM-096 · Definir parâmetros e fatores de ajuste - fauna aquática (GR3)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Pausado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DM-097 · Estruturação dos cálculos no excel - fauna aquática (GR3)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Pausado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DM-098 · Escrever código R e analisar a metrica - fauna aquática  (GR3)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Pausado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DM-099 · Apresentar e consolidar os resultados internamente - fauna aquática (GR3)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Pausado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DM-100 · Identificar lacunas de dados para recomendar para a Petrobras - fauna aquática (GR3)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Pausado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DM-101 · Apresentar os resultados para a Petrobras (GR3)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Pausado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DM-102 · Fazer os ajustes necessários (GR3)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Pausado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SBM-009 · Adaptar o parâmetro com foco em restinga - condição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Não iniciado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SBM-014 · Definir a estratégia de aplicação da métrica (Excel ou R)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Concluído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SBM-015 · Considerar a proposta pontuações maiores para os parâmetros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Em andamento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SBM-019 · Fazer script no R para aplicação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Não iniciado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SBM-024 · Estruturar as fórmulas no excel ou script no R para aplicação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Não iniciado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SBM-025 · Rodar a métrica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Não iniciado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SBM-042 · Delimitar os dados úteis para a aplicação (UTGCA)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Não iniciado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inlineStr">
        <is>
          <t>SBM-043 · Preparar os dados para aplicação (UTGCA)</t>
        </is>
      </c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inlineStr">
        <is>
          <t>Não iniciado</t>
        </is>
      </c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inlineStr">
        <is>
          <t>P3-001 · Sistematizar dados de biodiversidade para as 3 unidades</t>
        </is>
      </c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inlineStr">
        <is>
          <t>Em andamento</t>
        </is>
      </c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inlineStr">
        <is>
          <t>P3-008 · Preparar as tabelas dos dados sistematizados (Boaventura e UTGCA)</t>
        </is>
      </c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inlineStr">
        <is>
          <t>Concluído</t>
        </is>
      </c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inlineStr">
        <is>
          <t>P3-009 · Adaptar as tabelas para o formato Darwin Core</t>
        </is>
      </c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inlineStr">
        <is>
          <t>Concluído</t>
        </is>
      </c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inlineStr">
        <is>
          <t>P3-011 · Preparar as tabelas dos dados sistematizados (GR3)</t>
        </is>
      </c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inlineStr">
        <is>
          <t>Em andamento</t>
        </is>
      </c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inlineStr">
        <is>
          <t>P3-012 · Escrever texto da unidade (ex. histórico da unidade, dados disponíveis da unidade, relação entre dados e as 3 métricas) (GR3)</t>
        </is>
      </c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inlineStr">
        <is>
          <t>Concluído</t>
        </is>
      </c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inlineStr">
        <is>
          <t>P3-013 · Revisão do texto da unidade</t>
        </is>
      </c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inlineStr">
        <is>
          <t>Não iniciado</t>
        </is>
      </c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inlineStr">
        <is>
          <t>P3-015 · Incluir os dados do GR3</t>
        </is>
      </c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inlineStr">
        <is>
          <t>Em andamento</t>
        </is>
      </c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inlineStr">
        <is>
          <t>P3-016 · Finalização e padronização dos anexos e dos metadados</t>
        </is>
      </c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inlineStr">
        <is>
          <t>Em andamento</t>
        </is>
      </c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inlineStr">
        <is>
          <t>P3-017 · Recomendações sobre sistematização de dados</t>
        </is>
      </c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inlineStr">
        <is>
          <t>Em andamento</t>
        </is>
      </c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Fernando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ART-002 · Alinhar com a Petrobras o escopo do artigo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ART-003 · Escrever a versão preliminar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ART-006 · Revisão pela equipe interna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ART-007 · Envio do artigo para revisão da Bruna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ART-009 · Definir a revista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ART-012 · Incorporar os ajustes da Bruna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Concluído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ART-013 · Envio do artigo para revisão da Petrobras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ART-014 · Revisão pela Petrobras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Concluído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ART-015 · Artigo recebido pela Petrobras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EC-002 · Definir as espécies internamente (UTGCA)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Concluído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EC-003 · Validar as espécies com a Petrobras (UTGCA)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Concluído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EC-012 · Definir as espécies internamente (Boaventura)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Concluído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EC-023 · Definir as espécies internamente (GR3)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Concluído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DM-001 · Elaboração da metodologia de aplicação da métrica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Em andamento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DM-005 · Solicitar dados faltantes para Petrobras (UTGCA)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Concluído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DM-010 · Definir a estratégia de aplicação - flora (UTGCA)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Concluído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DM-012 · Definir tipo, componente e atributos - flora (UTGCA)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Concluído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DM-013 · Definir os dados usados para cálculo de perdas e ganhos - flora (UTGCA)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Concluído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DM-019 · Definir a estratégia de aplicação por táxon - fauna (UTGCA)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Em andamento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DM-021 · Definir tipo, componente e atributos por táxon - fauna (UTGCA)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DM-022 · Definir os dados usados para cálculo de perdas e ganhos por táxon - fauna (UTGCA)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Em andamento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DM-028 · Apresentar os resultados para a Petrobras (UTGCA)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Não iniciado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DM-033 · Solicitar dados faltantes para Petrobras (Boaventura)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Concluído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DM-056 · Definir a estratégia de aplicação - fauna aquática (Boaventura)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Pausado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DM-058 · Definir tipo, componente e atributos - fauna aquática  (Boaventura)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Pausado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DM-059 · Definir os dados usados para cálculo de perdas e ganhos - fauna aquática (Boaventura)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Pausado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DM-065 · Apresentar os resultados para a Petrobras (Boaventura)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Pausado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SBM-005 · Definir a estratégia de aplicação - distinção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Concluído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SBM-007 · Definir a estratégia de aplicação - condição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Concluído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SBM-009 · Adaptar o parâmetro com foco em restinga - condição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Não iniciado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SBM-010 · Definir a estratégia de aplicação - valor estratégico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Concluído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SBM-012 · Realizar alinhamento com a Mineral - hábitats críticos (Valor Estratégico)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Em andamento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SBM-013 · Definir a estratégia de aplicação - fatores de ajuste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Pausado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SBM-028 · Realizar as atividades pré-campo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Em andamento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SBM-030 · Realizar as atividade pós-campo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Não iniciado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SBM-052 · Apresentar os resultados para a Petrobras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Não iniciado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P3-002 · Definir o conteúdo do relatório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Concluído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P3-003 · Definir a estrutura do relatório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Concluído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P3-007 · Escrever texto da unidade (ex. histórico da unidade, dados disponíveis da unidade, relação entre dados e as 3 métricas) (UTGCA)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Concluído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P3-010 · Escrever texto da unidade (ex. histórico da unidade, dados disponíveis da unidade, relação entre dados e as 3 métricas) (Boaventura)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Concluído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P3-012 · Escrever texto da unidade (ex. histórico da unidade, dados disponíveis da unidade, relação entre dados e as 3 métricas) (GR3)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Concluído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P3-014 · Revisar o texto de todo o relatório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Concluído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P3-016 · Finalização e padronização dos anexos e dos metadados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Em andamento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P3-019 · Entregar para a Petrobras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Não iniciado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inlineStr">
        <is>
          <t>P3-021 · Fazer os ajustes necessários</t>
        </is>
      </c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inlineStr">
        <is>
          <t>Não iniciado</t>
        </is>
      </c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Stephanie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DM-001 · Elaboração da metodologia de aplicação da métrica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Em andamento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DM-002 · Extrair dados primários (UTGCA)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DM-003 · Compreender o histórico da unidade (UTGCA)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DM-004 · Extração e espacialização dos pontos de coleta dos dados (UTGCA)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DM-005 · Solicitar dados faltantes para Petrobras (UTGCA)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DM-007 · Sistematizar os novos dados entregues pela Petrobras (UTGCA)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Concluído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DM-008 · Corrigir a avaliação taxonômica - cf aff e sp. (UTGCA)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Concluído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DM-009 · Separação de táxons por aba (UTGCA)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Concluído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DM-010 · Definir a estratégia de aplicação - flora (UTGCA)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DM-011 · Avaliar disponibilidade de informação temporal e espacial para aplicação da métrica - flora (UTGCA)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Concluído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DM-012 · Definir tipo, componente e atributos - flora (UTGCA)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Concluído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DM-013 · Definir os dados usados para cálculo de perdas e ganhos - flora (UTGCA)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Concluído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DM-014 · Definir parâmetros e fatores de ajuste - flora (UTGCA)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Concluído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DM-015 · Estruturação dos cálculos no excel - flora (UTGCA)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Concluído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DM-016 · Rodar a métrica - flora (UTGCA)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Concluído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DM-017 · Apresentar e consolidar os resultados internamente - flora (UTGCA)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Concluído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DM-018 · Identificar lacunas de dados para recomendar para a Petrobras (UTGCA)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Concluído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DM-019 · Definir a estratégia de aplicação por táxon - fauna (UTGCA)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Em andamento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DM-020 · Avaliar disponibilidade de informação temporal e espacial para aplicação da métrica por táxon - fauna (UTGCA)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Em andamento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DM-021 · Definir tipo, componente e atributos por táxon - fauna (UTGCA)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DM-022 · Definir os dados usados para cálculo de perdas e ganhos por táxon - fauna (UTGCA)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Em andamento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DM-023 · Definir parâmetros e fatores de ajuste por táxon - fauna (UTGCA)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Em andamento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DM-024 · Estruturação dos cálculos no excel - fauna (UTGCA)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Não iniciado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DM-025 · Rodar a métrica por táxon - fauna (UTGCA)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Não iniciado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DM-026 · Apresentar e consolidar os resultados internamente por táxon - fauna (UTGCA)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Não iniciado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DM-027 · Identificar lacunas de dados para recomendar para a Petrobras por táxon - fauna (UTGCA)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Em andamento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DM-028 · Apresentar os resultados para a Petrobras (UTGCA)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Não iniciado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DM-029 · Fazer os ajustes necessários (UTGCA)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Não iniciado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DM-035 · Sistematizar os novos dados (Boaventura)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Concluído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DM-036 · Corrigir a avaliação taxonômica - cf aff e sp. (Boaventura)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Concluído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SBM-020 · Delimitar os dados úteis para a aplicação (UTGCA)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Em andamento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SBM-021 · Preparar os dados para aplicação (UTGCA)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Não iniciado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SBM-042 · Delimitar os dados úteis para a aplicação (UTGCA)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Não iniciado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SBM-043 · Preparar os dados para aplicação (UTGCA)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Não iniciado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P3-001 · Sistematizar dados de biodiversidade para as 3 unidades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Em andamento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P3-002 · Definir o conteúdo do relatório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Concluído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P3-003 · Definir a estrutura do relatório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Concluído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P3-004 · Escrever a parte inicial do relatório (apresentação, sistematização dos dados, etc)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Concluído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P3-005 · Sistematizar dados (UTGCA)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Concluído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P3-006 · Preparar as tabelas dos dados sistematizados (UTGCA)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Concluído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P3-007 · Escrever texto da unidade (ex. histórico da unidade, dados disponíveis da unidade, relação entre dados e as 3 métricas) (UTGCA)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Concluído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P3-012 · Escrever texto da unidade (ex. histórico da unidade, dados disponíveis da unidade, relação entre dados e as 3 métricas) (GR3)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Concluído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P3-014 · Revisar o texto de todo o relatório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Concluído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inlineStr">
        <is>
          <t>P3-021 · Fazer os ajustes necessários</t>
        </is>
      </c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inlineStr">
        <is>
          <t>Não iniciado</t>
        </is>
      </c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n"/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n"/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Fox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ART-004 · Preparar tabelas e figuras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ART-006 · Revisão pela equipe interna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DM-038 · Definir a estratégia de aplicação - flora (Boaventura)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DM-039 · Avaliar disponibilidade de informação temporal e espacial para aplicação da métrica - flora (Boaventura)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DM-040 · Definir tipo, componente e atributos - flora (Boaventura)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Em andamento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DM-041 · Definir os dados usados para cálculo de perdas e ganhos - flora (Boaventura)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Em andamento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DM-042 · Definir parâmetros e fatores de ajuste - flora (Boaventura)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Em andamento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DM-043 · Estruturação dos cálculos no excel - flora (Boaventura)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Não iniciado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DM-044 · Rodar a métrica - flora (Boaventura)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Não iniciado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DM-045 · Apresentar e consolidar os resultados internamente - flora (Boaventura)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Não iniciado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DM-046 · Identificar lacunas de dados para recomendar para a Petrobras - flora (Boaventura)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Não iniciado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DM-074 · Definir a estratégia de aplicação - flora (GR3)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Não iniciado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inlineStr">
        <is>
          <t>DM-075 · Avaliar disponibilidade de informação temporal e espacial para aplicação da métrica - flora (GR3)</t>
        </is>
      </c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inlineStr">
        <is>
          <t>Não iniciado</t>
        </is>
      </c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inlineStr">
        <is>
          <t>DM-076 · Definir tipo, componente e atributos - flora (GR3)</t>
        </is>
      </c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inlineStr">
        <is>
          <t>Não iniciado</t>
        </is>
      </c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inlineStr">
        <is>
          <t>DM-077 · Definir quais dados serão usados para cálcular perdas e ganhos - flora (GR3)</t>
        </is>
      </c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inlineStr">
        <is>
          <t>Não iniciado</t>
        </is>
      </c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inlineStr">
        <is>
          <t>DM-078 · Definir parâmetros e fatores de ajuste - flora (GR3)</t>
        </is>
      </c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inlineStr">
        <is>
          <t>Não iniciado</t>
        </is>
      </c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inlineStr">
        <is>
          <t>DM-079 · Estruturação dos cálculos no excel - flora (GR3)</t>
        </is>
      </c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inlineStr">
        <is>
          <t>Não iniciado</t>
        </is>
      </c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inlineStr">
        <is>
          <t>DM-081 · Apresentar e consolidar os resultados internamente - flora (GR3)</t>
        </is>
      </c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inlineStr">
        <is>
          <t>Não iniciado</t>
        </is>
      </c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inlineStr">
        <is>
          <t>DM-082 · Identificar lacunas de dados para recomendar para a Petrobras - flora (GR3)</t>
        </is>
      </c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inlineStr">
        <is>
          <t>Não iniciado</t>
        </is>
      </c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inlineStr">
        <is>
          <t>DM-083 · Definir a estratégia de aplicação - fauna (GR3)</t>
        </is>
      </c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inlineStr">
        <is>
          <t>Não iniciado</t>
        </is>
      </c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inlineStr">
        <is>
          <t>DM-084 · Avaliar disponibilidade de informação temporal e espacial para aplicação da métrica - fauna (GR3)</t>
        </is>
      </c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inlineStr">
        <is>
          <t>Não iniciado</t>
        </is>
      </c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inlineStr">
        <is>
          <t>DM-085 · Definir tipo, componente e atributos - fauna (GR3)</t>
        </is>
      </c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inlineStr">
        <is>
          <t>Não iniciado</t>
        </is>
      </c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inlineStr">
        <is>
          <t>DM-086 · Definir quais dados serão usados para cálcular perdas e ganhos - fauna (GR3)</t>
        </is>
      </c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inlineStr">
        <is>
          <t>Não iniciado</t>
        </is>
      </c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inlineStr">
        <is>
          <t>DM-087 · Definir parâmetros e fatores de ajuste - fauna (GR3)</t>
        </is>
      </c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inlineStr">
        <is>
          <t>Não iniciado</t>
        </is>
      </c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inlineStr">
        <is>
          <t>DM-088 · Estruturação dos cálculos no excel - fauna (GR3)</t>
        </is>
      </c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inlineStr">
        <is>
          <t>Não iniciado</t>
        </is>
      </c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inlineStr">
        <is>
          <t>DM-090 · Apresentar e consolidar os resultados internamente - fauna (GR3)</t>
        </is>
      </c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inlineStr">
        <is>
          <t>Não iniciado</t>
        </is>
      </c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inlineStr">
        <is>
          <t>DM-091 · Identificar lacunas de dados para recomendar para a Petrobras - fauna (GR3)</t>
        </is>
      </c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inlineStr">
        <is>
          <t>Não iniciado</t>
        </is>
      </c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inlineStr">
        <is>
          <t>DM-092 · Definir a estratégia de aplicação - fauna aquática (GR3)</t>
        </is>
      </c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inlineStr">
        <is>
          <t>Pausado</t>
        </is>
      </c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inlineStr">
        <is>
          <t>DM-093 · Avaliar disponibilidade de informação temporal e espacial para aplicação da métrica - fauna aquática (GR3)</t>
        </is>
      </c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inlineStr">
        <is>
          <t>Pausado</t>
        </is>
      </c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inlineStr">
        <is>
          <t>DM-094 · Definir tipo, componente e atributos - fauna aquática  (GR3)</t>
        </is>
      </c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inlineStr">
        <is>
          <t>Pausado</t>
        </is>
      </c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inlineStr">
        <is>
          <t>DM-095 · Definir dados serão usados para cálcular perdas e ganhos - fauna aquática (GR3)</t>
        </is>
      </c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inlineStr">
        <is>
          <t>Pausado</t>
        </is>
      </c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inlineStr">
        <is>
          <t>DM-096 · Definir parâmetros e fatores de ajuste - fauna aquática (GR3)</t>
        </is>
      </c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inlineStr">
        <is>
          <t>Pausado</t>
        </is>
      </c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inlineStr">
        <is>
          <t>DM-097 · Estruturação dos cálculos no excel - fauna aquática (GR3)</t>
        </is>
      </c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inlineStr">
        <is>
          <t>Pausado</t>
        </is>
      </c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inlineStr">
        <is>
          <t>DM-099 · Apresentar e consolidar os resultados internamente - fauna aquática (GR3)</t>
        </is>
      </c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inlineStr">
        <is>
          <t>Pausado</t>
        </is>
      </c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inlineStr">
        <is>
          <t>DM-100 · Identificar lacunas de dados para recomendar para a Petrobras - fauna aquática (GR3)</t>
        </is>
      </c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inlineStr">
        <is>
          <t>Pausado</t>
        </is>
      </c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inlineStr">
        <is>
          <t>SBM-029 · Realizar o campo</t>
        </is>
      </c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inlineStr">
        <is>
          <t>Não iniciado</t>
        </is>
      </c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inlineStr">
        <is>
          <t>SBM-030 · Realizar as atividade pós-campo</t>
        </is>
      </c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inlineStr">
        <is>
          <t>Não iniciado</t>
        </is>
      </c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inlineStr">
        <is>
          <t>P3-008 · Preparar as tabelas dos dados sistematizados (Boaventura e UTGCA)</t>
        </is>
      </c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inlineStr">
        <is>
          <t>Concluído</t>
        </is>
      </c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inlineStr">
        <is>
          <t>P3-009 · Adaptar as tabelas para o formato Darwin Core</t>
        </is>
      </c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inlineStr">
        <is>
          <t>Concluído</t>
        </is>
      </c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inlineStr">
        <is>
          <t>P3-011 · Preparar as tabelas dos dados sistematizados (GR3)</t>
        </is>
      </c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inlineStr">
        <is>
          <t>Em andamento</t>
        </is>
      </c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inlineStr">
        <is>
          <t>P3-015 · Incluir os dados do GR3</t>
        </is>
      </c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inlineStr">
        <is>
          <t>Em andamento</t>
        </is>
      </c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inlineStr">
        <is>
          <t>P3-016 · Finalização e padronização dos anexos e dos metadados</t>
        </is>
      </c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inlineStr">
        <is>
          <t>Em andamento</t>
        </is>
      </c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inlineStr">
        <is>
          <t>P3-017 · Recomendações sobre sistematização de dados</t>
        </is>
      </c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inlineStr">
        <is>
          <t>Em andamento</t>
        </is>
      </c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n"/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n"/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n"/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n"/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Bruna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ART-002 · Alinhar com a Petrobras o escopo do artigo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inlineStr">
        <is>
          <t>ART-009 · Definir a revista</t>
        </is>
      </c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inlineStr">
        <is>
          <t>Concluído</t>
        </is>
      </c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inlineStr">
        <is>
          <t>ART-011 · Revisão Bruna</t>
        </is>
      </c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inlineStr">
        <is>
          <t>Concluído</t>
        </is>
      </c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inlineStr">
        <is>
          <t>ART-013 · Envio do artigo para revisão da Petrobras</t>
        </is>
      </c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inlineStr">
        <is>
          <t>Concluído</t>
        </is>
      </c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inlineStr">
        <is>
          <t>ART-015 · Artigo recebido pela Petrobras</t>
        </is>
      </c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inlineStr">
        <is>
          <t>Concluído</t>
        </is>
      </c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inlineStr">
        <is>
          <t>ART-017 · Enviar para revisão da Bruna</t>
        </is>
      </c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inlineStr">
        <is>
          <t>Não iniciado</t>
        </is>
      </c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inlineStr">
        <is>
          <t>ART-018 · Enviar versão final para Petrobras aprovar</t>
        </is>
      </c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inlineStr">
        <is>
          <t>Não iniciado</t>
        </is>
      </c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inlineStr">
        <is>
          <t>SBM-029 · Realizar o campo</t>
        </is>
      </c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inlineStr">
        <is>
          <t>Não iniciado</t>
        </is>
      </c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inlineStr">
        <is>
          <t>P3-002 · Definir o conteúdo do relatório</t>
        </is>
      </c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inlineStr">
        <is>
          <t>Concluído</t>
        </is>
      </c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inlineStr">
        <is>
          <t>P3-003 · Definir a estrutura do relatório</t>
        </is>
      </c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inlineStr">
        <is>
          <t>Concluído</t>
        </is>
      </c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inlineStr">
        <is>
          <t>P3-018 · Revisão coordenação geral</t>
        </is>
      </c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inlineStr">
        <is>
          <t>Em andamento</t>
        </is>
      </c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inlineStr">
        <is>
          <t>P3-022 · Entregar o relatório final para a Petrobras</t>
        </is>
      </c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inlineStr">
        <is>
          <t>Não iniciado</t>
        </is>
      </c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n"/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n"/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n"/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n"/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n"/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n"/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n"/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n"/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n"/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n"/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n"/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n"/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n"/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n"/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n"/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n"/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n"/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n"/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n"/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n"/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n"/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n"/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n"/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n"/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n"/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n"/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n"/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n"/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n"/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n"/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n"/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n"/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n"/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n"/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n"/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n"/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n"/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n"/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n"/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n"/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n"/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n"/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n"/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n"/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n"/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n"/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n"/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n"/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n"/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n"/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n"/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n"/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n"/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n"/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n"/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n"/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n"/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n"/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n"/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n"/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n"/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n"/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n"/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n"/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n"/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n"/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Stella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ART-003 · Escrever a versão preliminar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n"/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n"/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n"/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n"/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n"/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n"/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n"/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n"/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n"/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n"/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n"/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n"/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n"/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n"/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n"/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n"/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n"/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n"/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n"/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n"/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n"/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n"/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n"/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n"/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n"/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n"/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n"/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n"/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n"/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n"/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n"/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n"/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n"/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n"/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n"/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n"/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n"/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n"/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n"/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n"/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n"/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n"/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n"/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n"/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n"/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n"/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n"/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n"/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n"/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n"/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n"/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n"/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n"/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n"/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n"/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n"/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n"/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n"/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n"/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n"/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n"/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n"/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n"/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n"/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n"/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n"/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n"/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n"/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n"/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n"/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n"/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n"/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n"/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n"/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n"/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n"/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n"/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n"/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n"/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n"/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n"/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n"/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n"/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n"/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n"/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n"/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n"/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n"/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A9DB"/>
    <outlinePr summaryBelow="1" summaryRight="1"/>
    <pageSetUpPr/>
  </sheetPr>
  <dimension ref="A1:J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9" customWidth="1" min="2" max="2"/>
    <col width="22" customWidth="1" min="3" max="3"/>
    <col width="16" customWidth="1" min="4" max="4"/>
    <col width="45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>
      <c r="A1" s="1" t="inlineStr">
        <is>
          <t>Atividades de Igor</t>
        </is>
      </c>
    </row>
    <row r="2" ht="24" customHeight="1">
      <c r="A2" s="34" t="inlineStr">
        <is>
          <t>Como usar: escolha a atividade da Geral na coluna A (lista suspensa) e descreva a SUA tarefa na coluna E. Deixe E em branco se sua parte é a própria atividade. Cada linha aparece automaticamente na Geral (colunas Equipe, Concluídas e Detalhamento). Colunas cinzas são automáticas.</t>
        </is>
      </c>
    </row>
    <row r="3"/>
    <row r="5" ht="32" customHeight="1">
      <c r="A5" s="9" t="inlineStr">
        <is>
          <t>Atividade da Geral (escolha na lista)</t>
        </is>
      </c>
      <c r="B5" s="9" t="inlineStr">
        <is>
          <t>ID (auto)</t>
        </is>
      </c>
      <c r="C5" s="9" t="inlineStr">
        <is>
          <t>Frente (auto)</t>
        </is>
      </c>
      <c r="D5" s="9" t="inlineStr">
        <is>
          <t>Subfrente (auto)</t>
        </is>
      </c>
      <c r="E5" s="9" t="inlineStr">
        <is>
          <t>Minha tarefa / detalhamento</t>
        </is>
      </c>
      <c r="F5" s="9" t="inlineStr">
        <is>
          <t>Status</t>
        </is>
      </c>
      <c r="G5" s="9" t="inlineStr">
        <is>
          <t>Prazo na Geral (auto)</t>
        </is>
      </c>
      <c r="H5" s="9" t="inlineStr">
        <is>
          <t>Meu início</t>
        </is>
      </c>
      <c r="I5" s="9" t="inlineStr">
        <is>
          <t>Meu prazo</t>
        </is>
      </c>
      <c r="J5" s="9" t="inlineStr">
        <is>
          <t>Observações</t>
        </is>
      </c>
    </row>
    <row r="6">
      <c r="A6" s="15" t="inlineStr">
        <is>
          <t>ART-001 · Definir o escopo do artigo</t>
        </is>
      </c>
      <c r="B6" s="35">
        <f>IF(A6="","",IFERROR(LEFT(A6,FIND(" · ",A6)-1),A6))</f>
        <v/>
      </c>
      <c r="C6" s="35">
        <f>IF(B6="","",IFERROR(INDEX(Geral!$C$7:$C$600,MATCH(B6,Geral!$A$7:$A$600,0)),"ID não encontrado"))</f>
        <v/>
      </c>
      <c r="D6" s="35">
        <f>IF(B6="","",IFERROR(INDEX(Geral!$D$7:$D$600,MATCH(B6,Geral!$A$7:$A$600,0))&amp;"",""))</f>
        <v/>
      </c>
      <c r="E6" s="15" t="n"/>
      <c r="F6" s="13" t="inlineStr">
        <is>
          <t>Concluído</t>
        </is>
      </c>
      <c r="G6" s="36">
        <f>IF(B6="","",IFERROR(INDEX(Geral!$Q$7:$Q$600,MATCH(B6,Geral!$A$7:$A$600,0)),""))</f>
        <v/>
      </c>
      <c r="H6" s="19" t="n"/>
      <c r="I6" s="19" t="n"/>
      <c r="J6" s="15" t="n"/>
    </row>
    <row r="7">
      <c r="A7" s="15" t="inlineStr">
        <is>
          <t>DM-072 · Sistematizar os novos dados (GR3)</t>
        </is>
      </c>
      <c r="B7" s="35">
        <f>IF(A7="","",IFERROR(LEFT(A7,FIND(" · ",A7)-1),A7))</f>
        <v/>
      </c>
      <c r="C7" s="35">
        <f>IF(B7="","",IFERROR(INDEX(Geral!$C$7:$C$600,MATCH(B7,Geral!$A$7:$A$600,0)),"ID não encontrado"))</f>
        <v/>
      </c>
      <c r="D7" s="35">
        <f>IF(B7="","",IFERROR(INDEX(Geral!$D$7:$D$600,MATCH(B7,Geral!$A$7:$A$600,0))&amp;"",""))</f>
        <v/>
      </c>
      <c r="E7" s="15" t="n"/>
      <c r="F7" s="13" t="inlineStr">
        <is>
          <t>Concluído</t>
        </is>
      </c>
      <c r="G7" s="36">
        <f>IF(B7="","",IFERROR(INDEX(Geral!$Q$7:$Q$600,MATCH(B7,Geral!$A$7:$A$600,0)),""))</f>
        <v/>
      </c>
      <c r="H7" s="19" t="n"/>
      <c r="I7" s="19" t="n"/>
      <c r="J7" s="15" t="n"/>
    </row>
    <row r="8">
      <c r="A8" s="15" t="n"/>
      <c r="B8" s="35">
        <f>IF(A8="","",IFERROR(LEFT(A8,FIND(" · ",A8)-1),A8))</f>
        <v/>
      </c>
      <c r="C8" s="35">
        <f>IF(B8="","",IFERROR(INDEX(Geral!$C$7:$C$600,MATCH(B8,Geral!$A$7:$A$600,0)),"ID não encontrado"))</f>
        <v/>
      </c>
      <c r="D8" s="35">
        <f>IF(B8="","",IFERROR(INDEX(Geral!$D$7:$D$600,MATCH(B8,Geral!$A$7:$A$600,0))&amp;"",""))</f>
        <v/>
      </c>
      <c r="E8" s="15" t="n"/>
      <c r="F8" s="13" t="n"/>
      <c r="G8" s="36">
        <f>IF(B8="","",IFERROR(INDEX(Geral!$Q$7:$Q$600,MATCH(B8,Geral!$A$7:$A$600,0)),""))</f>
        <v/>
      </c>
      <c r="H8" s="19" t="n"/>
      <c r="I8" s="19" t="n"/>
      <c r="J8" s="15" t="n"/>
    </row>
    <row r="9">
      <c r="A9" s="15" t="n"/>
      <c r="B9" s="35">
        <f>IF(A9="","",IFERROR(LEFT(A9,FIND(" · ",A9)-1),A9))</f>
        <v/>
      </c>
      <c r="C9" s="35">
        <f>IF(B9="","",IFERROR(INDEX(Geral!$C$7:$C$600,MATCH(B9,Geral!$A$7:$A$600,0)),"ID não encontrado"))</f>
        <v/>
      </c>
      <c r="D9" s="35">
        <f>IF(B9="","",IFERROR(INDEX(Geral!$D$7:$D$600,MATCH(B9,Geral!$A$7:$A$600,0))&amp;"",""))</f>
        <v/>
      </c>
      <c r="E9" s="15" t="n"/>
      <c r="F9" s="13" t="n"/>
      <c r="G9" s="36">
        <f>IF(B9="","",IFERROR(INDEX(Geral!$Q$7:$Q$600,MATCH(B9,Geral!$A$7:$A$600,0)),""))</f>
        <v/>
      </c>
      <c r="H9" s="19" t="n"/>
      <c r="I9" s="19" t="n"/>
      <c r="J9" s="15" t="n"/>
    </row>
    <row r="10">
      <c r="A10" s="15" t="n"/>
      <c r="B10" s="35">
        <f>IF(A10="","",IFERROR(LEFT(A10,FIND(" · ",A10)-1),A10))</f>
        <v/>
      </c>
      <c r="C10" s="35">
        <f>IF(B10="","",IFERROR(INDEX(Geral!$C$7:$C$600,MATCH(B10,Geral!$A$7:$A$600,0)),"ID não encontrado"))</f>
        <v/>
      </c>
      <c r="D10" s="35">
        <f>IF(B10="","",IFERROR(INDEX(Geral!$D$7:$D$600,MATCH(B10,Geral!$A$7:$A$600,0))&amp;"",""))</f>
        <v/>
      </c>
      <c r="E10" s="15" t="n"/>
      <c r="F10" s="13" t="n"/>
      <c r="G10" s="36">
        <f>IF(B10="","",IFERROR(INDEX(Geral!$Q$7:$Q$600,MATCH(B10,Geral!$A$7:$A$600,0)),""))</f>
        <v/>
      </c>
      <c r="H10" s="19" t="n"/>
      <c r="I10" s="19" t="n"/>
      <c r="J10" s="15" t="n"/>
    </row>
    <row r="11">
      <c r="A11" s="15" t="n"/>
      <c r="B11" s="35">
        <f>IF(A11="","",IFERROR(LEFT(A11,FIND(" · ",A11)-1),A11))</f>
        <v/>
      </c>
      <c r="C11" s="35">
        <f>IF(B11="","",IFERROR(INDEX(Geral!$C$7:$C$600,MATCH(B11,Geral!$A$7:$A$600,0)),"ID não encontrado"))</f>
        <v/>
      </c>
      <c r="D11" s="35">
        <f>IF(B11="","",IFERROR(INDEX(Geral!$D$7:$D$600,MATCH(B11,Geral!$A$7:$A$600,0))&amp;"",""))</f>
        <v/>
      </c>
      <c r="E11" s="15" t="n"/>
      <c r="F11" s="13" t="n"/>
      <c r="G11" s="36">
        <f>IF(B11="","",IFERROR(INDEX(Geral!$Q$7:$Q$600,MATCH(B11,Geral!$A$7:$A$600,0)),""))</f>
        <v/>
      </c>
      <c r="H11" s="19" t="n"/>
      <c r="I11" s="19" t="n"/>
      <c r="J11" s="15" t="n"/>
    </row>
    <row r="12">
      <c r="A12" s="15" t="n"/>
      <c r="B12" s="35">
        <f>IF(A12="","",IFERROR(LEFT(A12,FIND(" · ",A12)-1),A12))</f>
        <v/>
      </c>
      <c r="C12" s="35">
        <f>IF(B12="","",IFERROR(INDEX(Geral!$C$7:$C$600,MATCH(B12,Geral!$A$7:$A$600,0)),"ID não encontrado"))</f>
        <v/>
      </c>
      <c r="D12" s="35">
        <f>IF(B12="","",IFERROR(INDEX(Geral!$D$7:$D$600,MATCH(B12,Geral!$A$7:$A$600,0))&amp;"",""))</f>
        <v/>
      </c>
      <c r="E12" s="15" t="n"/>
      <c r="F12" s="13" t="n"/>
      <c r="G12" s="36">
        <f>IF(B12="","",IFERROR(INDEX(Geral!$Q$7:$Q$600,MATCH(B12,Geral!$A$7:$A$600,0)),""))</f>
        <v/>
      </c>
      <c r="H12" s="19" t="n"/>
      <c r="I12" s="19" t="n"/>
      <c r="J12" s="15" t="n"/>
    </row>
    <row r="13">
      <c r="A13" s="15" t="n"/>
      <c r="B13" s="35">
        <f>IF(A13="","",IFERROR(LEFT(A13,FIND(" · ",A13)-1),A13))</f>
        <v/>
      </c>
      <c r="C13" s="35">
        <f>IF(B13="","",IFERROR(INDEX(Geral!$C$7:$C$600,MATCH(B13,Geral!$A$7:$A$600,0)),"ID não encontrado"))</f>
        <v/>
      </c>
      <c r="D13" s="35">
        <f>IF(B13="","",IFERROR(INDEX(Geral!$D$7:$D$600,MATCH(B13,Geral!$A$7:$A$600,0))&amp;"",""))</f>
        <v/>
      </c>
      <c r="E13" s="15" t="n"/>
      <c r="F13" s="13" t="n"/>
      <c r="G13" s="36">
        <f>IF(B13="","",IFERROR(INDEX(Geral!$Q$7:$Q$600,MATCH(B13,Geral!$A$7:$A$600,0)),""))</f>
        <v/>
      </c>
      <c r="H13" s="19" t="n"/>
      <c r="I13" s="19" t="n"/>
      <c r="J13" s="15" t="n"/>
    </row>
    <row r="14">
      <c r="A14" s="15" t="n"/>
      <c r="B14" s="35">
        <f>IF(A14="","",IFERROR(LEFT(A14,FIND(" · ",A14)-1),A14))</f>
        <v/>
      </c>
      <c r="C14" s="35">
        <f>IF(B14="","",IFERROR(INDEX(Geral!$C$7:$C$600,MATCH(B14,Geral!$A$7:$A$600,0)),"ID não encontrado"))</f>
        <v/>
      </c>
      <c r="D14" s="35">
        <f>IF(B14="","",IFERROR(INDEX(Geral!$D$7:$D$600,MATCH(B14,Geral!$A$7:$A$600,0))&amp;"",""))</f>
        <v/>
      </c>
      <c r="E14" s="15" t="n"/>
      <c r="F14" s="13" t="n"/>
      <c r="G14" s="36">
        <f>IF(B14="","",IFERROR(INDEX(Geral!$Q$7:$Q$600,MATCH(B14,Geral!$A$7:$A$600,0)),""))</f>
        <v/>
      </c>
      <c r="H14" s="19" t="n"/>
      <c r="I14" s="19" t="n"/>
      <c r="J14" s="15" t="n"/>
    </row>
    <row r="15">
      <c r="A15" s="15" t="n"/>
      <c r="B15" s="35">
        <f>IF(A15="","",IFERROR(LEFT(A15,FIND(" · ",A15)-1),A15))</f>
        <v/>
      </c>
      <c r="C15" s="35">
        <f>IF(B15="","",IFERROR(INDEX(Geral!$C$7:$C$600,MATCH(B15,Geral!$A$7:$A$600,0)),"ID não encontrado"))</f>
        <v/>
      </c>
      <c r="D15" s="35">
        <f>IF(B15="","",IFERROR(INDEX(Geral!$D$7:$D$600,MATCH(B15,Geral!$A$7:$A$600,0))&amp;"",""))</f>
        <v/>
      </c>
      <c r="E15" s="15" t="n"/>
      <c r="F15" s="13" t="n"/>
      <c r="G15" s="36">
        <f>IF(B15="","",IFERROR(INDEX(Geral!$Q$7:$Q$600,MATCH(B15,Geral!$A$7:$A$600,0)),""))</f>
        <v/>
      </c>
      <c r="H15" s="19" t="n"/>
      <c r="I15" s="19" t="n"/>
      <c r="J15" s="15" t="n"/>
    </row>
    <row r="16">
      <c r="A16" s="15" t="n"/>
      <c r="B16" s="35">
        <f>IF(A16="","",IFERROR(LEFT(A16,FIND(" · ",A16)-1),A16))</f>
        <v/>
      </c>
      <c r="C16" s="35">
        <f>IF(B16="","",IFERROR(INDEX(Geral!$C$7:$C$600,MATCH(B16,Geral!$A$7:$A$600,0)),"ID não encontrado"))</f>
        <v/>
      </c>
      <c r="D16" s="35">
        <f>IF(B16="","",IFERROR(INDEX(Geral!$D$7:$D$600,MATCH(B16,Geral!$A$7:$A$600,0))&amp;"",""))</f>
        <v/>
      </c>
      <c r="E16" s="15" t="n"/>
      <c r="F16" s="13" t="n"/>
      <c r="G16" s="36">
        <f>IF(B16="","",IFERROR(INDEX(Geral!$Q$7:$Q$600,MATCH(B16,Geral!$A$7:$A$600,0)),""))</f>
        <v/>
      </c>
      <c r="H16" s="19" t="n"/>
      <c r="I16" s="19" t="n"/>
      <c r="J16" s="15" t="n"/>
    </row>
    <row r="17">
      <c r="A17" s="15" t="n"/>
      <c r="B17" s="35">
        <f>IF(A17="","",IFERROR(LEFT(A17,FIND(" · ",A17)-1),A17))</f>
        <v/>
      </c>
      <c r="C17" s="35">
        <f>IF(B17="","",IFERROR(INDEX(Geral!$C$7:$C$600,MATCH(B17,Geral!$A$7:$A$600,0)),"ID não encontrado"))</f>
        <v/>
      </c>
      <c r="D17" s="35">
        <f>IF(B17="","",IFERROR(INDEX(Geral!$D$7:$D$600,MATCH(B17,Geral!$A$7:$A$600,0))&amp;"",""))</f>
        <v/>
      </c>
      <c r="E17" s="15" t="n"/>
      <c r="F17" s="13" t="n"/>
      <c r="G17" s="36">
        <f>IF(B17="","",IFERROR(INDEX(Geral!$Q$7:$Q$600,MATCH(B17,Geral!$A$7:$A$600,0)),""))</f>
        <v/>
      </c>
      <c r="H17" s="19" t="n"/>
      <c r="I17" s="19" t="n"/>
      <c r="J17" s="15" t="n"/>
    </row>
    <row r="18">
      <c r="A18" s="15" t="n"/>
      <c r="B18" s="35">
        <f>IF(A18="","",IFERROR(LEFT(A18,FIND(" · ",A18)-1),A18))</f>
        <v/>
      </c>
      <c r="C18" s="35">
        <f>IF(B18="","",IFERROR(INDEX(Geral!$C$7:$C$600,MATCH(B18,Geral!$A$7:$A$600,0)),"ID não encontrado"))</f>
        <v/>
      </c>
      <c r="D18" s="35">
        <f>IF(B18="","",IFERROR(INDEX(Geral!$D$7:$D$600,MATCH(B18,Geral!$A$7:$A$600,0))&amp;"",""))</f>
        <v/>
      </c>
      <c r="E18" s="15" t="n"/>
      <c r="F18" s="13" t="n"/>
      <c r="G18" s="36">
        <f>IF(B18="","",IFERROR(INDEX(Geral!$Q$7:$Q$600,MATCH(B18,Geral!$A$7:$A$600,0)),""))</f>
        <v/>
      </c>
      <c r="H18" s="19" t="n"/>
      <c r="I18" s="19" t="n"/>
      <c r="J18" s="15" t="n"/>
    </row>
    <row r="19">
      <c r="A19" s="15" t="n"/>
      <c r="B19" s="35">
        <f>IF(A19="","",IFERROR(LEFT(A19,FIND(" · ",A19)-1),A19))</f>
        <v/>
      </c>
      <c r="C19" s="35">
        <f>IF(B19="","",IFERROR(INDEX(Geral!$C$7:$C$600,MATCH(B19,Geral!$A$7:$A$600,0)),"ID não encontrado"))</f>
        <v/>
      </c>
      <c r="D19" s="35">
        <f>IF(B19="","",IFERROR(INDEX(Geral!$D$7:$D$600,MATCH(B19,Geral!$A$7:$A$600,0))&amp;"",""))</f>
        <v/>
      </c>
      <c r="E19" s="15" t="n"/>
      <c r="F19" s="13" t="n"/>
      <c r="G19" s="36">
        <f>IF(B19="","",IFERROR(INDEX(Geral!$Q$7:$Q$600,MATCH(B19,Geral!$A$7:$A$600,0)),""))</f>
        <v/>
      </c>
      <c r="H19" s="19" t="n"/>
      <c r="I19" s="19" t="n"/>
      <c r="J19" s="15" t="n"/>
    </row>
    <row r="20">
      <c r="A20" s="15" t="n"/>
      <c r="B20" s="35">
        <f>IF(A20="","",IFERROR(LEFT(A20,FIND(" · ",A20)-1),A20))</f>
        <v/>
      </c>
      <c r="C20" s="35">
        <f>IF(B20="","",IFERROR(INDEX(Geral!$C$7:$C$600,MATCH(B20,Geral!$A$7:$A$600,0)),"ID não encontrado"))</f>
        <v/>
      </c>
      <c r="D20" s="35">
        <f>IF(B20="","",IFERROR(INDEX(Geral!$D$7:$D$600,MATCH(B20,Geral!$A$7:$A$600,0))&amp;"",""))</f>
        <v/>
      </c>
      <c r="E20" s="15" t="n"/>
      <c r="F20" s="13" t="n"/>
      <c r="G20" s="36">
        <f>IF(B20="","",IFERROR(INDEX(Geral!$Q$7:$Q$600,MATCH(B20,Geral!$A$7:$A$600,0)),""))</f>
        <v/>
      </c>
      <c r="H20" s="19" t="n"/>
      <c r="I20" s="19" t="n"/>
      <c r="J20" s="15" t="n"/>
    </row>
    <row r="21">
      <c r="A21" s="15" t="n"/>
      <c r="B21" s="35">
        <f>IF(A21="","",IFERROR(LEFT(A21,FIND(" · ",A21)-1),A21))</f>
        <v/>
      </c>
      <c r="C21" s="35">
        <f>IF(B21="","",IFERROR(INDEX(Geral!$C$7:$C$600,MATCH(B21,Geral!$A$7:$A$600,0)),"ID não encontrado"))</f>
        <v/>
      </c>
      <c r="D21" s="35">
        <f>IF(B21="","",IFERROR(INDEX(Geral!$D$7:$D$600,MATCH(B21,Geral!$A$7:$A$600,0))&amp;"",""))</f>
        <v/>
      </c>
      <c r="E21" s="15" t="n"/>
      <c r="F21" s="13" t="n"/>
      <c r="G21" s="36">
        <f>IF(B21="","",IFERROR(INDEX(Geral!$Q$7:$Q$600,MATCH(B21,Geral!$A$7:$A$600,0)),""))</f>
        <v/>
      </c>
      <c r="H21" s="19" t="n"/>
      <c r="I21" s="19" t="n"/>
      <c r="J21" s="15" t="n"/>
    </row>
    <row r="22">
      <c r="A22" s="15" t="n"/>
      <c r="B22" s="35">
        <f>IF(A22="","",IFERROR(LEFT(A22,FIND(" · ",A22)-1),A22))</f>
        <v/>
      </c>
      <c r="C22" s="35">
        <f>IF(B22="","",IFERROR(INDEX(Geral!$C$7:$C$600,MATCH(B22,Geral!$A$7:$A$600,0)),"ID não encontrado"))</f>
        <v/>
      </c>
      <c r="D22" s="35">
        <f>IF(B22="","",IFERROR(INDEX(Geral!$D$7:$D$600,MATCH(B22,Geral!$A$7:$A$600,0))&amp;"",""))</f>
        <v/>
      </c>
      <c r="E22" s="15" t="n"/>
      <c r="F22" s="13" t="n"/>
      <c r="G22" s="36">
        <f>IF(B22="","",IFERROR(INDEX(Geral!$Q$7:$Q$600,MATCH(B22,Geral!$A$7:$A$600,0)),""))</f>
        <v/>
      </c>
      <c r="H22" s="19" t="n"/>
      <c r="I22" s="19" t="n"/>
      <c r="J22" s="15" t="n"/>
    </row>
    <row r="23">
      <c r="A23" s="15" t="n"/>
      <c r="B23" s="35">
        <f>IF(A23="","",IFERROR(LEFT(A23,FIND(" · ",A23)-1),A23))</f>
        <v/>
      </c>
      <c r="C23" s="35">
        <f>IF(B23="","",IFERROR(INDEX(Geral!$C$7:$C$600,MATCH(B23,Geral!$A$7:$A$600,0)),"ID não encontrado"))</f>
        <v/>
      </c>
      <c r="D23" s="35">
        <f>IF(B23="","",IFERROR(INDEX(Geral!$D$7:$D$600,MATCH(B23,Geral!$A$7:$A$600,0))&amp;"",""))</f>
        <v/>
      </c>
      <c r="E23" s="15" t="n"/>
      <c r="F23" s="13" t="n"/>
      <c r="G23" s="36">
        <f>IF(B23="","",IFERROR(INDEX(Geral!$Q$7:$Q$600,MATCH(B23,Geral!$A$7:$A$600,0)),""))</f>
        <v/>
      </c>
      <c r="H23" s="19" t="n"/>
      <c r="I23" s="19" t="n"/>
      <c r="J23" s="15" t="n"/>
    </row>
    <row r="24">
      <c r="A24" s="15" t="n"/>
      <c r="B24" s="35">
        <f>IF(A24="","",IFERROR(LEFT(A24,FIND(" · ",A24)-1),A24))</f>
        <v/>
      </c>
      <c r="C24" s="35">
        <f>IF(B24="","",IFERROR(INDEX(Geral!$C$7:$C$600,MATCH(B24,Geral!$A$7:$A$600,0)),"ID não encontrado"))</f>
        <v/>
      </c>
      <c r="D24" s="35">
        <f>IF(B24="","",IFERROR(INDEX(Geral!$D$7:$D$600,MATCH(B24,Geral!$A$7:$A$600,0))&amp;"",""))</f>
        <v/>
      </c>
      <c r="E24" s="15" t="n"/>
      <c r="F24" s="13" t="n"/>
      <c r="G24" s="36">
        <f>IF(B24="","",IFERROR(INDEX(Geral!$Q$7:$Q$600,MATCH(B24,Geral!$A$7:$A$600,0)),""))</f>
        <v/>
      </c>
      <c r="H24" s="19" t="n"/>
      <c r="I24" s="19" t="n"/>
      <c r="J24" s="15" t="n"/>
    </row>
    <row r="25">
      <c r="A25" s="15" t="n"/>
      <c r="B25" s="35">
        <f>IF(A25="","",IFERROR(LEFT(A25,FIND(" · ",A25)-1),A25))</f>
        <v/>
      </c>
      <c r="C25" s="35">
        <f>IF(B25="","",IFERROR(INDEX(Geral!$C$7:$C$600,MATCH(B25,Geral!$A$7:$A$600,0)),"ID não encontrado"))</f>
        <v/>
      </c>
      <c r="D25" s="35">
        <f>IF(B25="","",IFERROR(INDEX(Geral!$D$7:$D$600,MATCH(B25,Geral!$A$7:$A$600,0))&amp;"",""))</f>
        <v/>
      </c>
      <c r="E25" s="15" t="n"/>
      <c r="F25" s="13" t="n"/>
      <c r="G25" s="36">
        <f>IF(B25="","",IFERROR(INDEX(Geral!$Q$7:$Q$600,MATCH(B25,Geral!$A$7:$A$600,0)),""))</f>
        <v/>
      </c>
      <c r="H25" s="19" t="n"/>
      <c r="I25" s="19" t="n"/>
      <c r="J25" s="15" t="n"/>
    </row>
    <row r="26">
      <c r="A26" s="15" t="n"/>
      <c r="B26" s="35">
        <f>IF(A26="","",IFERROR(LEFT(A26,FIND(" · ",A26)-1),A26))</f>
        <v/>
      </c>
      <c r="C26" s="35">
        <f>IF(B26="","",IFERROR(INDEX(Geral!$C$7:$C$600,MATCH(B26,Geral!$A$7:$A$600,0)),"ID não encontrado"))</f>
        <v/>
      </c>
      <c r="D26" s="35">
        <f>IF(B26="","",IFERROR(INDEX(Geral!$D$7:$D$600,MATCH(B26,Geral!$A$7:$A$600,0))&amp;"",""))</f>
        <v/>
      </c>
      <c r="E26" s="15" t="n"/>
      <c r="F26" s="13" t="n"/>
      <c r="G26" s="36">
        <f>IF(B26="","",IFERROR(INDEX(Geral!$Q$7:$Q$600,MATCH(B26,Geral!$A$7:$A$600,0)),""))</f>
        <v/>
      </c>
      <c r="H26" s="19" t="n"/>
      <c r="I26" s="19" t="n"/>
      <c r="J26" s="15" t="n"/>
    </row>
    <row r="27">
      <c r="A27" s="15" t="n"/>
      <c r="B27" s="35">
        <f>IF(A27="","",IFERROR(LEFT(A27,FIND(" · ",A27)-1),A27))</f>
        <v/>
      </c>
      <c r="C27" s="35">
        <f>IF(B27="","",IFERROR(INDEX(Geral!$C$7:$C$600,MATCH(B27,Geral!$A$7:$A$600,0)),"ID não encontrado"))</f>
        <v/>
      </c>
      <c r="D27" s="35">
        <f>IF(B27="","",IFERROR(INDEX(Geral!$D$7:$D$600,MATCH(B27,Geral!$A$7:$A$600,0))&amp;"",""))</f>
        <v/>
      </c>
      <c r="E27" s="15" t="n"/>
      <c r="F27" s="13" t="n"/>
      <c r="G27" s="36">
        <f>IF(B27="","",IFERROR(INDEX(Geral!$Q$7:$Q$600,MATCH(B27,Geral!$A$7:$A$600,0)),""))</f>
        <v/>
      </c>
      <c r="H27" s="19" t="n"/>
      <c r="I27" s="19" t="n"/>
      <c r="J27" s="15" t="n"/>
    </row>
    <row r="28">
      <c r="A28" s="15" t="n"/>
      <c r="B28" s="35">
        <f>IF(A28="","",IFERROR(LEFT(A28,FIND(" · ",A28)-1),A28))</f>
        <v/>
      </c>
      <c r="C28" s="35">
        <f>IF(B28="","",IFERROR(INDEX(Geral!$C$7:$C$600,MATCH(B28,Geral!$A$7:$A$600,0)),"ID não encontrado"))</f>
        <v/>
      </c>
      <c r="D28" s="35">
        <f>IF(B28="","",IFERROR(INDEX(Geral!$D$7:$D$600,MATCH(B28,Geral!$A$7:$A$600,0))&amp;"",""))</f>
        <v/>
      </c>
      <c r="E28" s="15" t="n"/>
      <c r="F28" s="13" t="n"/>
      <c r="G28" s="36">
        <f>IF(B28="","",IFERROR(INDEX(Geral!$Q$7:$Q$600,MATCH(B28,Geral!$A$7:$A$600,0)),""))</f>
        <v/>
      </c>
      <c r="H28" s="19" t="n"/>
      <c r="I28" s="19" t="n"/>
      <c r="J28" s="15" t="n"/>
    </row>
    <row r="29">
      <c r="A29" s="15" t="n"/>
      <c r="B29" s="35">
        <f>IF(A29="","",IFERROR(LEFT(A29,FIND(" · ",A29)-1),A29))</f>
        <v/>
      </c>
      <c r="C29" s="35">
        <f>IF(B29="","",IFERROR(INDEX(Geral!$C$7:$C$600,MATCH(B29,Geral!$A$7:$A$600,0)),"ID não encontrado"))</f>
        <v/>
      </c>
      <c r="D29" s="35">
        <f>IF(B29="","",IFERROR(INDEX(Geral!$D$7:$D$600,MATCH(B29,Geral!$A$7:$A$600,0))&amp;"",""))</f>
        <v/>
      </c>
      <c r="E29" s="15" t="n"/>
      <c r="F29" s="13" t="n"/>
      <c r="G29" s="36">
        <f>IF(B29="","",IFERROR(INDEX(Geral!$Q$7:$Q$600,MATCH(B29,Geral!$A$7:$A$600,0)),""))</f>
        <v/>
      </c>
      <c r="H29" s="19" t="n"/>
      <c r="I29" s="19" t="n"/>
      <c r="J29" s="15" t="n"/>
    </row>
    <row r="30">
      <c r="A30" s="15" t="n"/>
      <c r="B30" s="35">
        <f>IF(A30="","",IFERROR(LEFT(A30,FIND(" · ",A30)-1),A30))</f>
        <v/>
      </c>
      <c r="C30" s="35">
        <f>IF(B30="","",IFERROR(INDEX(Geral!$C$7:$C$600,MATCH(B30,Geral!$A$7:$A$600,0)),"ID não encontrado"))</f>
        <v/>
      </c>
      <c r="D30" s="35">
        <f>IF(B30="","",IFERROR(INDEX(Geral!$D$7:$D$600,MATCH(B30,Geral!$A$7:$A$600,0))&amp;"",""))</f>
        <v/>
      </c>
      <c r="E30" s="15" t="n"/>
      <c r="F30" s="13" t="n"/>
      <c r="G30" s="36">
        <f>IF(B30="","",IFERROR(INDEX(Geral!$Q$7:$Q$600,MATCH(B30,Geral!$A$7:$A$600,0)),""))</f>
        <v/>
      </c>
      <c r="H30" s="19" t="n"/>
      <c r="I30" s="19" t="n"/>
      <c r="J30" s="15" t="n"/>
    </row>
    <row r="31">
      <c r="A31" s="15" t="n"/>
      <c r="B31" s="35">
        <f>IF(A31="","",IFERROR(LEFT(A31,FIND(" · ",A31)-1),A31))</f>
        <v/>
      </c>
      <c r="C31" s="35">
        <f>IF(B31="","",IFERROR(INDEX(Geral!$C$7:$C$600,MATCH(B31,Geral!$A$7:$A$600,0)),"ID não encontrado"))</f>
        <v/>
      </c>
      <c r="D31" s="35">
        <f>IF(B31="","",IFERROR(INDEX(Geral!$D$7:$D$600,MATCH(B31,Geral!$A$7:$A$600,0))&amp;"",""))</f>
        <v/>
      </c>
      <c r="E31" s="15" t="n"/>
      <c r="F31" s="13" t="n"/>
      <c r="G31" s="36">
        <f>IF(B31="","",IFERROR(INDEX(Geral!$Q$7:$Q$600,MATCH(B31,Geral!$A$7:$A$600,0)),""))</f>
        <v/>
      </c>
      <c r="H31" s="19" t="n"/>
      <c r="I31" s="19" t="n"/>
      <c r="J31" s="15" t="n"/>
    </row>
    <row r="32">
      <c r="A32" s="15" t="n"/>
      <c r="B32" s="35">
        <f>IF(A32="","",IFERROR(LEFT(A32,FIND(" · ",A32)-1),A32))</f>
        <v/>
      </c>
      <c r="C32" s="35">
        <f>IF(B32="","",IFERROR(INDEX(Geral!$C$7:$C$600,MATCH(B32,Geral!$A$7:$A$600,0)),"ID não encontrado"))</f>
        <v/>
      </c>
      <c r="D32" s="35">
        <f>IF(B32="","",IFERROR(INDEX(Geral!$D$7:$D$600,MATCH(B32,Geral!$A$7:$A$600,0))&amp;"",""))</f>
        <v/>
      </c>
      <c r="E32" s="15" t="n"/>
      <c r="F32" s="13" t="n"/>
      <c r="G32" s="36">
        <f>IF(B32="","",IFERROR(INDEX(Geral!$Q$7:$Q$600,MATCH(B32,Geral!$A$7:$A$600,0)),""))</f>
        <v/>
      </c>
      <c r="H32" s="19" t="n"/>
      <c r="I32" s="19" t="n"/>
      <c r="J32" s="15" t="n"/>
    </row>
    <row r="33">
      <c r="A33" s="15" t="n"/>
      <c r="B33" s="35">
        <f>IF(A33="","",IFERROR(LEFT(A33,FIND(" · ",A33)-1),A33))</f>
        <v/>
      </c>
      <c r="C33" s="35">
        <f>IF(B33="","",IFERROR(INDEX(Geral!$C$7:$C$600,MATCH(B33,Geral!$A$7:$A$600,0)),"ID não encontrado"))</f>
        <v/>
      </c>
      <c r="D33" s="35">
        <f>IF(B33="","",IFERROR(INDEX(Geral!$D$7:$D$600,MATCH(B33,Geral!$A$7:$A$600,0))&amp;"",""))</f>
        <v/>
      </c>
      <c r="E33" s="15" t="n"/>
      <c r="F33" s="13" t="n"/>
      <c r="G33" s="36">
        <f>IF(B33="","",IFERROR(INDEX(Geral!$Q$7:$Q$600,MATCH(B33,Geral!$A$7:$A$600,0)),""))</f>
        <v/>
      </c>
      <c r="H33" s="19" t="n"/>
      <c r="I33" s="19" t="n"/>
      <c r="J33" s="15" t="n"/>
    </row>
    <row r="34">
      <c r="A34" s="15" t="n"/>
      <c r="B34" s="35">
        <f>IF(A34="","",IFERROR(LEFT(A34,FIND(" · ",A34)-1),A34))</f>
        <v/>
      </c>
      <c r="C34" s="35">
        <f>IF(B34="","",IFERROR(INDEX(Geral!$C$7:$C$600,MATCH(B34,Geral!$A$7:$A$600,0)),"ID não encontrado"))</f>
        <v/>
      </c>
      <c r="D34" s="35">
        <f>IF(B34="","",IFERROR(INDEX(Geral!$D$7:$D$600,MATCH(B34,Geral!$A$7:$A$600,0))&amp;"",""))</f>
        <v/>
      </c>
      <c r="E34" s="15" t="n"/>
      <c r="F34" s="13" t="n"/>
      <c r="G34" s="36">
        <f>IF(B34="","",IFERROR(INDEX(Geral!$Q$7:$Q$600,MATCH(B34,Geral!$A$7:$A$600,0)),""))</f>
        <v/>
      </c>
      <c r="H34" s="19" t="n"/>
      <c r="I34" s="19" t="n"/>
      <c r="J34" s="15" t="n"/>
    </row>
    <row r="35">
      <c r="A35" s="15" t="n"/>
      <c r="B35" s="35">
        <f>IF(A35="","",IFERROR(LEFT(A35,FIND(" · ",A35)-1),A35))</f>
        <v/>
      </c>
      <c r="C35" s="35">
        <f>IF(B35="","",IFERROR(INDEX(Geral!$C$7:$C$600,MATCH(B35,Geral!$A$7:$A$600,0)),"ID não encontrado"))</f>
        <v/>
      </c>
      <c r="D35" s="35">
        <f>IF(B35="","",IFERROR(INDEX(Geral!$D$7:$D$600,MATCH(B35,Geral!$A$7:$A$600,0))&amp;"",""))</f>
        <v/>
      </c>
      <c r="E35" s="15" t="n"/>
      <c r="F35" s="13" t="n"/>
      <c r="G35" s="36">
        <f>IF(B35="","",IFERROR(INDEX(Geral!$Q$7:$Q$600,MATCH(B35,Geral!$A$7:$A$600,0)),""))</f>
        <v/>
      </c>
      <c r="H35" s="19" t="n"/>
      <c r="I35" s="19" t="n"/>
      <c r="J35" s="15" t="n"/>
    </row>
    <row r="36">
      <c r="A36" s="15" t="n"/>
      <c r="B36" s="35">
        <f>IF(A36="","",IFERROR(LEFT(A36,FIND(" · ",A36)-1),A36))</f>
        <v/>
      </c>
      <c r="C36" s="35">
        <f>IF(B36="","",IFERROR(INDEX(Geral!$C$7:$C$600,MATCH(B36,Geral!$A$7:$A$600,0)),"ID não encontrado"))</f>
        <v/>
      </c>
      <c r="D36" s="35">
        <f>IF(B36="","",IFERROR(INDEX(Geral!$D$7:$D$600,MATCH(B36,Geral!$A$7:$A$600,0))&amp;"",""))</f>
        <v/>
      </c>
      <c r="E36" s="15" t="n"/>
      <c r="F36" s="13" t="n"/>
      <c r="G36" s="36">
        <f>IF(B36="","",IFERROR(INDEX(Geral!$Q$7:$Q$600,MATCH(B36,Geral!$A$7:$A$600,0)),""))</f>
        <v/>
      </c>
      <c r="H36" s="19" t="n"/>
      <c r="I36" s="19" t="n"/>
      <c r="J36" s="15" t="n"/>
    </row>
    <row r="37">
      <c r="A37" s="15" t="n"/>
      <c r="B37" s="35">
        <f>IF(A37="","",IFERROR(LEFT(A37,FIND(" · ",A37)-1),A37))</f>
        <v/>
      </c>
      <c r="C37" s="35">
        <f>IF(B37="","",IFERROR(INDEX(Geral!$C$7:$C$600,MATCH(B37,Geral!$A$7:$A$600,0)),"ID não encontrado"))</f>
        <v/>
      </c>
      <c r="D37" s="35">
        <f>IF(B37="","",IFERROR(INDEX(Geral!$D$7:$D$600,MATCH(B37,Geral!$A$7:$A$600,0))&amp;"",""))</f>
        <v/>
      </c>
      <c r="E37" s="15" t="n"/>
      <c r="F37" s="13" t="n"/>
      <c r="G37" s="36">
        <f>IF(B37="","",IFERROR(INDEX(Geral!$Q$7:$Q$600,MATCH(B37,Geral!$A$7:$A$600,0)),""))</f>
        <v/>
      </c>
      <c r="H37" s="19" t="n"/>
      <c r="I37" s="19" t="n"/>
      <c r="J37" s="15" t="n"/>
    </row>
    <row r="38">
      <c r="A38" s="15" t="n"/>
      <c r="B38" s="35">
        <f>IF(A38="","",IFERROR(LEFT(A38,FIND(" · ",A38)-1),A38))</f>
        <v/>
      </c>
      <c r="C38" s="35">
        <f>IF(B38="","",IFERROR(INDEX(Geral!$C$7:$C$600,MATCH(B38,Geral!$A$7:$A$600,0)),"ID não encontrado"))</f>
        <v/>
      </c>
      <c r="D38" s="35">
        <f>IF(B38="","",IFERROR(INDEX(Geral!$D$7:$D$600,MATCH(B38,Geral!$A$7:$A$600,0))&amp;"",""))</f>
        <v/>
      </c>
      <c r="E38" s="15" t="n"/>
      <c r="F38" s="13" t="n"/>
      <c r="G38" s="36">
        <f>IF(B38="","",IFERROR(INDEX(Geral!$Q$7:$Q$600,MATCH(B38,Geral!$A$7:$A$600,0)),""))</f>
        <v/>
      </c>
      <c r="H38" s="19" t="n"/>
      <c r="I38" s="19" t="n"/>
      <c r="J38" s="15" t="n"/>
    </row>
    <row r="39">
      <c r="A39" s="15" t="n"/>
      <c r="B39" s="35">
        <f>IF(A39="","",IFERROR(LEFT(A39,FIND(" · ",A39)-1),A39))</f>
        <v/>
      </c>
      <c r="C39" s="35">
        <f>IF(B39="","",IFERROR(INDEX(Geral!$C$7:$C$600,MATCH(B39,Geral!$A$7:$A$600,0)),"ID não encontrado"))</f>
        <v/>
      </c>
      <c r="D39" s="35">
        <f>IF(B39="","",IFERROR(INDEX(Geral!$D$7:$D$600,MATCH(B39,Geral!$A$7:$A$600,0))&amp;"",""))</f>
        <v/>
      </c>
      <c r="E39" s="15" t="n"/>
      <c r="F39" s="13" t="n"/>
      <c r="G39" s="36">
        <f>IF(B39="","",IFERROR(INDEX(Geral!$Q$7:$Q$600,MATCH(B39,Geral!$A$7:$A$600,0)),""))</f>
        <v/>
      </c>
      <c r="H39" s="19" t="n"/>
      <c r="I39" s="19" t="n"/>
      <c r="J39" s="15" t="n"/>
    </row>
    <row r="40">
      <c r="A40" s="15" t="n"/>
      <c r="B40" s="35">
        <f>IF(A40="","",IFERROR(LEFT(A40,FIND(" · ",A40)-1),A40))</f>
        <v/>
      </c>
      <c r="C40" s="35">
        <f>IF(B40="","",IFERROR(INDEX(Geral!$C$7:$C$600,MATCH(B40,Geral!$A$7:$A$600,0)),"ID não encontrado"))</f>
        <v/>
      </c>
      <c r="D40" s="35">
        <f>IF(B40="","",IFERROR(INDEX(Geral!$D$7:$D$600,MATCH(B40,Geral!$A$7:$A$600,0))&amp;"",""))</f>
        <v/>
      </c>
      <c r="E40" s="15" t="n"/>
      <c r="F40" s="13" t="n"/>
      <c r="G40" s="36">
        <f>IF(B40="","",IFERROR(INDEX(Geral!$Q$7:$Q$600,MATCH(B40,Geral!$A$7:$A$600,0)),""))</f>
        <v/>
      </c>
      <c r="H40" s="19" t="n"/>
      <c r="I40" s="19" t="n"/>
      <c r="J40" s="15" t="n"/>
    </row>
    <row r="41">
      <c r="A41" s="15" t="n"/>
      <c r="B41" s="35">
        <f>IF(A41="","",IFERROR(LEFT(A41,FIND(" · ",A41)-1),A41))</f>
        <v/>
      </c>
      <c r="C41" s="35">
        <f>IF(B41="","",IFERROR(INDEX(Geral!$C$7:$C$600,MATCH(B41,Geral!$A$7:$A$600,0)),"ID não encontrado"))</f>
        <v/>
      </c>
      <c r="D41" s="35">
        <f>IF(B41="","",IFERROR(INDEX(Geral!$D$7:$D$600,MATCH(B41,Geral!$A$7:$A$600,0))&amp;"",""))</f>
        <v/>
      </c>
      <c r="E41" s="15" t="n"/>
      <c r="F41" s="13" t="n"/>
      <c r="G41" s="36">
        <f>IF(B41="","",IFERROR(INDEX(Geral!$Q$7:$Q$600,MATCH(B41,Geral!$A$7:$A$600,0)),""))</f>
        <v/>
      </c>
      <c r="H41" s="19" t="n"/>
      <c r="I41" s="19" t="n"/>
      <c r="J41" s="15" t="n"/>
    </row>
    <row r="42">
      <c r="A42" s="15" t="n"/>
      <c r="B42" s="35">
        <f>IF(A42="","",IFERROR(LEFT(A42,FIND(" · ",A42)-1),A42))</f>
        <v/>
      </c>
      <c r="C42" s="35">
        <f>IF(B42="","",IFERROR(INDEX(Geral!$C$7:$C$600,MATCH(B42,Geral!$A$7:$A$600,0)),"ID não encontrado"))</f>
        <v/>
      </c>
      <c r="D42" s="35">
        <f>IF(B42="","",IFERROR(INDEX(Geral!$D$7:$D$600,MATCH(B42,Geral!$A$7:$A$600,0))&amp;"",""))</f>
        <v/>
      </c>
      <c r="E42" s="15" t="n"/>
      <c r="F42" s="13" t="n"/>
      <c r="G42" s="36">
        <f>IF(B42="","",IFERROR(INDEX(Geral!$Q$7:$Q$600,MATCH(B42,Geral!$A$7:$A$600,0)),""))</f>
        <v/>
      </c>
      <c r="H42" s="19" t="n"/>
      <c r="I42" s="19" t="n"/>
      <c r="J42" s="15" t="n"/>
    </row>
    <row r="43">
      <c r="A43" s="15" t="n"/>
      <c r="B43" s="35">
        <f>IF(A43="","",IFERROR(LEFT(A43,FIND(" · ",A43)-1),A43))</f>
        <v/>
      </c>
      <c r="C43" s="35">
        <f>IF(B43="","",IFERROR(INDEX(Geral!$C$7:$C$600,MATCH(B43,Geral!$A$7:$A$600,0)),"ID não encontrado"))</f>
        <v/>
      </c>
      <c r="D43" s="35">
        <f>IF(B43="","",IFERROR(INDEX(Geral!$D$7:$D$600,MATCH(B43,Geral!$A$7:$A$600,0))&amp;"",""))</f>
        <v/>
      </c>
      <c r="E43" s="15" t="n"/>
      <c r="F43" s="13" t="n"/>
      <c r="G43" s="36">
        <f>IF(B43="","",IFERROR(INDEX(Geral!$Q$7:$Q$600,MATCH(B43,Geral!$A$7:$A$600,0)),""))</f>
        <v/>
      </c>
      <c r="H43" s="19" t="n"/>
      <c r="I43" s="19" t="n"/>
      <c r="J43" s="15" t="n"/>
    </row>
    <row r="44">
      <c r="A44" s="15" t="n"/>
      <c r="B44" s="35">
        <f>IF(A44="","",IFERROR(LEFT(A44,FIND(" · ",A44)-1),A44))</f>
        <v/>
      </c>
      <c r="C44" s="35">
        <f>IF(B44="","",IFERROR(INDEX(Geral!$C$7:$C$600,MATCH(B44,Geral!$A$7:$A$600,0)),"ID não encontrado"))</f>
        <v/>
      </c>
      <c r="D44" s="35">
        <f>IF(B44="","",IFERROR(INDEX(Geral!$D$7:$D$600,MATCH(B44,Geral!$A$7:$A$600,0))&amp;"",""))</f>
        <v/>
      </c>
      <c r="E44" s="15" t="n"/>
      <c r="F44" s="13" t="n"/>
      <c r="G44" s="36">
        <f>IF(B44="","",IFERROR(INDEX(Geral!$Q$7:$Q$600,MATCH(B44,Geral!$A$7:$A$600,0)),""))</f>
        <v/>
      </c>
      <c r="H44" s="19" t="n"/>
      <c r="I44" s="19" t="n"/>
      <c r="J44" s="15" t="n"/>
    </row>
    <row r="45">
      <c r="A45" s="15" t="n"/>
      <c r="B45" s="35">
        <f>IF(A45="","",IFERROR(LEFT(A45,FIND(" · ",A45)-1),A45))</f>
        <v/>
      </c>
      <c r="C45" s="35">
        <f>IF(B45="","",IFERROR(INDEX(Geral!$C$7:$C$600,MATCH(B45,Geral!$A$7:$A$600,0)),"ID não encontrado"))</f>
        <v/>
      </c>
      <c r="D45" s="35">
        <f>IF(B45="","",IFERROR(INDEX(Geral!$D$7:$D$600,MATCH(B45,Geral!$A$7:$A$600,0))&amp;"",""))</f>
        <v/>
      </c>
      <c r="E45" s="15" t="n"/>
      <c r="F45" s="13" t="n"/>
      <c r="G45" s="36">
        <f>IF(B45="","",IFERROR(INDEX(Geral!$Q$7:$Q$600,MATCH(B45,Geral!$A$7:$A$600,0)),""))</f>
        <v/>
      </c>
      <c r="H45" s="19" t="n"/>
      <c r="I45" s="19" t="n"/>
      <c r="J45" s="15" t="n"/>
    </row>
    <row r="46">
      <c r="A46" s="15" t="n"/>
      <c r="B46" s="35">
        <f>IF(A46="","",IFERROR(LEFT(A46,FIND(" · ",A46)-1),A46))</f>
        <v/>
      </c>
      <c r="C46" s="35">
        <f>IF(B46="","",IFERROR(INDEX(Geral!$C$7:$C$600,MATCH(B46,Geral!$A$7:$A$600,0)),"ID não encontrado"))</f>
        <v/>
      </c>
      <c r="D46" s="35">
        <f>IF(B46="","",IFERROR(INDEX(Geral!$D$7:$D$600,MATCH(B46,Geral!$A$7:$A$600,0))&amp;"",""))</f>
        <v/>
      </c>
      <c r="E46" s="15" t="n"/>
      <c r="F46" s="13" t="n"/>
      <c r="G46" s="36">
        <f>IF(B46="","",IFERROR(INDEX(Geral!$Q$7:$Q$600,MATCH(B46,Geral!$A$7:$A$600,0)),""))</f>
        <v/>
      </c>
      <c r="H46" s="19" t="n"/>
      <c r="I46" s="19" t="n"/>
      <c r="J46" s="15" t="n"/>
    </row>
    <row r="47">
      <c r="A47" s="15" t="n"/>
      <c r="B47" s="35">
        <f>IF(A47="","",IFERROR(LEFT(A47,FIND(" · ",A47)-1),A47))</f>
        <v/>
      </c>
      <c r="C47" s="35">
        <f>IF(B47="","",IFERROR(INDEX(Geral!$C$7:$C$600,MATCH(B47,Geral!$A$7:$A$600,0)),"ID não encontrado"))</f>
        <v/>
      </c>
      <c r="D47" s="35">
        <f>IF(B47="","",IFERROR(INDEX(Geral!$D$7:$D$600,MATCH(B47,Geral!$A$7:$A$600,0))&amp;"",""))</f>
        <v/>
      </c>
      <c r="E47" s="15" t="n"/>
      <c r="F47" s="13" t="n"/>
      <c r="G47" s="36">
        <f>IF(B47="","",IFERROR(INDEX(Geral!$Q$7:$Q$600,MATCH(B47,Geral!$A$7:$A$600,0)),""))</f>
        <v/>
      </c>
      <c r="H47" s="19" t="n"/>
      <c r="I47" s="19" t="n"/>
      <c r="J47" s="15" t="n"/>
    </row>
    <row r="48">
      <c r="A48" s="15" t="n"/>
      <c r="B48" s="35">
        <f>IF(A48="","",IFERROR(LEFT(A48,FIND(" · ",A48)-1),A48))</f>
        <v/>
      </c>
      <c r="C48" s="35">
        <f>IF(B48="","",IFERROR(INDEX(Geral!$C$7:$C$600,MATCH(B48,Geral!$A$7:$A$600,0)),"ID não encontrado"))</f>
        <v/>
      </c>
      <c r="D48" s="35">
        <f>IF(B48="","",IFERROR(INDEX(Geral!$D$7:$D$600,MATCH(B48,Geral!$A$7:$A$600,0))&amp;"",""))</f>
        <v/>
      </c>
      <c r="E48" s="15" t="n"/>
      <c r="F48" s="13" t="n"/>
      <c r="G48" s="36">
        <f>IF(B48="","",IFERROR(INDEX(Geral!$Q$7:$Q$600,MATCH(B48,Geral!$A$7:$A$600,0)),""))</f>
        <v/>
      </c>
      <c r="H48" s="19" t="n"/>
      <c r="I48" s="19" t="n"/>
      <c r="J48" s="15" t="n"/>
    </row>
    <row r="49">
      <c r="A49" s="15" t="n"/>
      <c r="B49" s="35">
        <f>IF(A49="","",IFERROR(LEFT(A49,FIND(" · ",A49)-1),A49))</f>
        <v/>
      </c>
      <c r="C49" s="35">
        <f>IF(B49="","",IFERROR(INDEX(Geral!$C$7:$C$600,MATCH(B49,Geral!$A$7:$A$600,0)),"ID não encontrado"))</f>
        <v/>
      </c>
      <c r="D49" s="35">
        <f>IF(B49="","",IFERROR(INDEX(Geral!$D$7:$D$600,MATCH(B49,Geral!$A$7:$A$600,0))&amp;"",""))</f>
        <v/>
      </c>
      <c r="E49" s="15" t="n"/>
      <c r="F49" s="13" t="n"/>
      <c r="G49" s="36">
        <f>IF(B49="","",IFERROR(INDEX(Geral!$Q$7:$Q$600,MATCH(B49,Geral!$A$7:$A$600,0)),""))</f>
        <v/>
      </c>
      <c r="H49" s="19" t="n"/>
      <c r="I49" s="19" t="n"/>
      <c r="J49" s="15" t="n"/>
    </row>
    <row r="50">
      <c r="A50" s="15" t="n"/>
      <c r="B50" s="35">
        <f>IF(A50="","",IFERROR(LEFT(A50,FIND(" · ",A50)-1),A50))</f>
        <v/>
      </c>
      <c r="C50" s="35">
        <f>IF(B50="","",IFERROR(INDEX(Geral!$C$7:$C$600,MATCH(B50,Geral!$A$7:$A$600,0)),"ID não encontrado"))</f>
        <v/>
      </c>
      <c r="D50" s="35">
        <f>IF(B50="","",IFERROR(INDEX(Geral!$D$7:$D$600,MATCH(B50,Geral!$A$7:$A$600,0))&amp;"",""))</f>
        <v/>
      </c>
      <c r="E50" s="15" t="n"/>
      <c r="F50" s="13" t="n"/>
      <c r="G50" s="36">
        <f>IF(B50="","",IFERROR(INDEX(Geral!$Q$7:$Q$600,MATCH(B50,Geral!$A$7:$A$600,0)),""))</f>
        <v/>
      </c>
      <c r="H50" s="19" t="n"/>
      <c r="I50" s="19" t="n"/>
      <c r="J50" s="15" t="n"/>
    </row>
    <row r="51">
      <c r="A51" s="15" t="n"/>
      <c r="B51" s="35">
        <f>IF(A51="","",IFERROR(LEFT(A51,FIND(" · ",A51)-1),A51))</f>
        <v/>
      </c>
      <c r="C51" s="35">
        <f>IF(B51="","",IFERROR(INDEX(Geral!$C$7:$C$600,MATCH(B51,Geral!$A$7:$A$600,0)),"ID não encontrado"))</f>
        <v/>
      </c>
      <c r="D51" s="35">
        <f>IF(B51="","",IFERROR(INDEX(Geral!$D$7:$D$600,MATCH(B51,Geral!$A$7:$A$600,0))&amp;"",""))</f>
        <v/>
      </c>
      <c r="E51" s="15" t="n"/>
      <c r="F51" s="13" t="n"/>
      <c r="G51" s="36">
        <f>IF(B51="","",IFERROR(INDEX(Geral!$Q$7:$Q$600,MATCH(B51,Geral!$A$7:$A$600,0)),""))</f>
        <v/>
      </c>
      <c r="H51" s="19" t="n"/>
      <c r="I51" s="19" t="n"/>
      <c r="J51" s="15" t="n"/>
    </row>
    <row r="52">
      <c r="A52" s="15" t="n"/>
      <c r="B52" s="35">
        <f>IF(A52="","",IFERROR(LEFT(A52,FIND(" · ",A52)-1),A52))</f>
        <v/>
      </c>
      <c r="C52" s="35">
        <f>IF(B52="","",IFERROR(INDEX(Geral!$C$7:$C$600,MATCH(B52,Geral!$A$7:$A$600,0)),"ID não encontrado"))</f>
        <v/>
      </c>
      <c r="D52" s="35">
        <f>IF(B52="","",IFERROR(INDEX(Geral!$D$7:$D$600,MATCH(B52,Geral!$A$7:$A$600,0))&amp;"",""))</f>
        <v/>
      </c>
      <c r="E52" s="15" t="n"/>
      <c r="F52" s="13" t="n"/>
      <c r="G52" s="36">
        <f>IF(B52="","",IFERROR(INDEX(Geral!$Q$7:$Q$600,MATCH(B52,Geral!$A$7:$A$600,0)),""))</f>
        <v/>
      </c>
      <c r="H52" s="19" t="n"/>
      <c r="I52" s="19" t="n"/>
      <c r="J52" s="15" t="n"/>
    </row>
    <row r="53">
      <c r="A53" s="15" t="n"/>
      <c r="B53" s="35">
        <f>IF(A53="","",IFERROR(LEFT(A53,FIND(" · ",A53)-1),A53))</f>
        <v/>
      </c>
      <c r="C53" s="35">
        <f>IF(B53="","",IFERROR(INDEX(Geral!$C$7:$C$600,MATCH(B53,Geral!$A$7:$A$600,0)),"ID não encontrado"))</f>
        <v/>
      </c>
      <c r="D53" s="35">
        <f>IF(B53="","",IFERROR(INDEX(Geral!$D$7:$D$600,MATCH(B53,Geral!$A$7:$A$600,0))&amp;"",""))</f>
        <v/>
      </c>
      <c r="E53" s="15" t="n"/>
      <c r="F53" s="13" t="n"/>
      <c r="G53" s="36">
        <f>IF(B53="","",IFERROR(INDEX(Geral!$Q$7:$Q$600,MATCH(B53,Geral!$A$7:$A$600,0)),""))</f>
        <v/>
      </c>
      <c r="H53" s="19" t="n"/>
      <c r="I53" s="19" t="n"/>
      <c r="J53" s="15" t="n"/>
    </row>
    <row r="54">
      <c r="A54" s="15" t="n"/>
      <c r="B54" s="35">
        <f>IF(A54="","",IFERROR(LEFT(A54,FIND(" · ",A54)-1),A54))</f>
        <v/>
      </c>
      <c r="C54" s="35">
        <f>IF(B54="","",IFERROR(INDEX(Geral!$C$7:$C$600,MATCH(B54,Geral!$A$7:$A$600,0)),"ID não encontrado"))</f>
        <v/>
      </c>
      <c r="D54" s="35">
        <f>IF(B54="","",IFERROR(INDEX(Geral!$D$7:$D$600,MATCH(B54,Geral!$A$7:$A$600,0))&amp;"",""))</f>
        <v/>
      </c>
      <c r="E54" s="15" t="n"/>
      <c r="F54" s="13" t="n"/>
      <c r="G54" s="36">
        <f>IF(B54="","",IFERROR(INDEX(Geral!$Q$7:$Q$600,MATCH(B54,Geral!$A$7:$A$600,0)),""))</f>
        <v/>
      </c>
      <c r="H54" s="19" t="n"/>
      <c r="I54" s="19" t="n"/>
      <c r="J54" s="15" t="n"/>
    </row>
    <row r="55">
      <c r="A55" s="15" t="n"/>
      <c r="B55" s="35">
        <f>IF(A55="","",IFERROR(LEFT(A55,FIND(" · ",A55)-1),A55))</f>
        <v/>
      </c>
      <c r="C55" s="35">
        <f>IF(B55="","",IFERROR(INDEX(Geral!$C$7:$C$600,MATCH(B55,Geral!$A$7:$A$600,0)),"ID não encontrado"))</f>
        <v/>
      </c>
      <c r="D55" s="35">
        <f>IF(B55="","",IFERROR(INDEX(Geral!$D$7:$D$600,MATCH(B55,Geral!$A$7:$A$600,0))&amp;"",""))</f>
        <v/>
      </c>
      <c r="E55" s="15" t="n"/>
      <c r="F55" s="13" t="n"/>
      <c r="G55" s="36">
        <f>IF(B55="","",IFERROR(INDEX(Geral!$Q$7:$Q$600,MATCH(B55,Geral!$A$7:$A$600,0)),""))</f>
        <v/>
      </c>
      <c r="H55" s="19" t="n"/>
      <c r="I55" s="19" t="n"/>
      <c r="J55" s="15" t="n"/>
    </row>
    <row r="56">
      <c r="A56" s="15" t="n"/>
      <c r="B56" s="35">
        <f>IF(A56="","",IFERROR(LEFT(A56,FIND(" · ",A56)-1),A56))</f>
        <v/>
      </c>
      <c r="C56" s="35">
        <f>IF(B56="","",IFERROR(INDEX(Geral!$C$7:$C$600,MATCH(B56,Geral!$A$7:$A$600,0)),"ID não encontrado"))</f>
        <v/>
      </c>
      <c r="D56" s="35">
        <f>IF(B56="","",IFERROR(INDEX(Geral!$D$7:$D$600,MATCH(B56,Geral!$A$7:$A$600,0))&amp;"",""))</f>
        <v/>
      </c>
      <c r="E56" s="15" t="n"/>
      <c r="F56" s="13" t="n"/>
      <c r="G56" s="36">
        <f>IF(B56="","",IFERROR(INDEX(Geral!$Q$7:$Q$600,MATCH(B56,Geral!$A$7:$A$600,0)),""))</f>
        <v/>
      </c>
      <c r="H56" s="19" t="n"/>
      <c r="I56" s="19" t="n"/>
      <c r="J56" s="15" t="n"/>
    </row>
    <row r="57">
      <c r="A57" s="15" t="n"/>
      <c r="B57" s="35">
        <f>IF(A57="","",IFERROR(LEFT(A57,FIND(" · ",A57)-1),A57))</f>
        <v/>
      </c>
      <c r="C57" s="35">
        <f>IF(B57="","",IFERROR(INDEX(Geral!$C$7:$C$600,MATCH(B57,Geral!$A$7:$A$600,0)),"ID não encontrado"))</f>
        <v/>
      </c>
      <c r="D57" s="35">
        <f>IF(B57="","",IFERROR(INDEX(Geral!$D$7:$D$600,MATCH(B57,Geral!$A$7:$A$600,0))&amp;"",""))</f>
        <v/>
      </c>
      <c r="E57" s="15" t="n"/>
      <c r="F57" s="13" t="n"/>
      <c r="G57" s="36">
        <f>IF(B57="","",IFERROR(INDEX(Geral!$Q$7:$Q$600,MATCH(B57,Geral!$A$7:$A$600,0)),""))</f>
        <v/>
      </c>
      <c r="H57" s="19" t="n"/>
      <c r="I57" s="19" t="n"/>
      <c r="J57" s="15" t="n"/>
    </row>
    <row r="58">
      <c r="A58" s="15" t="n"/>
      <c r="B58" s="35">
        <f>IF(A58="","",IFERROR(LEFT(A58,FIND(" · ",A58)-1),A58))</f>
        <v/>
      </c>
      <c r="C58" s="35">
        <f>IF(B58="","",IFERROR(INDEX(Geral!$C$7:$C$600,MATCH(B58,Geral!$A$7:$A$600,0)),"ID não encontrado"))</f>
        <v/>
      </c>
      <c r="D58" s="35">
        <f>IF(B58="","",IFERROR(INDEX(Geral!$D$7:$D$600,MATCH(B58,Geral!$A$7:$A$600,0))&amp;"",""))</f>
        <v/>
      </c>
      <c r="E58" s="15" t="n"/>
      <c r="F58" s="13" t="n"/>
      <c r="G58" s="36">
        <f>IF(B58="","",IFERROR(INDEX(Geral!$Q$7:$Q$600,MATCH(B58,Geral!$A$7:$A$600,0)),""))</f>
        <v/>
      </c>
      <c r="H58" s="19" t="n"/>
      <c r="I58" s="19" t="n"/>
      <c r="J58" s="15" t="n"/>
    </row>
    <row r="59">
      <c r="A59" s="15" t="n"/>
      <c r="B59" s="35">
        <f>IF(A59="","",IFERROR(LEFT(A59,FIND(" · ",A59)-1),A59))</f>
        <v/>
      </c>
      <c r="C59" s="35">
        <f>IF(B59="","",IFERROR(INDEX(Geral!$C$7:$C$600,MATCH(B59,Geral!$A$7:$A$600,0)),"ID não encontrado"))</f>
        <v/>
      </c>
      <c r="D59" s="35">
        <f>IF(B59="","",IFERROR(INDEX(Geral!$D$7:$D$600,MATCH(B59,Geral!$A$7:$A$600,0))&amp;"",""))</f>
        <v/>
      </c>
      <c r="E59" s="15" t="n"/>
      <c r="F59" s="13" t="n"/>
      <c r="G59" s="36">
        <f>IF(B59="","",IFERROR(INDEX(Geral!$Q$7:$Q$600,MATCH(B59,Geral!$A$7:$A$600,0)),""))</f>
        <v/>
      </c>
      <c r="H59" s="19" t="n"/>
      <c r="I59" s="19" t="n"/>
      <c r="J59" s="15" t="n"/>
    </row>
    <row r="60">
      <c r="A60" s="15" t="n"/>
      <c r="B60" s="35">
        <f>IF(A60="","",IFERROR(LEFT(A60,FIND(" · ",A60)-1),A60))</f>
        <v/>
      </c>
      <c r="C60" s="35">
        <f>IF(B60="","",IFERROR(INDEX(Geral!$C$7:$C$600,MATCH(B60,Geral!$A$7:$A$600,0)),"ID não encontrado"))</f>
        <v/>
      </c>
      <c r="D60" s="35">
        <f>IF(B60="","",IFERROR(INDEX(Geral!$D$7:$D$600,MATCH(B60,Geral!$A$7:$A$600,0))&amp;"",""))</f>
        <v/>
      </c>
      <c r="E60" s="15" t="n"/>
      <c r="F60" s="13" t="n"/>
      <c r="G60" s="36">
        <f>IF(B60="","",IFERROR(INDEX(Geral!$Q$7:$Q$600,MATCH(B60,Geral!$A$7:$A$600,0)),""))</f>
        <v/>
      </c>
      <c r="H60" s="19" t="n"/>
      <c r="I60" s="19" t="n"/>
      <c r="J60" s="15" t="n"/>
    </row>
    <row r="61">
      <c r="A61" s="15" t="n"/>
      <c r="B61" s="35">
        <f>IF(A61="","",IFERROR(LEFT(A61,FIND(" · ",A61)-1),A61))</f>
        <v/>
      </c>
      <c r="C61" s="35">
        <f>IF(B61="","",IFERROR(INDEX(Geral!$C$7:$C$600,MATCH(B61,Geral!$A$7:$A$600,0)),"ID não encontrado"))</f>
        <v/>
      </c>
      <c r="D61" s="35">
        <f>IF(B61="","",IFERROR(INDEX(Geral!$D$7:$D$600,MATCH(B61,Geral!$A$7:$A$600,0))&amp;"",""))</f>
        <v/>
      </c>
      <c r="E61" s="15" t="n"/>
      <c r="F61" s="13" t="n"/>
      <c r="G61" s="36">
        <f>IF(B61="","",IFERROR(INDEX(Geral!$Q$7:$Q$600,MATCH(B61,Geral!$A$7:$A$600,0)),""))</f>
        <v/>
      </c>
      <c r="H61" s="19" t="n"/>
      <c r="I61" s="19" t="n"/>
      <c r="J61" s="15" t="n"/>
    </row>
    <row r="62">
      <c r="A62" s="15" t="n"/>
      <c r="B62" s="35">
        <f>IF(A62="","",IFERROR(LEFT(A62,FIND(" · ",A62)-1),A62))</f>
        <v/>
      </c>
      <c r="C62" s="35">
        <f>IF(B62="","",IFERROR(INDEX(Geral!$C$7:$C$600,MATCH(B62,Geral!$A$7:$A$600,0)),"ID não encontrado"))</f>
        <v/>
      </c>
      <c r="D62" s="35">
        <f>IF(B62="","",IFERROR(INDEX(Geral!$D$7:$D$600,MATCH(B62,Geral!$A$7:$A$600,0))&amp;"",""))</f>
        <v/>
      </c>
      <c r="E62" s="15" t="n"/>
      <c r="F62" s="13" t="n"/>
      <c r="G62" s="36">
        <f>IF(B62="","",IFERROR(INDEX(Geral!$Q$7:$Q$600,MATCH(B62,Geral!$A$7:$A$600,0)),""))</f>
        <v/>
      </c>
      <c r="H62" s="19" t="n"/>
      <c r="I62" s="19" t="n"/>
      <c r="J62" s="15" t="n"/>
    </row>
    <row r="63">
      <c r="A63" s="15" t="n"/>
      <c r="B63" s="35">
        <f>IF(A63="","",IFERROR(LEFT(A63,FIND(" · ",A63)-1),A63))</f>
        <v/>
      </c>
      <c r="C63" s="35">
        <f>IF(B63="","",IFERROR(INDEX(Geral!$C$7:$C$600,MATCH(B63,Geral!$A$7:$A$600,0)),"ID não encontrado"))</f>
        <v/>
      </c>
      <c r="D63" s="35">
        <f>IF(B63="","",IFERROR(INDEX(Geral!$D$7:$D$600,MATCH(B63,Geral!$A$7:$A$600,0))&amp;"",""))</f>
        <v/>
      </c>
      <c r="E63" s="15" t="n"/>
      <c r="F63" s="13" t="n"/>
      <c r="G63" s="36">
        <f>IF(B63="","",IFERROR(INDEX(Geral!$Q$7:$Q$600,MATCH(B63,Geral!$A$7:$A$600,0)),""))</f>
        <v/>
      </c>
      <c r="H63" s="19" t="n"/>
      <c r="I63" s="19" t="n"/>
      <c r="J63" s="15" t="n"/>
    </row>
    <row r="64">
      <c r="A64" s="15" t="n"/>
      <c r="B64" s="35">
        <f>IF(A64="","",IFERROR(LEFT(A64,FIND(" · ",A64)-1),A64))</f>
        <v/>
      </c>
      <c r="C64" s="35">
        <f>IF(B64="","",IFERROR(INDEX(Geral!$C$7:$C$600,MATCH(B64,Geral!$A$7:$A$600,0)),"ID não encontrado"))</f>
        <v/>
      </c>
      <c r="D64" s="35">
        <f>IF(B64="","",IFERROR(INDEX(Geral!$D$7:$D$600,MATCH(B64,Geral!$A$7:$A$600,0))&amp;"",""))</f>
        <v/>
      </c>
      <c r="E64" s="15" t="n"/>
      <c r="F64" s="13" t="n"/>
      <c r="G64" s="36">
        <f>IF(B64="","",IFERROR(INDEX(Geral!$Q$7:$Q$600,MATCH(B64,Geral!$A$7:$A$600,0)),""))</f>
        <v/>
      </c>
      <c r="H64" s="19" t="n"/>
      <c r="I64" s="19" t="n"/>
      <c r="J64" s="15" t="n"/>
    </row>
    <row r="65">
      <c r="A65" s="15" t="n"/>
      <c r="B65" s="35">
        <f>IF(A65="","",IFERROR(LEFT(A65,FIND(" · ",A65)-1),A65))</f>
        <v/>
      </c>
      <c r="C65" s="35">
        <f>IF(B65="","",IFERROR(INDEX(Geral!$C$7:$C$600,MATCH(B65,Geral!$A$7:$A$600,0)),"ID não encontrado"))</f>
        <v/>
      </c>
      <c r="D65" s="35">
        <f>IF(B65="","",IFERROR(INDEX(Geral!$D$7:$D$600,MATCH(B65,Geral!$A$7:$A$600,0))&amp;"",""))</f>
        <v/>
      </c>
      <c r="E65" s="15" t="n"/>
      <c r="F65" s="13" t="n"/>
      <c r="G65" s="36">
        <f>IF(B65="","",IFERROR(INDEX(Geral!$Q$7:$Q$600,MATCH(B65,Geral!$A$7:$A$600,0)),""))</f>
        <v/>
      </c>
      <c r="H65" s="19" t="n"/>
      <c r="I65" s="19" t="n"/>
      <c r="J65" s="15" t="n"/>
    </row>
    <row r="66">
      <c r="A66" s="15" t="n"/>
      <c r="B66" s="35">
        <f>IF(A66="","",IFERROR(LEFT(A66,FIND(" · ",A66)-1),A66))</f>
        <v/>
      </c>
      <c r="C66" s="35">
        <f>IF(B66="","",IFERROR(INDEX(Geral!$C$7:$C$600,MATCH(B66,Geral!$A$7:$A$600,0)),"ID não encontrado"))</f>
        <v/>
      </c>
      <c r="D66" s="35">
        <f>IF(B66="","",IFERROR(INDEX(Geral!$D$7:$D$600,MATCH(B66,Geral!$A$7:$A$600,0))&amp;"",""))</f>
        <v/>
      </c>
      <c r="E66" s="15" t="n"/>
      <c r="F66" s="13" t="n"/>
      <c r="G66" s="36">
        <f>IF(B66="","",IFERROR(INDEX(Geral!$Q$7:$Q$600,MATCH(B66,Geral!$A$7:$A$600,0)),""))</f>
        <v/>
      </c>
      <c r="H66" s="19" t="n"/>
      <c r="I66" s="19" t="n"/>
      <c r="J66" s="15" t="n"/>
    </row>
    <row r="67">
      <c r="A67" s="15" t="n"/>
      <c r="B67" s="35">
        <f>IF(A67="","",IFERROR(LEFT(A67,FIND(" · ",A67)-1),A67))</f>
        <v/>
      </c>
      <c r="C67" s="35">
        <f>IF(B67="","",IFERROR(INDEX(Geral!$C$7:$C$600,MATCH(B67,Geral!$A$7:$A$600,0)),"ID não encontrado"))</f>
        <v/>
      </c>
      <c r="D67" s="35">
        <f>IF(B67="","",IFERROR(INDEX(Geral!$D$7:$D$600,MATCH(B67,Geral!$A$7:$A$600,0))&amp;"",""))</f>
        <v/>
      </c>
      <c r="E67" s="15" t="n"/>
      <c r="F67" s="13" t="n"/>
      <c r="G67" s="36">
        <f>IF(B67="","",IFERROR(INDEX(Geral!$Q$7:$Q$600,MATCH(B67,Geral!$A$7:$A$600,0)),""))</f>
        <v/>
      </c>
      <c r="H67" s="19" t="n"/>
      <c r="I67" s="19" t="n"/>
      <c r="J67" s="15" t="n"/>
    </row>
    <row r="68">
      <c r="A68" s="15" t="n"/>
      <c r="B68" s="35">
        <f>IF(A68="","",IFERROR(LEFT(A68,FIND(" · ",A68)-1),A68))</f>
        <v/>
      </c>
      <c r="C68" s="35">
        <f>IF(B68="","",IFERROR(INDEX(Geral!$C$7:$C$600,MATCH(B68,Geral!$A$7:$A$600,0)),"ID não encontrado"))</f>
        <v/>
      </c>
      <c r="D68" s="35">
        <f>IF(B68="","",IFERROR(INDEX(Geral!$D$7:$D$600,MATCH(B68,Geral!$A$7:$A$600,0))&amp;"",""))</f>
        <v/>
      </c>
      <c r="E68" s="15" t="n"/>
      <c r="F68" s="13" t="n"/>
      <c r="G68" s="36">
        <f>IF(B68="","",IFERROR(INDEX(Geral!$Q$7:$Q$600,MATCH(B68,Geral!$A$7:$A$600,0)),""))</f>
        <v/>
      </c>
      <c r="H68" s="19" t="n"/>
      <c r="I68" s="19" t="n"/>
      <c r="J68" s="15" t="n"/>
    </row>
    <row r="69">
      <c r="A69" s="15" t="n"/>
      <c r="B69" s="35">
        <f>IF(A69="","",IFERROR(LEFT(A69,FIND(" · ",A69)-1),A69))</f>
        <v/>
      </c>
      <c r="C69" s="35">
        <f>IF(B69="","",IFERROR(INDEX(Geral!$C$7:$C$600,MATCH(B69,Geral!$A$7:$A$600,0)),"ID não encontrado"))</f>
        <v/>
      </c>
      <c r="D69" s="35">
        <f>IF(B69="","",IFERROR(INDEX(Geral!$D$7:$D$600,MATCH(B69,Geral!$A$7:$A$600,0))&amp;"",""))</f>
        <v/>
      </c>
      <c r="E69" s="15" t="n"/>
      <c r="F69" s="13" t="n"/>
      <c r="G69" s="36">
        <f>IF(B69="","",IFERROR(INDEX(Geral!$Q$7:$Q$600,MATCH(B69,Geral!$A$7:$A$600,0)),""))</f>
        <v/>
      </c>
      <c r="H69" s="19" t="n"/>
      <c r="I69" s="19" t="n"/>
      <c r="J69" s="15" t="n"/>
    </row>
    <row r="70">
      <c r="A70" s="15" t="n"/>
      <c r="B70" s="35">
        <f>IF(A70="","",IFERROR(LEFT(A70,FIND(" · ",A70)-1),A70))</f>
        <v/>
      </c>
      <c r="C70" s="35">
        <f>IF(B70="","",IFERROR(INDEX(Geral!$C$7:$C$600,MATCH(B70,Geral!$A$7:$A$600,0)),"ID não encontrado"))</f>
        <v/>
      </c>
      <c r="D70" s="35">
        <f>IF(B70="","",IFERROR(INDEX(Geral!$D$7:$D$600,MATCH(B70,Geral!$A$7:$A$600,0))&amp;"",""))</f>
        <v/>
      </c>
      <c r="E70" s="15" t="n"/>
      <c r="F70" s="13" t="n"/>
      <c r="G70" s="36">
        <f>IF(B70="","",IFERROR(INDEX(Geral!$Q$7:$Q$600,MATCH(B70,Geral!$A$7:$A$600,0)),""))</f>
        <v/>
      </c>
      <c r="H70" s="19" t="n"/>
      <c r="I70" s="19" t="n"/>
      <c r="J70" s="15" t="n"/>
    </row>
    <row r="71">
      <c r="A71" s="15" t="n"/>
      <c r="B71" s="35">
        <f>IF(A71="","",IFERROR(LEFT(A71,FIND(" · ",A71)-1),A71))</f>
        <v/>
      </c>
      <c r="C71" s="35">
        <f>IF(B71="","",IFERROR(INDEX(Geral!$C$7:$C$600,MATCH(B71,Geral!$A$7:$A$600,0)),"ID não encontrado"))</f>
        <v/>
      </c>
      <c r="D71" s="35">
        <f>IF(B71="","",IFERROR(INDEX(Geral!$D$7:$D$600,MATCH(B71,Geral!$A$7:$A$600,0))&amp;"",""))</f>
        <v/>
      </c>
      <c r="E71" s="15" t="n"/>
      <c r="F71" s="13" t="n"/>
      <c r="G71" s="36">
        <f>IF(B71="","",IFERROR(INDEX(Geral!$Q$7:$Q$600,MATCH(B71,Geral!$A$7:$A$600,0)),""))</f>
        <v/>
      </c>
      <c r="H71" s="19" t="n"/>
      <c r="I71" s="19" t="n"/>
      <c r="J71" s="15" t="n"/>
    </row>
    <row r="72">
      <c r="A72" s="15" t="n"/>
      <c r="B72" s="35">
        <f>IF(A72="","",IFERROR(LEFT(A72,FIND(" · ",A72)-1),A72))</f>
        <v/>
      </c>
      <c r="C72" s="35">
        <f>IF(B72="","",IFERROR(INDEX(Geral!$C$7:$C$600,MATCH(B72,Geral!$A$7:$A$600,0)),"ID não encontrado"))</f>
        <v/>
      </c>
      <c r="D72" s="35">
        <f>IF(B72="","",IFERROR(INDEX(Geral!$D$7:$D$600,MATCH(B72,Geral!$A$7:$A$600,0))&amp;"",""))</f>
        <v/>
      </c>
      <c r="E72" s="15" t="n"/>
      <c r="F72" s="13" t="n"/>
      <c r="G72" s="36">
        <f>IF(B72="","",IFERROR(INDEX(Geral!$Q$7:$Q$600,MATCH(B72,Geral!$A$7:$A$600,0)),""))</f>
        <v/>
      </c>
      <c r="H72" s="19" t="n"/>
      <c r="I72" s="19" t="n"/>
      <c r="J72" s="15" t="n"/>
    </row>
    <row r="73">
      <c r="A73" s="15" t="n"/>
      <c r="B73" s="35">
        <f>IF(A73="","",IFERROR(LEFT(A73,FIND(" · ",A73)-1),A73))</f>
        <v/>
      </c>
      <c r="C73" s="35">
        <f>IF(B73="","",IFERROR(INDEX(Geral!$C$7:$C$600,MATCH(B73,Geral!$A$7:$A$600,0)),"ID não encontrado"))</f>
        <v/>
      </c>
      <c r="D73" s="35">
        <f>IF(B73="","",IFERROR(INDEX(Geral!$D$7:$D$600,MATCH(B73,Geral!$A$7:$A$600,0))&amp;"",""))</f>
        <v/>
      </c>
      <c r="E73" s="15" t="n"/>
      <c r="F73" s="13" t="n"/>
      <c r="G73" s="36">
        <f>IF(B73="","",IFERROR(INDEX(Geral!$Q$7:$Q$600,MATCH(B73,Geral!$A$7:$A$600,0)),""))</f>
        <v/>
      </c>
      <c r="H73" s="19" t="n"/>
      <c r="I73" s="19" t="n"/>
      <c r="J73" s="15" t="n"/>
    </row>
    <row r="74">
      <c r="A74" s="15" t="n"/>
      <c r="B74" s="35">
        <f>IF(A74="","",IFERROR(LEFT(A74,FIND(" · ",A74)-1),A74))</f>
        <v/>
      </c>
      <c r="C74" s="35">
        <f>IF(B74="","",IFERROR(INDEX(Geral!$C$7:$C$600,MATCH(B74,Geral!$A$7:$A$600,0)),"ID não encontrado"))</f>
        <v/>
      </c>
      <c r="D74" s="35">
        <f>IF(B74="","",IFERROR(INDEX(Geral!$D$7:$D$600,MATCH(B74,Geral!$A$7:$A$600,0))&amp;"",""))</f>
        <v/>
      </c>
      <c r="E74" s="15" t="n"/>
      <c r="F74" s="13" t="n"/>
      <c r="G74" s="36">
        <f>IF(B74="","",IFERROR(INDEX(Geral!$Q$7:$Q$600,MATCH(B74,Geral!$A$7:$A$600,0)),""))</f>
        <v/>
      </c>
      <c r="H74" s="19" t="n"/>
      <c r="I74" s="19" t="n"/>
      <c r="J74" s="15" t="n"/>
    </row>
    <row r="75">
      <c r="A75" s="15" t="n"/>
      <c r="B75" s="35">
        <f>IF(A75="","",IFERROR(LEFT(A75,FIND(" · ",A75)-1),A75))</f>
        <v/>
      </c>
      <c r="C75" s="35">
        <f>IF(B75="","",IFERROR(INDEX(Geral!$C$7:$C$600,MATCH(B75,Geral!$A$7:$A$600,0)),"ID não encontrado"))</f>
        <v/>
      </c>
      <c r="D75" s="35">
        <f>IF(B75="","",IFERROR(INDEX(Geral!$D$7:$D$600,MATCH(B75,Geral!$A$7:$A$600,0))&amp;"",""))</f>
        <v/>
      </c>
      <c r="E75" s="15" t="n"/>
      <c r="F75" s="13" t="n"/>
      <c r="G75" s="36">
        <f>IF(B75="","",IFERROR(INDEX(Geral!$Q$7:$Q$600,MATCH(B75,Geral!$A$7:$A$600,0)),""))</f>
        <v/>
      </c>
      <c r="H75" s="19" t="n"/>
      <c r="I75" s="19" t="n"/>
      <c r="J75" s="15" t="n"/>
    </row>
    <row r="76">
      <c r="A76" s="15" t="n"/>
      <c r="B76" s="35">
        <f>IF(A76="","",IFERROR(LEFT(A76,FIND(" · ",A76)-1),A76))</f>
        <v/>
      </c>
      <c r="C76" s="35">
        <f>IF(B76="","",IFERROR(INDEX(Geral!$C$7:$C$600,MATCH(B76,Geral!$A$7:$A$600,0)),"ID não encontrado"))</f>
        <v/>
      </c>
      <c r="D76" s="35">
        <f>IF(B76="","",IFERROR(INDEX(Geral!$D$7:$D$600,MATCH(B76,Geral!$A$7:$A$600,0))&amp;"",""))</f>
        <v/>
      </c>
      <c r="E76" s="15" t="n"/>
      <c r="F76" s="13" t="n"/>
      <c r="G76" s="36">
        <f>IF(B76="","",IFERROR(INDEX(Geral!$Q$7:$Q$600,MATCH(B76,Geral!$A$7:$A$600,0)),""))</f>
        <v/>
      </c>
      <c r="H76" s="19" t="n"/>
      <c r="I76" s="19" t="n"/>
      <c r="J76" s="15" t="n"/>
    </row>
    <row r="77">
      <c r="A77" s="15" t="n"/>
      <c r="B77" s="35">
        <f>IF(A77="","",IFERROR(LEFT(A77,FIND(" · ",A77)-1),A77))</f>
        <v/>
      </c>
      <c r="C77" s="35">
        <f>IF(B77="","",IFERROR(INDEX(Geral!$C$7:$C$600,MATCH(B77,Geral!$A$7:$A$600,0)),"ID não encontrado"))</f>
        <v/>
      </c>
      <c r="D77" s="35">
        <f>IF(B77="","",IFERROR(INDEX(Geral!$D$7:$D$600,MATCH(B77,Geral!$A$7:$A$600,0))&amp;"",""))</f>
        <v/>
      </c>
      <c r="E77" s="15" t="n"/>
      <c r="F77" s="13" t="n"/>
      <c r="G77" s="36">
        <f>IF(B77="","",IFERROR(INDEX(Geral!$Q$7:$Q$600,MATCH(B77,Geral!$A$7:$A$600,0)),""))</f>
        <v/>
      </c>
      <c r="H77" s="19" t="n"/>
      <c r="I77" s="19" t="n"/>
      <c r="J77" s="15" t="n"/>
    </row>
    <row r="78">
      <c r="A78" s="15" t="n"/>
      <c r="B78" s="35">
        <f>IF(A78="","",IFERROR(LEFT(A78,FIND(" · ",A78)-1),A78))</f>
        <v/>
      </c>
      <c r="C78" s="35">
        <f>IF(B78="","",IFERROR(INDEX(Geral!$C$7:$C$600,MATCH(B78,Geral!$A$7:$A$600,0)),"ID não encontrado"))</f>
        <v/>
      </c>
      <c r="D78" s="35">
        <f>IF(B78="","",IFERROR(INDEX(Geral!$D$7:$D$600,MATCH(B78,Geral!$A$7:$A$600,0))&amp;"",""))</f>
        <v/>
      </c>
      <c r="E78" s="15" t="n"/>
      <c r="F78" s="13" t="n"/>
      <c r="G78" s="36">
        <f>IF(B78="","",IFERROR(INDEX(Geral!$Q$7:$Q$600,MATCH(B78,Geral!$A$7:$A$600,0)),""))</f>
        <v/>
      </c>
      <c r="H78" s="19" t="n"/>
      <c r="I78" s="19" t="n"/>
      <c r="J78" s="15" t="n"/>
    </row>
    <row r="79">
      <c r="A79" s="15" t="n"/>
      <c r="B79" s="35">
        <f>IF(A79="","",IFERROR(LEFT(A79,FIND(" · ",A79)-1),A79))</f>
        <v/>
      </c>
      <c r="C79" s="35">
        <f>IF(B79="","",IFERROR(INDEX(Geral!$C$7:$C$600,MATCH(B79,Geral!$A$7:$A$600,0)),"ID não encontrado"))</f>
        <v/>
      </c>
      <c r="D79" s="35">
        <f>IF(B79="","",IFERROR(INDEX(Geral!$D$7:$D$600,MATCH(B79,Geral!$A$7:$A$600,0))&amp;"",""))</f>
        <v/>
      </c>
      <c r="E79" s="15" t="n"/>
      <c r="F79" s="13" t="n"/>
      <c r="G79" s="36">
        <f>IF(B79="","",IFERROR(INDEX(Geral!$Q$7:$Q$600,MATCH(B79,Geral!$A$7:$A$600,0)),""))</f>
        <v/>
      </c>
      <c r="H79" s="19" t="n"/>
      <c r="I79" s="19" t="n"/>
      <c r="J79" s="15" t="n"/>
    </row>
    <row r="80">
      <c r="A80" s="15" t="n"/>
      <c r="B80" s="35">
        <f>IF(A80="","",IFERROR(LEFT(A80,FIND(" · ",A80)-1),A80))</f>
        <v/>
      </c>
      <c r="C80" s="35">
        <f>IF(B80="","",IFERROR(INDEX(Geral!$C$7:$C$600,MATCH(B80,Geral!$A$7:$A$600,0)),"ID não encontrado"))</f>
        <v/>
      </c>
      <c r="D80" s="35">
        <f>IF(B80="","",IFERROR(INDEX(Geral!$D$7:$D$600,MATCH(B80,Geral!$A$7:$A$600,0))&amp;"",""))</f>
        <v/>
      </c>
      <c r="E80" s="15" t="n"/>
      <c r="F80" s="13" t="n"/>
      <c r="G80" s="36">
        <f>IF(B80="","",IFERROR(INDEX(Geral!$Q$7:$Q$600,MATCH(B80,Geral!$A$7:$A$600,0)),""))</f>
        <v/>
      </c>
      <c r="H80" s="19" t="n"/>
      <c r="I80" s="19" t="n"/>
      <c r="J80" s="15" t="n"/>
    </row>
    <row r="81">
      <c r="A81" s="15" t="n"/>
      <c r="B81" s="35">
        <f>IF(A81="","",IFERROR(LEFT(A81,FIND(" · ",A81)-1),A81))</f>
        <v/>
      </c>
      <c r="C81" s="35">
        <f>IF(B81="","",IFERROR(INDEX(Geral!$C$7:$C$600,MATCH(B81,Geral!$A$7:$A$600,0)),"ID não encontrado"))</f>
        <v/>
      </c>
      <c r="D81" s="35">
        <f>IF(B81="","",IFERROR(INDEX(Geral!$D$7:$D$600,MATCH(B81,Geral!$A$7:$A$600,0))&amp;"",""))</f>
        <v/>
      </c>
      <c r="E81" s="15" t="n"/>
      <c r="F81" s="13" t="n"/>
      <c r="G81" s="36">
        <f>IF(B81="","",IFERROR(INDEX(Geral!$Q$7:$Q$600,MATCH(B81,Geral!$A$7:$A$600,0)),""))</f>
        <v/>
      </c>
      <c r="H81" s="19" t="n"/>
      <c r="I81" s="19" t="n"/>
      <c r="J81" s="15" t="n"/>
    </row>
    <row r="82">
      <c r="A82" s="15" t="n"/>
      <c r="B82" s="35">
        <f>IF(A82="","",IFERROR(LEFT(A82,FIND(" · ",A82)-1),A82))</f>
        <v/>
      </c>
      <c r="C82" s="35">
        <f>IF(B82="","",IFERROR(INDEX(Geral!$C$7:$C$600,MATCH(B82,Geral!$A$7:$A$600,0)),"ID não encontrado"))</f>
        <v/>
      </c>
      <c r="D82" s="35">
        <f>IF(B82="","",IFERROR(INDEX(Geral!$D$7:$D$600,MATCH(B82,Geral!$A$7:$A$600,0))&amp;"",""))</f>
        <v/>
      </c>
      <c r="E82" s="15" t="n"/>
      <c r="F82" s="13" t="n"/>
      <c r="G82" s="36">
        <f>IF(B82="","",IFERROR(INDEX(Geral!$Q$7:$Q$600,MATCH(B82,Geral!$A$7:$A$600,0)),""))</f>
        <v/>
      </c>
      <c r="H82" s="19" t="n"/>
      <c r="I82" s="19" t="n"/>
      <c r="J82" s="15" t="n"/>
    </row>
    <row r="83">
      <c r="A83" s="15" t="n"/>
      <c r="B83" s="35">
        <f>IF(A83="","",IFERROR(LEFT(A83,FIND(" · ",A83)-1),A83))</f>
        <v/>
      </c>
      <c r="C83" s="35">
        <f>IF(B83="","",IFERROR(INDEX(Geral!$C$7:$C$600,MATCH(B83,Geral!$A$7:$A$600,0)),"ID não encontrado"))</f>
        <v/>
      </c>
      <c r="D83" s="35">
        <f>IF(B83="","",IFERROR(INDEX(Geral!$D$7:$D$600,MATCH(B83,Geral!$A$7:$A$600,0))&amp;"",""))</f>
        <v/>
      </c>
      <c r="E83" s="15" t="n"/>
      <c r="F83" s="13" t="n"/>
      <c r="G83" s="36">
        <f>IF(B83="","",IFERROR(INDEX(Geral!$Q$7:$Q$600,MATCH(B83,Geral!$A$7:$A$600,0)),""))</f>
        <v/>
      </c>
      <c r="H83" s="19" t="n"/>
      <c r="I83" s="19" t="n"/>
      <c r="J83" s="15" t="n"/>
    </row>
    <row r="84">
      <c r="A84" s="15" t="n"/>
      <c r="B84" s="35">
        <f>IF(A84="","",IFERROR(LEFT(A84,FIND(" · ",A84)-1),A84))</f>
        <v/>
      </c>
      <c r="C84" s="35">
        <f>IF(B84="","",IFERROR(INDEX(Geral!$C$7:$C$600,MATCH(B84,Geral!$A$7:$A$600,0)),"ID não encontrado"))</f>
        <v/>
      </c>
      <c r="D84" s="35">
        <f>IF(B84="","",IFERROR(INDEX(Geral!$D$7:$D$600,MATCH(B84,Geral!$A$7:$A$600,0))&amp;"",""))</f>
        <v/>
      </c>
      <c r="E84" s="15" t="n"/>
      <c r="F84" s="13" t="n"/>
      <c r="G84" s="36">
        <f>IF(B84="","",IFERROR(INDEX(Geral!$Q$7:$Q$600,MATCH(B84,Geral!$A$7:$A$600,0)),""))</f>
        <v/>
      </c>
      <c r="H84" s="19" t="n"/>
      <c r="I84" s="19" t="n"/>
      <c r="J84" s="15" t="n"/>
    </row>
    <row r="85">
      <c r="A85" s="15" t="n"/>
      <c r="B85" s="35">
        <f>IF(A85="","",IFERROR(LEFT(A85,FIND(" · ",A85)-1),A85))</f>
        <v/>
      </c>
      <c r="C85" s="35">
        <f>IF(B85="","",IFERROR(INDEX(Geral!$C$7:$C$600,MATCH(B85,Geral!$A$7:$A$600,0)),"ID não encontrado"))</f>
        <v/>
      </c>
      <c r="D85" s="35">
        <f>IF(B85="","",IFERROR(INDEX(Geral!$D$7:$D$600,MATCH(B85,Geral!$A$7:$A$600,0))&amp;"",""))</f>
        <v/>
      </c>
      <c r="E85" s="15" t="n"/>
      <c r="F85" s="13" t="n"/>
      <c r="G85" s="36">
        <f>IF(B85="","",IFERROR(INDEX(Geral!$Q$7:$Q$600,MATCH(B85,Geral!$A$7:$A$600,0)),""))</f>
        <v/>
      </c>
      <c r="H85" s="19" t="n"/>
      <c r="I85" s="19" t="n"/>
      <c r="J85" s="15" t="n"/>
    </row>
    <row r="86">
      <c r="A86" s="15" t="n"/>
      <c r="B86" s="35">
        <f>IF(A86="","",IFERROR(LEFT(A86,FIND(" · ",A86)-1),A86))</f>
        <v/>
      </c>
      <c r="C86" s="35">
        <f>IF(B86="","",IFERROR(INDEX(Geral!$C$7:$C$600,MATCH(B86,Geral!$A$7:$A$600,0)),"ID não encontrado"))</f>
        <v/>
      </c>
      <c r="D86" s="35">
        <f>IF(B86="","",IFERROR(INDEX(Geral!$D$7:$D$600,MATCH(B86,Geral!$A$7:$A$600,0))&amp;"",""))</f>
        <v/>
      </c>
      <c r="E86" s="15" t="n"/>
      <c r="F86" s="13" t="n"/>
      <c r="G86" s="36">
        <f>IF(B86="","",IFERROR(INDEX(Geral!$Q$7:$Q$600,MATCH(B86,Geral!$A$7:$A$600,0)),""))</f>
        <v/>
      </c>
      <c r="H86" s="19" t="n"/>
      <c r="I86" s="19" t="n"/>
      <c r="J86" s="15" t="n"/>
    </row>
    <row r="87">
      <c r="A87" s="15" t="n"/>
      <c r="B87" s="35">
        <f>IF(A87="","",IFERROR(LEFT(A87,FIND(" · ",A87)-1),A87))</f>
        <v/>
      </c>
      <c r="C87" s="35">
        <f>IF(B87="","",IFERROR(INDEX(Geral!$C$7:$C$600,MATCH(B87,Geral!$A$7:$A$600,0)),"ID não encontrado"))</f>
        <v/>
      </c>
      <c r="D87" s="35">
        <f>IF(B87="","",IFERROR(INDEX(Geral!$D$7:$D$600,MATCH(B87,Geral!$A$7:$A$600,0))&amp;"",""))</f>
        <v/>
      </c>
      <c r="E87" s="15" t="n"/>
      <c r="F87" s="13" t="n"/>
      <c r="G87" s="36">
        <f>IF(B87="","",IFERROR(INDEX(Geral!$Q$7:$Q$600,MATCH(B87,Geral!$A$7:$A$600,0)),""))</f>
        <v/>
      </c>
      <c r="H87" s="19" t="n"/>
      <c r="I87" s="19" t="n"/>
      <c r="J87" s="15" t="n"/>
    </row>
    <row r="88">
      <c r="A88" s="15" t="n"/>
      <c r="B88" s="35">
        <f>IF(A88="","",IFERROR(LEFT(A88,FIND(" · ",A88)-1),A88))</f>
        <v/>
      </c>
      <c r="C88" s="35">
        <f>IF(B88="","",IFERROR(INDEX(Geral!$C$7:$C$600,MATCH(B88,Geral!$A$7:$A$600,0)),"ID não encontrado"))</f>
        <v/>
      </c>
      <c r="D88" s="35">
        <f>IF(B88="","",IFERROR(INDEX(Geral!$D$7:$D$600,MATCH(B88,Geral!$A$7:$A$600,0))&amp;"",""))</f>
        <v/>
      </c>
      <c r="E88" s="15" t="n"/>
      <c r="F88" s="13" t="n"/>
      <c r="G88" s="36">
        <f>IF(B88="","",IFERROR(INDEX(Geral!$Q$7:$Q$600,MATCH(B88,Geral!$A$7:$A$600,0)),""))</f>
        <v/>
      </c>
      <c r="H88" s="19" t="n"/>
      <c r="I88" s="19" t="n"/>
      <c r="J88" s="15" t="n"/>
    </row>
    <row r="89">
      <c r="A89" s="15" t="n"/>
      <c r="B89" s="35">
        <f>IF(A89="","",IFERROR(LEFT(A89,FIND(" · ",A89)-1),A89))</f>
        <v/>
      </c>
      <c r="C89" s="35">
        <f>IF(B89="","",IFERROR(INDEX(Geral!$C$7:$C$600,MATCH(B89,Geral!$A$7:$A$600,0)),"ID não encontrado"))</f>
        <v/>
      </c>
      <c r="D89" s="35">
        <f>IF(B89="","",IFERROR(INDEX(Geral!$D$7:$D$600,MATCH(B89,Geral!$A$7:$A$600,0))&amp;"",""))</f>
        <v/>
      </c>
      <c r="E89" s="15" t="n"/>
      <c r="F89" s="13" t="n"/>
      <c r="G89" s="36">
        <f>IF(B89="","",IFERROR(INDEX(Geral!$Q$7:$Q$600,MATCH(B89,Geral!$A$7:$A$600,0)),""))</f>
        <v/>
      </c>
      <c r="H89" s="19" t="n"/>
      <c r="I89" s="19" t="n"/>
      <c r="J89" s="15" t="n"/>
    </row>
    <row r="90">
      <c r="A90" s="15" t="n"/>
      <c r="B90" s="35">
        <f>IF(A90="","",IFERROR(LEFT(A90,FIND(" · ",A90)-1),A90))</f>
        <v/>
      </c>
      <c r="C90" s="35">
        <f>IF(B90="","",IFERROR(INDEX(Geral!$C$7:$C$600,MATCH(B90,Geral!$A$7:$A$600,0)),"ID não encontrado"))</f>
        <v/>
      </c>
      <c r="D90" s="35">
        <f>IF(B90="","",IFERROR(INDEX(Geral!$D$7:$D$600,MATCH(B90,Geral!$A$7:$A$600,0))&amp;"",""))</f>
        <v/>
      </c>
      <c r="E90" s="15" t="n"/>
      <c r="F90" s="13" t="n"/>
      <c r="G90" s="36">
        <f>IF(B90="","",IFERROR(INDEX(Geral!$Q$7:$Q$600,MATCH(B90,Geral!$A$7:$A$600,0)),""))</f>
        <v/>
      </c>
      <c r="H90" s="19" t="n"/>
      <c r="I90" s="19" t="n"/>
      <c r="J90" s="15" t="n"/>
    </row>
    <row r="91">
      <c r="A91" s="15" t="n"/>
      <c r="B91" s="35">
        <f>IF(A91="","",IFERROR(LEFT(A91,FIND(" · ",A91)-1),A91))</f>
        <v/>
      </c>
      <c r="C91" s="35">
        <f>IF(B91="","",IFERROR(INDEX(Geral!$C$7:$C$600,MATCH(B91,Geral!$A$7:$A$600,0)),"ID não encontrado"))</f>
        <v/>
      </c>
      <c r="D91" s="35">
        <f>IF(B91="","",IFERROR(INDEX(Geral!$D$7:$D$600,MATCH(B91,Geral!$A$7:$A$600,0))&amp;"",""))</f>
        <v/>
      </c>
      <c r="E91" s="15" t="n"/>
      <c r="F91" s="13" t="n"/>
      <c r="G91" s="36">
        <f>IF(B91="","",IFERROR(INDEX(Geral!$Q$7:$Q$600,MATCH(B91,Geral!$A$7:$A$600,0)),""))</f>
        <v/>
      </c>
      <c r="H91" s="19" t="n"/>
      <c r="I91" s="19" t="n"/>
      <c r="J91" s="15" t="n"/>
    </row>
    <row r="92">
      <c r="A92" s="15" t="n"/>
      <c r="B92" s="35">
        <f>IF(A92="","",IFERROR(LEFT(A92,FIND(" · ",A92)-1),A92))</f>
        <v/>
      </c>
      <c r="C92" s="35">
        <f>IF(B92="","",IFERROR(INDEX(Geral!$C$7:$C$600,MATCH(B92,Geral!$A$7:$A$600,0)),"ID não encontrado"))</f>
        <v/>
      </c>
      <c r="D92" s="35">
        <f>IF(B92="","",IFERROR(INDEX(Geral!$D$7:$D$600,MATCH(B92,Geral!$A$7:$A$600,0))&amp;"",""))</f>
        <v/>
      </c>
      <c r="E92" s="15" t="n"/>
      <c r="F92" s="13" t="n"/>
      <c r="G92" s="36">
        <f>IF(B92="","",IFERROR(INDEX(Geral!$Q$7:$Q$600,MATCH(B92,Geral!$A$7:$A$600,0)),""))</f>
        <v/>
      </c>
      <c r="H92" s="19" t="n"/>
      <c r="I92" s="19" t="n"/>
      <c r="J92" s="15" t="n"/>
    </row>
    <row r="93">
      <c r="A93" s="15" t="n"/>
      <c r="B93" s="35">
        <f>IF(A93="","",IFERROR(LEFT(A93,FIND(" · ",A93)-1),A93))</f>
        <v/>
      </c>
      <c r="C93" s="35">
        <f>IF(B93="","",IFERROR(INDEX(Geral!$C$7:$C$600,MATCH(B93,Geral!$A$7:$A$600,0)),"ID não encontrado"))</f>
        <v/>
      </c>
      <c r="D93" s="35">
        <f>IF(B93="","",IFERROR(INDEX(Geral!$D$7:$D$600,MATCH(B93,Geral!$A$7:$A$600,0))&amp;"",""))</f>
        <v/>
      </c>
      <c r="E93" s="15" t="n"/>
      <c r="F93" s="13" t="n"/>
      <c r="G93" s="36">
        <f>IF(B93="","",IFERROR(INDEX(Geral!$Q$7:$Q$600,MATCH(B93,Geral!$A$7:$A$600,0)),""))</f>
        <v/>
      </c>
      <c r="H93" s="19" t="n"/>
      <c r="I93" s="19" t="n"/>
      <c r="J93" s="15" t="n"/>
    </row>
    <row r="94">
      <c r="A94" s="15" t="n"/>
      <c r="B94" s="35">
        <f>IF(A94="","",IFERROR(LEFT(A94,FIND(" · ",A94)-1),A94))</f>
        <v/>
      </c>
      <c r="C94" s="35">
        <f>IF(B94="","",IFERROR(INDEX(Geral!$C$7:$C$600,MATCH(B94,Geral!$A$7:$A$600,0)),"ID não encontrado"))</f>
        <v/>
      </c>
      <c r="D94" s="35">
        <f>IF(B94="","",IFERROR(INDEX(Geral!$D$7:$D$600,MATCH(B94,Geral!$A$7:$A$600,0))&amp;"",""))</f>
        <v/>
      </c>
      <c r="E94" s="15" t="n"/>
      <c r="F94" s="13" t="n"/>
      <c r="G94" s="36">
        <f>IF(B94="","",IFERROR(INDEX(Geral!$Q$7:$Q$600,MATCH(B94,Geral!$A$7:$A$600,0)),""))</f>
        <v/>
      </c>
      <c r="H94" s="19" t="n"/>
      <c r="I94" s="19" t="n"/>
      <c r="J94" s="15" t="n"/>
    </row>
    <row r="95">
      <c r="A95" s="15" t="n"/>
      <c r="B95" s="35">
        <f>IF(A95="","",IFERROR(LEFT(A95,FIND(" · ",A95)-1),A95))</f>
        <v/>
      </c>
      <c r="C95" s="35">
        <f>IF(B95="","",IFERROR(INDEX(Geral!$C$7:$C$600,MATCH(B95,Geral!$A$7:$A$600,0)),"ID não encontrado"))</f>
        <v/>
      </c>
      <c r="D95" s="35">
        <f>IF(B95="","",IFERROR(INDEX(Geral!$D$7:$D$600,MATCH(B95,Geral!$A$7:$A$600,0))&amp;"",""))</f>
        <v/>
      </c>
      <c r="E95" s="15" t="n"/>
      <c r="F95" s="13" t="n"/>
      <c r="G95" s="36">
        <f>IF(B95="","",IFERROR(INDEX(Geral!$Q$7:$Q$600,MATCH(B95,Geral!$A$7:$A$600,0)),""))</f>
        <v/>
      </c>
      <c r="H95" s="19" t="n"/>
      <c r="I95" s="19" t="n"/>
      <c r="J95" s="15" t="n"/>
    </row>
    <row r="96">
      <c r="A96" s="15" t="n"/>
      <c r="B96" s="35">
        <f>IF(A96="","",IFERROR(LEFT(A96,FIND(" · ",A96)-1),A96))</f>
        <v/>
      </c>
      <c r="C96" s="35">
        <f>IF(B96="","",IFERROR(INDEX(Geral!$C$7:$C$600,MATCH(B96,Geral!$A$7:$A$600,0)),"ID não encontrado"))</f>
        <v/>
      </c>
      <c r="D96" s="35">
        <f>IF(B96="","",IFERROR(INDEX(Geral!$D$7:$D$600,MATCH(B96,Geral!$A$7:$A$600,0))&amp;"",""))</f>
        <v/>
      </c>
      <c r="E96" s="15" t="n"/>
      <c r="F96" s="13" t="n"/>
      <c r="G96" s="36">
        <f>IF(B96="","",IFERROR(INDEX(Geral!$Q$7:$Q$600,MATCH(B96,Geral!$A$7:$A$600,0)),""))</f>
        <v/>
      </c>
      <c r="H96" s="19" t="n"/>
      <c r="I96" s="19" t="n"/>
      <c r="J96" s="15" t="n"/>
    </row>
    <row r="97">
      <c r="A97" s="15" t="n"/>
      <c r="B97" s="35">
        <f>IF(A97="","",IFERROR(LEFT(A97,FIND(" · ",A97)-1),A97))</f>
        <v/>
      </c>
      <c r="C97" s="35">
        <f>IF(B97="","",IFERROR(INDEX(Geral!$C$7:$C$600,MATCH(B97,Geral!$A$7:$A$600,0)),"ID não encontrado"))</f>
        <v/>
      </c>
      <c r="D97" s="35">
        <f>IF(B97="","",IFERROR(INDEX(Geral!$D$7:$D$600,MATCH(B97,Geral!$A$7:$A$600,0))&amp;"",""))</f>
        <v/>
      </c>
      <c r="E97" s="15" t="n"/>
      <c r="F97" s="13" t="n"/>
      <c r="G97" s="36">
        <f>IF(B97="","",IFERROR(INDEX(Geral!$Q$7:$Q$600,MATCH(B97,Geral!$A$7:$A$600,0)),""))</f>
        <v/>
      </c>
      <c r="H97" s="19" t="n"/>
      <c r="I97" s="19" t="n"/>
      <c r="J97" s="15" t="n"/>
    </row>
    <row r="98">
      <c r="A98" s="15" t="n"/>
      <c r="B98" s="35">
        <f>IF(A98="","",IFERROR(LEFT(A98,FIND(" · ",A98)-1),A98))</f>
        <v/>
      </c>
      <c r="C98" s="35">
        <f>IF(B98="","",IFERROR(INDEX(Geral!$C$7:$C$600,MATCH(B98,Geral!$A$7:$A$600,0)),"ID não encontrado"))</f>
        <v/>
      </c>
      <c r="D98" s="35">
        <f>IF(B98="","",IFERROR(INDEX(Geral!$D$7:$D$600,MATCH(B98,Geral!$A$7:$A$600,0))&amp;"",""))</f>
        <v/>
      </c>
      <c r="E98" s="15" t="n"/>
      <c r="F98" s="13" t="n"/>
      <c r="G98" s="36">
        <f>IF(B98="","",IFERROR(INDEX(Geral!$Q$7:$Q$600,MATCH(B98,Geral!$A$7:$A$600,0)),""))</f>
        <v/>
      </c>
      <c r="H98" s="19" t="n"/>
      <c r="I98" s="19" t="n"/>
      <c r="J98" s="15" t="n"/>
    </row>
    <row r="99">
      <c r="A99" s="15" t="n"/>
      <c r="B99" s="35">
        <f>IF(A99="","",IFERROR(LEFT(A99,FIND(" · ",A99)-1),A99))</f>
        <v/>
      </c>
      <c r="C99" s="35">
        <f>IF(B99="","",IFERROR(INDEX(Geral!$C$7:$C$600,MATCH(B99,Geral!$A$7:$A$600,0)),"ID não encontrado"))</f>
        <v/>
      </c>
      <c r="D99" s="35">
        <f>IF(B99="","",IFERROR(INDEX(Geral!$D$7:$D$600,MATCH(B99,Geral!$A$7:$A$600,0))&amp;"",""))</f>
        <v/>
      </c>
      <c r="E99" s="15" t="n"/>
      <c r="F99" s="13" t="n"/>
      <c r="G99" s="36">
        <f>IF(B99="","",IFERROR(INDEX(Geral!$Q$7:$Q$600,MATCH(B99,Geral!$A$7:$A$600,0)),""))</f>
        <v/>
      </c>
      <c r="H99" s="19" t="n"/>
      <c r="I99" s="19" t="n"/>
      <c r="J99" s="15" t="n"/>
    </row>
    <row r="100">
      <c r="A100" s="15" t="n"/>
      <c r="B100" s="35">
        <f>IF(A100="","",IFERROR(LEFT(A100,FIND(" · ",A100)-1),A100))</f>
        <v/>
      </c>
      <c r="C100" s="35">
        <f>IF(B100="","",IFERROR(INDEX(Geral!$C$7:$C$600,MATCH(B100,Geral!$A$7:$A$600,0)),"ID não encontrado"))</f>
        <v/>
      </c>
      <c r="D100" s="35">
        <f>IF(B100="","",IFERROR(INDEX(Geral!$D$7:$D$600,MATCH(B100,Geral!$A$7:$A$600,0))&amp;"",""))</f>
        <v/>
      </c>
      <c r="E100" s="15" t="n"/>
      <c r="F100" s="13" t="n"/>
      <c r="G100" s="36">
        <f>IF(B100="","",IFERROR(INDEX(Geral!$Q$7:$Q$600,MATCH(B100,Geral!$A$7:$A$600,0)),""))</f>
        <v/>
      </c>
      <c r="H100" s="19" t="n"/>
      <c r="I100" s="19" t="n"/>
      <c r="J100" s="15" t="n"/>
    </row>
    <row r="101">
      <c r="A101" s="15" t="n"/>
      <c r="B101" s="35">
        <f>IF(A101="","",IFERROR(LEFT(A101,FIND(" · ",A101)-1),A101))</f>
        <v/>
      </c>
      <c r="C101" s="35">
        <f>IF(B101="","",IFERROR(INDEX(Geral!$C$7:$C$600,MATCH(B101,Geral!$A$7:$A$600,0)),"ID não encontrado"))</f>
        <v/>
      </c>
      <c r="D101" s="35">
        <f>IF(B101="","",IFERROR(INDEX(Geral!$D$7:$D$600,MATCH(B101,Geral!$A$7:$A$600,0))&amp;"",""))</f>
        <v/>
      </c>
      <c r="E101" s="15" t="n"/>
      <c r="F101" s="13" t="n"/>
      <c r="G101" s="36">
        <f>IF(B101="","",IFERROR(INDEX(Geral!$Q$7:$Q$600,MATCH(B101,Geral!$A$7:$A$600,0)),""))</f>
        <v/>
      </c>
      <c r="H101" s="19" t="n"/>
      <c r="I101" s="19" t="n"/>
      <c r="J101" s="15" t="n"/>
    </row>
    <row r="102">
      <c r="A102" s="15" t="n"/>
      <c r="B102" s="35">
        <f>IF(A102="","",IFERROR(LEFT(A102,FIND(" · ",A102)-1),A102))</f>
        <v/>
      </c>
      <c r="C102" s="35">
        <f>IF(B102="","",IFERROR(INDEX(Geral!$C$7:$C$600,MATCH(B102,Geral!$A$7:$A$600,0)),"ID não encontrado"))</f>
        <v/>
      </c>
      <c r="D102" s="35">
        <f>IF(B102="","",IFERROR(INDEX(Geral!$D$7:$D$600,MATCH(B102,Geral!$A$7:$A$600,0))&amp;"",""))</f>
        <v/>
      </c>
      <c r="E102" s="15" t="n"/>
      <c r="F102" s="13" t="n"/>
      <c r="G102" s="36">
        <f>IF(B102="","",IFERROR(INDEX(Geral!$Q$7:$Q$600,MATCH(B102,Geral!$A$7:$A$600,0)),""))</f>
        <v/>
      </c>
      <c r="H102" s="19" t="n"/>
      <c r="I102" s="19" t="n"/>
      <c r="J102" s="15" t="n"/>
    </row>
    <row r="103">
      <c r="A103" s="15" t="n"/>
      <c r="B103" s="35">
        <f>IF(A103="","",IFERROR(LEFT(A103,FIND(" · ",A103)-1),A103))</f>
        <v/>
      </c>
      <c r="C103" s="35">
        <f>IF(B103="","",IFERROR(INDEX(Geral!$C$7:$C$600,MATCH(B103,Geral!$A$7:$A$600,0)),"ID não encontrado"))</f>
        <v/>
      </c>
      <c r="D103" s="35">
        <f>IF(B103="","",IFERROR(INDEX(Geral!$D$7:$D$600,MATCH(B103,Geral!$A$7:$A$600,0))&amp;"",""))</f>
        <v/>
      </c>
      <c r="E103" s="15" t="n"/>
      <c r="F103" s="13" t="n"/>
      <c r="G103" s="36">
        <f>IF(B103="","",IFERROR(INDEX(Geral!$Q$7:$Q$600,MATCH(B103,Geral!$A$7:$A$600,0)),""))</f>
        <v/>
      </c>
      <c r="H103" s="19" t="n"/>
      <c r="I103" s="19" t="n"/>
      <c r="J103" s="15" t="n"/>
    </row>
    <row r="104">
      <c r="A104" s="15" t="n"/>
      <c r="B104" s="35">
        <f>IF(A104="","",IFERROR(LEFT(A104,FIND(" · ",A104)-1),A104))</f>
        <v/>
      </c>
      <c r="C104" s="35">
        <f>IF(B104="","",IFERROR(INDEX(Geral!$C$7:$C$600,MATCH(B104,Geral!$A$7:$A$600,0)),"ID não encontrado"))</f>
        <v/>
      </c>
      <c r="D104" s="35">
        <f>IF(B104="","",IFERROR(INDEX(Geral!$D$7:$D$600,MATCH(B104,Geral!$A$7:$A$600,0))&amp;"",""))</f>
        <v/>
      </c>
      <c r="E104" s="15" t="n"/>
      <c r="F104" s="13" t="n"/>
      <c r="G104" s="36">
        <f>IF(B104="","",IFERROR(INDEX(Geral!$Q$7:$Q$600,MATCH(B104,Geral!$A$7:$A$600,0)),""))</f>
        <v/>
      </c>
      <c r="H104" s="19" t="n"/>
      <c r="I104" s="19" t="n"/>
      <c r="J104" s="15" t="n"/>
    </row>
    <row r="105">
      <c r="A105" s="15" t="n"/>
      <c r="B105" s="35">
        <f>IF(A105="","",IFERROR(LEFT(A105,FIND(" · ",A105)-1),A105))</f>
        <v/>
      </c>
      <c r="C105" s="35">
        <f>IF(B105="","",IFERROR(INDEX(Geral!$C$7:$C$600,MATCH(B105,Geral!$A$7:$A$600,0)),"ID não encontrado"))</f>
        <v/>
      </c>
      <c r="D105" s="35">
        <f>IF(B105="","",IFERROR(INDEX(Geral!$D$7:$D$600,MATCH(B105,Geral!$A$7:$A$600,0))&amp;"",""))</f>
        <v/>
      </c>
      <c r="E105" s="15" t="n"/>
      <c r="F105" s="13" t="n"/>
      <c r="G105" s="36">
        <f>IF(B105="","",IFERROR(INDEX(Geral!$Q$7:$Q$600,MATCH(B105,Geral!$A$7:$A$600,0)),""))</f>
        <v/>
      </c>
      <c r="H105" s="19" t="n"/>
      <c r="I105" s="19" t="n"/>
      <c r="J105" s="15" t="n"/>
    </row>
    <row r="106">
      <c r="A106" s="15" t="n"/>
      <c r="B106" s="35">
        <f>IF(A106="","",IFERROR(LEFT(A106,FIND(" · ",A106)-1),A106))</f>
        <v/>
      </c>
      <c r="C106" s="35">
        <f>IF(B106="","",IFERROR(INDEX(Geral!$C$7:$C$600,MATCH(B106,Geral!$A$7:$A$600,0)),"ID não encontrado"))</f>
        <v/>
      </c>
      <c r="D106" s="35">
        <f>IF(B106="","",IFERROR(INDEX(Geral!$D$7:$D$600,MATCH(B106,Geral!$A$7:$A$600,0))&amp;"",""))</f>
        <v/>
      </c>
      <c r="E106" s="15" t="n"/>
      <c r="F106" s="13" t="n"/>
      <c r="G106" s="36">
        <f>IF(B106="","",IFERROR(INDEX(Geral!$Q$7:$Q$600,MATCH(B106,Geral!$A$7:$A$600,0)),""))</f>
        <v/>
      </c>
      <c r="H106" s="19" t="n"/>
      <c r="I106" s="19" t="n"/>
      <c r="J106" s="15" t="n"/>
    </row>
    <row r="107">
      <c r="A107" s="15" t="n"/>
      <c r="B107" s="35">
        <f>IF(A107="","",IFERROR(LEFT(A107,FIND(" · ",A107)-1),A107))</f>
        <v/>
      </c>
      <c r="C107" s="35">
        <f>IF(B107="","",IFERROR(INDEX(Geral!$C$7:$C$600,MATCH(B107,Geral!$A$7:$A$600,0)),"ID não encontrado"))</f>
        <v/>
      </c>
      <c r="D107" s="35">
        <f>IF(B107="","",IFERROR(INDEX(Geral!$D$7:$D$600,MATCH(B107,Geral!$A$7:$A$600,0))&amp;"",""))</f>
        <v/>
      </c>
      <c r="E107" s="15" t="n"/>
      <c r="F107" s="13" t="n"/>
      <c r="G107" s="36">
        <f>IF(B107="","",IFERROR(INDEX(Geral!$Q$7:$Q$600,MATCH(B107,Geral!$A$7:$A$600,0)),""))</f>
        <v/>
      </c>
      <c r="H107" s="19" t="n"/>
      <c r="I107" s="19" t="n"/>
      <c r="J107" s="15" t="n"/>
    </row>
    <row r="108">
      <c r="A108" s="15" t="n"/>
      <c r="B108" s="35">
        <f>IF(A108="","",IFERROR(LEFT(A108,FIND(" · ",A108)-1),A108))</f>
        <v/>
      </c>
      <c r="C108" s="35">
        <f>IF(B108="","",IFERROR(INDEX(Geral!$C$7:$C$600,MATCH(B108,Geral!$A$7:$A$600,0)),"ID não encontrado"))</f>
        <v/>
      </c>
      <c r="D108" s="35">
        <f>IF(B108="","",IFERROR(INDEX(Geral!$D$7:$D$600,MATCH(B108,Geral!$A$7:$A$600,0))&amp;"",""))</f>
        <v/>
      </c>
      <c r="E108" s="15" t="n"/>
      <c r="F108" s="13" t="n"/>
      <c r="G108" s="36">
        <f>IF(B108="","",IFERROR(INDEX(Geral!$Q$7:$Q$600,MATCH(B108,Geral!$A$7:$A$600,0)),""))</f>
        <v/>
      </c>
      <c r="H108" s="19" t="n"/>
      <c r="I108" s="19" t="n"/>
      <c r="J108" s="15" t="n"/>
    </row>
    <row r="109">
      <c r="A109" s="15" t="n"/>
      <c r="B109" s="35">
        <f>IF(A109="","",IFERROR(LEFT(A109,FIND(" · ",A109)-1),A109))</f>
        <v/>
      </c>
      <c r="C109" s="35">
        <f>IF(B109="","",IFERROR(INDEX(Geral!$C$7:$C$600,MATCH(B109,Geral!$A$7:$A$600,0)),"ID não encontrado"))</f>
        <v/>
      </c>
      <c r="D109" s="35">
        <f>IF(B109="","",IFERROR(INDEX(Geral!$D$7:$D$600,MATCH(B109,Geral!$A$7:$A$600,0))&amp;"",""))</f>
        <v/>
      </c>
      <c r="E109" s="15" t="n"/>
      <c r="F109" s="13" t="n"/>
      <c r="G109" s="36">
        <f>IF(B109="","",IFERROR(INDEX(Geral!$Q$7:$Q$600,MATCH(B109,Geral!$A$7:$A$600,0)),""))</f>
        <v/>
      </c>
      <c r="H109" s="19" t="n"/>
      <c r="I109" s="19" t="n"/>
      <c r="J109" s="15" t="n"/>
    </row>
    <row r="110">
      <c r="A110" s="15" t="n"/>
      <c r="B110" s="35">
        <f>IF(A110="","",IFERROR(LEFT(A110,FIND(" · ",A110)-1),A110))</f>
        <v/>
      </c>
      <c r="C110" s="35">
        <f>IF(B110="","",IFERROR(INDEX(Geral!$C$7:$C$600,MATCH(B110,Geral!$A$7:$A$600,0)),"ID não encontrado"))</f>
        <v/>
      </c>
      <c r="D110" s="35">
        <f>IF(B110="","",IFERROR(INDEX(Geral!$D$7:$D$600,MATCH(B110,Geral!$A$7:$A$600,0))&amp;"",""))</f>
        <v/>
      </c>
      <c r="E110" s="15" t="n"/>
      <c r="F110" s="13" t="n"/>
      <c r="G110" s="36">
        <f>IF(B110="","",IFERROR(INDEX(Geral!$Q$7:$Q$600,MATCH(B110,Geral!$A$7:$A$600,0)),""))</f>
        <v/>
      </c>
      <c r="H110" s="19" t="n"/>
      <c r="I110" s="19" t="n"/>
      <c r="J110" s="15" t="n"/>
    </row>
    <row r="111">
      <c r="A111" s="15" t="n"/>
      <c r="B111" s="35">
        <f>IF(A111="","",IFERROR(LEFT(A111,FIND(" · ",A111)-1),A111))</f>
        <v/>
      </c>
      <c r="C111" s="35">
        <f>IF(B111="","",IFERROR(INDEX(Geral!$C$7:$C$600,MATCH(B111,Geral!$A$7:$A$600,0)),"ID não encontrado"))</f>
        <v/>
      </c>
      <c r="D111" s="35">
        <f>IF(B111="","",IFERROR(INDEX(Geral!$D$7:$D$600,MATCH(B111,Geral!$A$7:$A$600,0))&amp;"",""))</f>
        <v/>
      </c>
      <c r="E111" s="15" t="n"/>
      <c r="F111" s="13" t="n"/>
      <c r="G111" s="36">
        <f>IF(B111="","",IFERROR(INDEX(Geral!$Q$7:$Q$600,MATCH(B111,Geral!$A$7:$A$600,0)),""))</f>
        <v/>
      </c>
      <c r="H111" s="19" t="n"/>
      <c r="I111" s="19" t="n"/>
      <c r="J111" s="15" t="n"/>
    </row>
    <row r="112">
      <c r="A112" s="15" t="n"/>
      <c r="B112" s="35">
        <f>IF(A112="","",IFERROR(LEFT(A112,FIND(" · ",A112)-1),A112))</f>
        <v/>
      </c>
      <c r="C112" s="35">
        <f>IF(B112="","",IFERROR(INDEX(Geral!$C$7:$C$600,MATCH(B112,Geral!$A$7:$A$600,0)),"ID não encontrado"))</f>
        <v/>
      </c>
      <c r="D112" s="35">
        <f>IF(B112="","",IFERROR(INDEX(Geral!$D$7:$D$600,MATCH(B112,Geral!$A$7:$A$600,0))&amp;"",""))</f>
        <v/>
      </c>
      <c r="E112" s="15" t="n"/>
      <c r="F112" s="13" t="n"/>
      <c r="G112" s="36">
        <f>IF(B112="","",IFERROR(INDEX(Geral!$Q$7:$Q$600,MATCH(B112,Geral!$A$7:$A$600,0)),""))</f>
        <v/>
      </c>
      <c r="H112" s="19" t="n"/>
      <c r="I112" s="19" t="n"/>
      <c r="J112" s="15" t="n"/>
    </row>
    <row r="113">
      <c r="A113" s="15" t="n"/>
      <c r="B113" s="35">
        <f>IF(A113="","",IFERROR(LEFT(A113,FIND(" · ",A113)-1),A113))</f>
        <v/>
      </c>
      <c r="C113" s="35">
        <f>IF(B113="","",IFERROR(INDEX(Geral!$C$7:$C$600,MATCH(B113,Geral!$A$7:$A$600,0)),"ID não encontrado"))</f>
        <v/>
      </c>
      <c r="D113" s="35">
        <f>IF(B113="","",IFERROR(INDEX(Geral!$D$7:$D$600,MATCH(B113,Geral!$A$7:$A$600,0))&amp;"",""))</f>
        <v/>
      </c>
      <c r="E113" s="15" t="n"/>
      <c r="F113" s="13" t="n"/>
      <c r="G113" s="36">
        <f>IF(B113="","",IFERROR(INDEX(Geral!$Q$7:$Q$600,MATCH(B113,Geral!$A$7:$A$600,0)),""))</f>
        <v/>
      </c>
      <c r="H113" s="19" t="n"/>
      <c r="I113" s="19" t="n"/>
      <c r="J113" s="15" t="n"/>
    </row>
    <row r="114">
      <c r="A114" s="15" t="n"/>
      <c r="B114" s="35">
        <f>IF(A114="","",IFERROR(LEFT(A114,FIND(" · ",A114)-1),A114))</f>
        <v/>
      </c>
      <c r="C114" s="35">
        <f>IF(B114="","",IFERROR(INDEX(Geral!$C$7:$C$600,MATCH(B114,Geral!$A$7:$A$600,0)),"ID não encontrado"))</f>
        <v/>
      </c>
      <c r="D114" s="35">
        <f>IF(B114="","",IFERROR(INDEX(Geral!$D$7:$D$600,MATCH(B114,Geral!$A$7:$A$600,0))&amp;"",""))</f>
        <v/>
      </c>
      <c r="E114" s="15" t="n"/>
      <c r="F114" s="13" t="n"/>
      <c r="G114" s="36">
        <f>IF(B114="","",IFERROR(INDEX(Geral!$Q$7:$Q$600,MATCH(B114,Geral!$A$7:$A$600,0)),""))</f>
        <v/>
      </c>
      <c r="H114" s="19" t="n"/>
      <c r="I114" s="19" t="n"/>
      <c r="J114" s="15" t="n"/>
    </row>
    <row r="115">
      <c r="A115" s="15" t="n"/>
      <c r="B115" s="35">
        <f>IF(A115="","",IFERROR(LEFT(A115,FIND(" · ",A115)-1),A115))</f>
        <v/>
      </c>
      <c r="C115" s="35">
        <f>IF(B115="","",IFERROR(INDEX(Geral!$C$7:$C$600,MATCH(B115,Geral!$A$7:$A$600,0)),"ID não encontrado"))</f>
        <v/>
      </c>
      <c r="D115" s="35">
        <f>IF(B115="","",IFERROR(INDEX(Geral!$D$7:$D$600,MATCH(B115,Geral!$A$7:$A$600,0))&amp;"",""))</f>
        <v/>
      </c>
      <c r="E115" s="15" t="n"/>
      <c r="F115" s="13" t="n"/>
      <c r="G115" s="36">
        <f>IF(B115="","",IFERROR(INDEX(Geral!$Q$7:$Q$600,MATCH(B115,Geral!$A$7:$A$600,0)),""))</f>
        <v/>
      </c>
      <c r="H115" s="19" t="n"/>
      <c r="I115" s="19" t="n"/>
      <c r="J115" s="15" t="n"/>
    </row>
    <row r="116">
      <c r="A116" s="15" t="n"/>
      <c r="B116" s="35">
        <f>IF(A116="","",IFERROR(LEFT(A116,FIND(" · ",A116)-1),A116))</f>
        <v/>
      </c>
      <c r="C116" s="35">
        <f>IF(B116="","",IFERROR(INDEX(Geral!$C$7:$C$600,MATCH(B116,Geral!$A$7:$A$600,0)),"ID não encontrado"))</f>
        <v/>
      </c>
      <c r="D116" s="35">
        <f>IF(B116="","",IFERROR(INDEX(Geral!$D$7:$D$600,MATCH(B116,Geral!$A$7:$A$600,0))&amp;"",""))</f>
        <v/>
      </c>
      <c r="E116" s="15" t="n"/>
      <c r="F116" s="13" t="n"/>
      <c r="G116" s="36">
        <f>IF(B116="","",IFERROR(INDEX(Geral!$Q$7:$Q$600,MATCH(B116,Geral!$A$7:$A$600,0)),""))</f>
        <v/>
      </c>
      <c r="H116" s="19" t="n"/>
      <c r="I116" s="19" t="n"/>
      <c r="J116" s="15" t="n"/>
    </row>
    <row r="117">
      <c r="A117" s="15" t="n"/>
      <c r="B117" s="35">
        <f>IF(A117="","",IFERROR(LEFT(A117,FIND(" · ",A117)-1),A117))</f>
        <v/>
      </c>
      <c r="C117" s="35">
        <f>IF(B117="","",IFERROR(INDEX(Geral!$C$7:$C$600,MATCH(B117,Geral!$A$7:$A$600,0)),"ID não encontrado"))</f>
        <v/>
      </c>
      <c r="D117" s="35">
        <f>IF(B117="","",IFERROR(INDEX(Geral!$D$7:$D$600,MATCH(B117,Geral!$A$7:$A$600,0))&amp;"",""))</f>
        <v/>
      </c>
      <c r="E117" s="15" t="n"/>
      <c r="F117" s="13" t="n"/>
      <c r="G117" s="36">
        <f>IF(B117="","",IFERROR(INDEX(Geral!$Q$7:$Q$600,MATCH(B117,Geral!$A$7:$A$600,0)),""))</f>
        <v/>
      </c>
      <c r="H117" s="19" t="n"/>
      <c r="I117" s="19" t="n"/>
      <c r="J117" s="15" t="n"/>
    </row>
    <row r="118">
      <c r="A118" s="15" t="n"/>
      <c r="B118" s="35">
        <f>IF(A118="","",IFERROR(LEFT(A118,FIND(" · ",A118)-1),A118))</f>
        <v/>
      </c>
      <c r="C118" s="35">
        <f>IF(B118="","",IFERROR(INDEX(Geral!$C$7:$C$600,MATCH(B118,Geral!$A$7:$A$600,0)),"ID não encontrado"))</f>
        <v/>
      </c>
      <c r="D118" s="35">
        <f>IF(B118="","",IFERROR(INDEX(Geral!$D$7:$D$600,MATCH(B118,Geral!$A$7:$A$600,0))&amp;"",""))</f>
        <v/>
      </c>
      <c r="E118" s="15" t="n"/>
      <c r="F118" s="13" t="n"/>
      <c r="G118" s="36">
        <f>IF(B118="","",IFERROR(INDEX(Geral!$Q$7:$Q$600,MATCH(B118,Geral!$A$7:$A$600,0)),""))</f>
        <v/>
      </c>
      <c r="H118" s="19" t="n"/>
      <c r="I118" s="19" t="n"/>
      <c r="J118" s="15" t="n"/>
    </row>
    <row r="119">
      <c r="A119" s="15" t="n"/>
      <c r="B119" s="35">
        <f>IF(A119="","",IFERROR(LEFT(A119,FIND(" · ",A119)-1),A119))</f>
        <v/>
      </c>
      <c r="C119" s="35">
        <f>IF(B119="","",IFERROR(INDEX(Geral!$C$7:$C$600,MATCH(B119,Geral!$A$7:$A$600,0)),"ID não encontrado"))</f>
        <v/>
      </c>
      <c r="D119" s="35">
        <f>IF(B119="","",IFERROR(INDEX(Geral!$D$7:$D$600,MATCH(B119,Geral!$A$7:$A$600,0))&amp;"",""))</f>
        <v/>
      </c>
      <c r="E119" s="15" t="n"/>
      <c r="F119" s="13" t="n"/>
      <c r="G119" s="36">
        <f>IF(B119="","",IFERROR(INDEX(Geral!$Q$7:$Q$600,MATCH(B119,Geral!$A$7:$A$600,0)),""))</f>
        <v/>
      </c>
      <c r="H119" s="19" t="n"/>
      <c r="I119" s="19" t="n"/>
      <c r="J119" s="15" t="n"/>
    </row>
    <row r="120">
      <c r="A120" s="15" t="n"/>
      <c r="B120" s="35">
        <f>IF(A120="","",IFERROR(LEFT(A120,FIND(" · ",A120)-1),A120))</f>
        <v/>
      </c>
      <c r="C120" s="35">
        <f>IF(B120="","",IFERROR(INDEX(Geral!$C$7:$C$600,MATCH(B120,Geral!$A$7:$A$600,0)),"ID não encontrado"))</f>
        <v/>
      </c>
      <c r="D120" s="35">
        <f>IF(B120="","",IFERROR(INDEX(Geral!$D$7:$D$600,MATCH(B120,Geral!$A$7:$A$600,0))&amp;"",""))</f>
        <v/>
      </c>
      <c r="E120" s="15" t="n"/>
      <c r="F120" s="13" t="n"/>
      <c r="G120" s="36">
        <f>IF(B120="","",IFERROR(INDEX(Geral!$Q$7:$Q$600,MATCH(B120,Geral!$A$7:$A$600,0)),""))</f>
        <v/>
      </c>
      <c r="H120" s="19" t="n"/>
      <c r="I120" s="19" t="n"/>
      <c r="J120" s="15" t="n"/>
    </row>
    <row r="121">
      <c r="A121" s="15" t="n"/>
      <c r="B121" s="35">
        <f>IF(A121="","",IFERROR(LEFT(A121,FIND(" · ",A121)-1),A121))</f>
        <v/>
      </c>
      <c r="C121" s="35">
        <f>IF(B121="","",IFERROR(INDEX(Geral!$C$7:$C$600,MATCH(B121,Geral!$A$7:$A$600,0)),"ID não encontrado"))</f>
        <v/>
      </c>
      <c r="D121" s="35">
        <f>IF(B121="","",IFERROR(INDEX(Geral!$D$7:$D$600,MATCH(B121,Geral!$A$7:$A$600,0))&amp;"",""))</f>
        <v/>
      </c>
      <c r="E121" s="15" t="n"/>
      <c r="F121" s="13" t="n"/>
      <c r="G121" s="36">
        <f>IF(B121="","",IFERROR(INDEX(Geral!$Q$7:$Q$600,MATCH(B121,Geral!$A$7:$A$600,0)),""))</f>
        <v/>
      </c>
      <c r="H121" s="19" t="n"/>
      <c r="I121" s="19" t="n"/>
      <c r="J121" s="15" t="n"/>
    </row>
    <row r="122">
      <c r="A122" s="15" t="n"/>
      <c r="B122" s="35">
        <f>IF(A122="","",IFERROR(LEFT(A122,FIND(" · ",A122)-1),A122))</f>
        <v/>
      </c>
      <c r="C122" s="35">
        <f>IF(B122="","",IFERROR(INDEX(Geral!$C$7:$C$600,MATCH(B122,Geral!$A$7:$A$600,0)),"ID não encontrado"))</f>
        <v/>
      </c>
      <c r="D122" s="35">
        <f>IF(B122="","",IFERROR(INDEX(Geral!$D$7:$D$600,MATCH(B122,Geral!$A$7:$A$600,0))&amp;"",""))</f>
        <v/>
      </c>
      <c r="E122" s="15" t="n"/>
      <c r="F122" s="13" t="n"/>
      <c r="G122" s="36">
        <f>IF(B122="","",IFERROR(INDEX(Geral!$Q$7:$Q$600,MATCH(B122,Geral!$A$7:$A$600,0)),""))</f>
        <v/>
      </c>
      <c r="H122" s="19" t="n"/>
      <c r="I122" s="19" t="n"/>
      <c r="J122" s="15" t="n"/>
    </row>
    <row r="123">
      <c r="A123" s="15" t="n"/>
      <c r="B123" s="35">
        <f>IF(A123="","",IFERROR(LEFT(A123,FIND(" · ",A123)-1),A123))</f>
        <v/>
      </c>
      <c r="C123" s="35">
        <f>IF(B123="","",IFERROR(INDEX(Geral!$C$7:$C$600,MATCH(B123,Geral!$A$7:$A$600,0)),"ID não encontrado"))</f>
        <v/>
      </c>
      <c r="D123" s="35">
        <f>IF(B123="","",IFERROR(INDEX(Geral!$D$7:$D$600,MATCH(B123,Geral!$A$7:$A$600,0))&amp;"",""))</f>
        <v/>
      </c>
      <c r="E123" s="15" t="n"/>
      <c r="F123" s="13" t="n"/>
      <c r="G123" s="36">
        <f>IF(B123="","",IFERROR(INDEX(Geral!$Q$7:$Q$600,MATCH(B123,Geral!$A$7:$A$600,0)),""))</f>
        <v/>
      </c>
      <c r="H123" s="19" t="n"/>
      <c r="I123" s="19" t="n"/>
      <c r="J123" s="15" t="n"/>
    </row>
    <row r="124">
      <c r="A124" s="15" t="n"/>
      <c r="B124" s="35">
        <f>IF(A124="","",IFERROR(LEFT(A124,FIND(" · ",A124)-1),A124))</f>
        <v/>
      </c>
      <c r="C124" s="35">
        <f>IF(B124="","",IFERROR(INDEX(Geral!$C$7:$C$600,MATCH(B124,Geral!$A$7:$A$600,0)),"ID não encontrado"))</f>
        <v/>
      </c>
      <c r="D124" s="35">
        <f>IF(B124="","",IFERROR(INDEX(Geral!$D$7:$D$600,MATCH(B124,Geral!$A$7:$A$600,0))&amp;"",""))</f>
        <v/>
      </c>
      <c r="E124" s="15" t="n"/>
      <c r="F124" s="13" t="n"/>
      <c r="G124" s="36">
        <f>IF(B124="","",IFERROR(INDEX(Geral!$Q$7:$Q$600,MATCH(B124,Geral!$A$7:$A$600,0)),""))</f>
        <v/>
      </c>
      <c r="H124" s="19" t="n"/>
      <c r="I124" s="19" t="n"/>
      <c r="J124" s="15" t="n"/>
    </row>
    <row r="125">
      <c r="A125" s="15" t="n"/>
      <c r="B125" s="35">
        <f>IF(A125="","",IFERROR(LEFT(A125,FIND(" · ",A125)-1),A125))</f>
        <v/>
      </c>
      <c r="C125" s="35">
        <f>IF(B125="","",IFERROR(INDEX(Geral!$C$7:$C$600,MATCH(B125,Geral!$A$7:$A$600,0)),"ID não encontrado"))</f>
        <v/>
      </c>
      <c r="D125" s="35">
        <f>IF(B125="","",IFERROR(INDEX(Geral!$D$7:$D$600,MATCH(B125,Geral!$A$7:$A$600,0))&amp;"",""))</f>
        <v/>
      </c>
      <c r="E125" s="15" t="n"/>
      <c r="F125" s="13" t="n"/>
      <c r="G125" s="36">
        <f>IF(B125="","",IFERROR(INDEX(Geral!$Q$7:$Q$600,MATCH(B125,Geral!$A$7:$A$600,0)),""))</f>
        <v/>
      </c>
      <c r="H125" s="19" t="n"/>
      <c r="I125" s="19" t="n"/>
      <c r="J125" s="15" t="n"/>
    </row>
    <row r="126">
      <c r="A126" s="15" t="n"/>
      <c r="B126" s="35">
        <f>IF(A126="","",IFERROR(LEFT(A126,FIND(" · ",A126)-1),A126))</f>
        <v/>
      </c>
      <c r="C126" s="35">
        <f>IF(B126="","",IFERROR(INDEX(Geral!$C$7:$C$600,MATCH(B126,Geral!$A$7:$A$600,0)),"ID não encontrado"))</f>
        <v/>
      </c>
      <c r="D126" s="35">
        <f>IF(B126="","",IFERROR(INDEX(Geral!$D$7:$D$600,MATCH(B126,Geral!$A$7:$A$600,0))&amp;"",""))</f>
        <v/>
      </c>
      <c r="E126" s="15" t="n"/>
      <c r="F126" s="13" t="n"/>
      <c r="G126" s="36">
        <f>IF(B126="","",IFERROR(INDEX(Geral!$Q$7:$Q$600,MATCH(B126,Geral!$A$7:$A$600,0)),""))</f>
        <v/>
      </c>
      <c r="H126" s="19" t="n"/>
      <c r="I126" s="19" t="n"/>
      <c r="J126" s="15" t="n"/>
    </row>
    <row r="127">
      <c r="A127" s="15" t="n"/>
      <c r="B127" s="35">
        <f>IF(A127="","",IFERROR(LEFT(A127,FIND(" · ",A127)-1),A127))</f>
        <v/>
      </c>
      <c r="C127" s="35">
        <f>IF(B127="","",IFERROR(INDEX(Geral!$C$7:$C$600,MATCH(B127,Geral!$A$7:$A$600,0)),"ID não encontrado"))</f>
        <v/>
      </c>
      <c r="D127" s="35">
        <f>IF(B127="","",IFERROR(INDEX(Geral!$D$7:$D$600,MATCH(B127,Geral!$A$7:$A$600,0))&amp;"",""))</f>
        <v/>
      </c>
      <c r="E127" s="15" t="n"/>
      <c r="F127" s="13" t="n"/>
      <c r="G127" s="36">
        <f>IF(B127="","",IFERROR(INDEX(Geral!$Q$7:$Q$600,MATCH(B127,Geral!$A$7:$A$600,0)),""))</f>
        <v/>
      </c>
      <c r="H127" s="19" t="n"/>
      <c r="I127" s="19" t="n"/>
      <c r="J127" s="15" t="n"/>
    </row>
    <row r="128">
      <c r="A128" s="15" t="n"/>
      <c r="B128" s="35">
        <f>IF(A128="","",IFERROR(LEFT(A128,FIND(" · ",A128)-1),A128))</f>
        <v/>
      </c>
      <c r="C128" s="35">
        <f>IF(B128="","",IFERROR(INDEX(Geral!$C$7:$C$600,MATCH(B128,Geral!$A$7:$A$600,0)),"ID não encontrado"))</f>
        <v/>
      </c>
      <c r="D128" s="35">
        <f>IF(B128="","",IFERROR(INDEX(Geral!$D$7:$D$600,MATCH(B128,Geral!$A$7:$A$600,0))&amp;"",""))</f>
        <v/>
      </c>
      <c r="E128" s="15" t="n"/>
      <c r="F128" s="13" t="n"/>
      <c r="G128" s="36">
        <f>IF(B128="","",IFERROR(INDEX(Geral!$Q$7:$Q$600,MATCH(B128,Geral!$A$7:$A$600,0)),""))</f>
        <v/>
      </c>
      <c r="H128" s="19" t="n"/>
      <c r="I128" s="19" t="n"/>
      <c r="J128" s="15" t="n"/>
    </row>
    <row r="129">
      <c r="A129" s="15" t="n"/>
      <c r="B129" s="35">
        <f>IF(A129="","",IFERROR(LEFT(A129,FIND(" · ",A129)-1),A129))</f>
        <v/>
      </c>
      <c r="C129" s="35">
        <f>IF(B129="","",IFERROR(INDEX(Geral!$C$7:$C$600,MATCH(B129,Geral!$A$7:$A$600,0)),"ID não encontrado"))</f>
        <v/>
      </c>
      <c r="D129" s="35">
        <f>IF(B129="","",IFERROR(INDEX(Geral!$D$7:$D$600,MATCH(B129,Geral!$A$7:$A$600,0))&amp;"",""))</f>
        <v/>
      </c>
      <c r="E129" s="15" t="n"/>
      <c r="F129" s="13" t="n"/>
      <c r="G129" s="36">
        <f>IF(B129="","",IFERROR(INDEX(Geral!$Q$7:$Q$600,MATCH(B129,Geral!$A$7:$A$600,0)),""))</f>
        <v/>
      </c>
      <c r="H129" s="19" t="n"/>
      <c r="I129" s="19" t="n"/>
      <c r="J129" s="15" t="n"/>
    </row>
    <row r="130">
      <c r="A130" s="15" t="n"/>
      <c r="B130" s="35">
        <f>IF(A130="","",IFERROR(LEFT(A130,FIND(" · ",A130)-1),A130))</f>
        <v/>
      </c>
      <c r="C130" s="35">
        <f>IF(B130="","",IFERROR(INDEX(Geral!$C$7:$C$600,MATCH(B130,Geral!$A$7:$A$600,0)),"ID não encontrado"))</f>
        <v/>
      </c>
      <c r="D130" s="35">
        <f>IF(B130="","",IFERROR(INDEX(Geral!$D$7:$D$600,MATCH(B130,Geral!$A$7:$A$600,0))&amp;"",""))</f>
        <v/>
      </c>
      <c r="E130" s="15" t="n"/>
      <c r="F130" s="13" t="n"/>
      <c r="G130" s="36">
        <f>IF(B130="","",IFERROR(INDEX(Geral!$Q$7:$Q$600,MATCH(B130,Geral!$A$7:$A$600,0)),""))</f>
        <v/>
      </c>
      <c r="H130" s="19" t="n"/>
      <c r="I130" s="19" t="n"/>
      <c r="J130" s="15" t="n"/>
    </row>
    <row r="131">
      <c r="A131" s="15" t="n"/>
      <c r="B131" s="35">
        <f>IF(A131="","",IFERROR(LEFT(A131,FIND(" · ",A131)-1),A131))</f>
        <v/>
      </c>
      <c r="C131" s="35">
        <f>IF(B131="","",IFERROR(INDEX(Geral!$C$7:$C$600,MATCH(B131,Geral!$A$7:$A$600,0)),"ID não encontrado"))</f>
        <v/>
      </c>
      <c r="D131" s="35">
        <f>IF(B131="","",IFERROR(INDEX(Geral!$D$7:$D$600,MATCH(B131,Geral!$A$7:$A$600,0))&amp;"",""))</f>
        <v/>
      </c>
      <c r="E131" s="15" t="n"/>
      <c r="F131" s="13" t="n"/>
      <c r="G131" s="36">
        <f>IF(B131="","",IFERROR(INDEX(Geral!$Q$7:$Q$600,MATCH(B131,Geral!$A$7:$A$600,0)),""))</f>
        <v/>
      </c>
      <c r="H131" s="19" t="n"/>
      <c r="I131" s="19" t="n"/>
      <c r="J131" s="15" t="n"/>
    </row>
    <row r="132">
      <c r="A132" s="15" t="n"/>
      <c r="B132" s="35">
        <f>IF(A132="","",IFERROR(LEFT(A132,FIND(" · ",A132)-1),A132))</f>
        <v/>
      </c>
      <c r="C132" s="35">
        <f>IF(B132="","",IFERROR(INDEX(Geral!$C$7:$C$600,MATCH(B132,Geral!$A$7:$A$600,0)),"ID não encontrado"))</f>
        <v/>
      </c>
      <c r="D132" s="35">
        <f>IF(B132="","",IFERROR(INDEX(Geral!$D$7:$D$600,MATCH(B132,Geral!$A$7:$A$600,0))&amp;"",""))</f>
        <v/>
      </c>
      <c r="E132" s="15" t="n"/>
      <c r="F132" s="13" t="n"/>
      <c r="G132" s="36">
        <f>IF(B132="","",IFERROR(INDEX(Geral!$Q$7:$Q$600,MATCH(B132,Geral!$A$7:$A$600,0)),""))</f>
        <v/>
      </c>
      <c r="H132" s="19" t="n"/>
      <c r="I132" s="19" t="n"/>
      <c r="J132" s="15" t="n"/>
    </row>
    <row r="133">
      <c r="A133" s="15" t="n"/>
      <c r="B133" s="35">
        <f>IF(A133="","",IFERROR(LEFT(A133,FIND(" · ",A133)-1),A133))</f>
        <v/>
      </c>
      <c r="C133" s="35">
        <f>IF(B133="","",IFERROR(INDEX(Geral!$C$7:$C$600,MATCH(B133,Geral!$A$7:$A$600,0)),"ID não encontrado"))</f>
        <v/>
      </c>
      <c r="D133" s="35">
        <f>IF(B133="","",IFERROR(INDEX(Geral!$D$7:$D$600,MATCH(B133,Geral!$A$7:$A$600,0))&amp;"",""))</f>
        <v/>
      </c>
      <c r="E133" s="15" t="n"/>
      <c r="F133" s="13" t="n"/>
      <c r="G133" s="36">
        <f>IF(B133="","",IFERROR(INDEX(Geral!$Q$7:$Q$600,MATCH(B133,Geral!$A$7:$A$600,0)),""))</f>
        <v/>
      </c>
      <c r="H133" s="19" t="n"/>
      <c r="I133" s="19" t="n"/>
      <c r="J133" s="15" t="n"/>
    </row>
    <row r="134">
      <c r="A134" s="15" t="n"/>
      <c r="B134" s="35">
        <f>IF(A134="","",IFERROR(LEFT(A134,FIND(" · ",A134)-1),A134))</f>
        <v/>
      </c>
      <c r="C134" s="35">
        <f>IF(B134="","",IFERROR(INDEX(Geral!$C$7:$C$600,MATCH(B134,Geral!$A$7:$A$600,0)),"ID não encontrado"))</f>
        <v/>
      </c>
      <c r="D134" s="35">
        <f>IF(B134="","",IFERROR(INDEX(Geral!$D$7:$D$600,MATCH(B134,Geral!$A$7:$A$600,0))&amp;"",""))</f>
        <v/>
      </c>
      <c r="E134" s="15" t="n"/>
      <c r="F134" s="13" t="n"/>
      <c r="G134" s="36">
        <f>IF(B134="","",IFERROR(INDEX(Geral!$Q$7:$Q$600,MATCH(B134,Geral!$A$7:$A$600,0)),""))</f>
        <v/>
      </c>
      <c r="H134" s="19" t="n"/>
      <c r="I134" s="19" t="n"/>
      <c r="J134" s="15" t="n"/>
    </row>
    <row r="135">
      <c r="A135" s="15" t="n"/>
      <c r="B135" s="35">
        <f>IF(A135="","",IFERROR(LEFT(A135,FIND(" · ",A135)-1),A135))</f>
        <v/>
      </c>
      <c r="C135" s="35">
        <f>IF(B135="","",IFERROR(INDEX(Geral!$C$7:$C$600,MATCH(B135,Geral!$A$7:$A$600,0)),"ID não encontrado"))</f>
        <v/>
      </c>
      <c r="D135" s="35">
        <f>IF(B135="","",IFERROR(INDEX(Geral!$D$7:$D$600,MATCH(B135,Geral!$A$7:$A$600,0))&amp;"",""))</f>
        <v/>
      </c>
      <c r="E135" s="15" t="n"/>
      <c r="F135" s="13" t="n"/>
      <c r="G135" s="36">
        <f>IF(B135="","",IFERROR(INDEX(Geral!$Q$7:$Q$600,MATCH(B135,Geral!$A$7:$A$600,0)),""))</f>
        <v/>
      </c>
      <c r="H135" s="19" t="n"/>
      <c r="I135" s="19" t="n"/>
      <c r="J135" s="15" t="n"/>
    </row>
    <row r="136">
      <c r="A136" s="15" t="n"/>
      <c r="B136" s="35">
        <f>IF(A136="","",IFERROR(LEFT(A136,FIND(" · ",A136)-1),A136))</f>
        <v/>
      </c>
      <c r="C136" s="35">
        <f>IF(B136="","",IFERROR(INDEX(Geral!$C$7:$C$600,MATCH(B136,Geral!$A$7:$A$600,0)),"ID não encontrado"))</f>
        <v/>
      </c>
      <c r="D136" s="35">
        <f>IF(B136="","",IFERROR(INDEX(Geral!$D$7:$D$600,MATCH(B136,Geral!$A$7:$A$600,0))&amp;"",""))</f>
        <v/>
      </c>
      <c r="E136" s="15" t="n"/>
      <c r="F136" s="13" t="n"/>
      <c r="G136" s="36">
        <f>IF(B136="","",IFERROR(INDEX(Geral!$Q$7:$Q$600,MATCH(B136,Geral!$A$7:$A$600,0)),""))</f>
        <v/>
      </c>
      <c r="H136" s="19" t="n"/>
      <c r="I136" s="19" t="n"/>
      <c r="J136" s="15" t="n"/>
    </row>
    <row r="137">
      <c r="A137" s="15" t="n"/>
      <c r="B137" s="35">
        <f>IF(A137="","",IFERROR(LEFT(A137,FIND(" · ",A137)-1),A137))</f>
        <v/>
      </c>
      <c r="C137" s="35">
        <f>IF(B137="","",IFERROR(INDEX(Geral!$C$7:$C$600,MATCH(B137,Geral!$A$7:$A$600,0)),"ID não encontrado"))</f>
        <v/>
      </c>
      <c r="D137" s="35">
        <f>IF(B137="","",IFERROR(INDEX(Geral!$D$7:$D$600,MATCH(B137,Geral!$A$7:$A$600,0))&amp;"",""))</f>
        <v/>
      </c>
      <c r="E137" s="15" t="n"/>
      <c r="F137" s="13" t="n"/>
      <c r="G137" s="36">
        <f>IF(B137="","",IFERROR(INDEX(Geral!$Q$7:$Q$600,MATCH(B137,Geral!$A$7:$A$600,0)),""))</f>
        <v/>
      </c>
      <c r="H137" s="19" t="n"/>
      <c r="I137" s="19" t="n"/>
      <c r="J137" s="15" t="n"/>
    </row>
    <row r="138">
      <c r="A138" s="15" t="n"/>
      <c r="B138" s="35">
        <f>IF(A138="","",IFERROR(LEFT(A138,FIND(" · ",A138)-1),A138))</f>
        <v/>
      </c>
      <c r="C138" s="35">
        <f>IF(B138="","",IFERROR(INDEX(Geral!$C$7:$C$600,MATCH(B138,Geral!$A$7:$A$600,0)),"ID não encontrado"))</f>
        <v/>
      </c>
      <c r="D138" s="35">
        <f>IF(B138="","",IFERROR(INDEX(Geral!$D$7:$D$600,MATCH(B138,Geral!$A$7:$A$600,0))&amp;"",""))</f>
        <v/>
      </c>
      <c r="E138" s="15" t="n"/>
      <c r="F138" s="13" t="n"/>
      <c r="G138" s="36">
        <f>IF(B138="","",IFERROR(INDEX(Geral!$Q$7:$Q$600,MATCH(B138,Geral!$A$7:$A$600,0)),""))</f>
        <v/>
      </c>
      <c r="H138" s="19" t="n"/>
      <c r="I138" s="19" t="n"/>
      <c r="J138" s="15" t="n"/>
    </row>
    <row r="139">
      <c r="A139" s="15" t="n"/>
      <c r="B139" s="35">
        <f>IF(A139="","",IFERROR(LEFT(A139,FIND(" · ",A139)-1),A139))</f>
        <v/>
      </c>
      <c r="C139" s="35">
        <f>IF(B139="","",IFERROR(INDEX(Geral!$C$7:$C$600,MATCH(B139,Geral!$A$7:$A$600,0)),"ID não encontrado"))</f>
        <v/>
      </c>
      <c r="D139" s="35">
        <f>IF(B139="","",IFERROR(INDEX(Geral!$D$7:$D$600,MATCH(B139,Geral!$A$7:$A$600,0))&amp;"",""))</f>
        <v/>
      </c>
      <c r="E139" s="15" t="n"/>
      <c r="F139" s="13" t="n"/>
      <c r="G139" s="36">
        <f>IF(B139="","",IFERROR(INDEX(Geral!$Q$7:$Q$600,MATCH(B139,Geral!$A$7:$A$600,0)),""))</f>
        <v/>
      </c>
      <c r="H139" s="19" t="n"/>
      <c r="I139" s="19" t="n"/>
      <c r="J139" s="15" t="n"/>
    </row>
    <row r="140">
      <c r="A140" s="15" t="n"/>
      <c r="B140" s="35">
        <f>IF(A140="","",IFERROR(LEFT(A140,FIND(" · ",A140)-1),A140))</f>
        <v/>
      </c>
      <c r="C140" s="35">
        <f>IF(B140="","",IFERROR(INDEX(Geral!$C$7:$C$600,MATCH(B140,Geral!$A$7:$A$600,0)),"ID não encontrado"))</f>
        <v/>
      </c>
      <c r="D140" s="35">
        <f>IF(B140="","",IFERROR(INDEX(Geral!$D$7:$D$600,MATCH(B140,Geral!$A$7:$A$600,0))&amp;"",""))</f>
        <v/>
      </c>
      <c r="E140" s="15" t="n"/>
      <c r="F140" s="13" t="n"/>
      <c r="G140" s="36">
        <f>IF(B140="","",IFERROR(INDEX(Geral!$Q$7:$Q$600,MATCH(B140,Geral!$A$7:$A$600,0)),""))</f>
        <v/>
      </c>
      <c r="H140" s="19" t="n"/>
      <c r="I140" s="19" t="n"/>
      <c r="J140" s="15" t="n"/>
    </row>
    <row r="141">
      <c r="A141" s="15" t="n"/>
      <c r="B141" s="35">
        <f>IF(A141="","",IFERROR(LEFT(A141,FIND(" · ",A141)-1),A141))</f>
        <v/>
      </c>
      <c r="C141" s="35">
        <f>IF(B141="","",IFERROR(INDEX(Geral!$C$7:$C$600,MATCH(B141,Geral!$A$7:$A$600,0)),"ID não encontrado"))</f>
        <v/>
      </c>
      <c r="D141" s="35">
        <f>IF(B141="","",IFERROR(INDEX(Geral!$D$7:$D$600,MATCH(B141,Geral!$A$7:$A$600,0))&amp;"",""))</f>
        <v/>
      </c>
      <c r="E141" s="15" t="n"/>
      <c r="F141" s="13" t="n"/>
      <c r="G141" s="36">
        <f>IF(B141="","",IFERROR(INDEX(Geral!$Q$7:$Q$600,MATCH(B141,Geral!$A$7:$A$600,0)),""))</f>
        <v/>
      </c>
      <c r="H141" s="19" t="n"/>
      <c r="I141" s="19" t="n"/>
      <c r="J141" s="15" t="n"/>
    </row>
    <row r="142">
      <c r="A142" s="15" t="n"/>
      <c r="B142" s="35">
        <f>IF(A142="","",IFERROR(LEFT(A142,FIND(" · ",A142)-1),A142))</f>
        <v/>
      </c>
      <c r="C142" s="35">
        <f>IF(B142="","",IFERROR(INDEX(Geral!$C$7:$C$600,MATCH(B142,Geral!$A$7:$A$600,0)),"ID não encontrado"))</f>
        <v/>
      </c>
      <c r="D142" s="35">
        <f>IF(B142="","",IFERROR(INDEX(Geral!$D$7:$D$600,MATCH(B142,Geral!$A$7:$A$600,0))&amp;"",""))</f>
        <v/>
      </c>
      <c r="E142" s="15" t="n"/>
      <c r="F142" s="13" t="n"/>
      <c r="G142" s="36">
        <f>IF(B142="","",IFERROR(INDEX(Geral!$Q$7:$Q$600,MATCH(B142,Geral!$A$7:$A$600,0)),""))</f>
        <v/>
      </c>
      <c r="H142" s="19" t="n"/>
      <c r="I142" s="19" t="n"/>
      <c r="J142" s="15" t="n"/>
    </row>
    <row r="143">
      <c r="A143" s="15" t="n"/>
      <c r="B143" s="35">
        <f>IF(A143="","",IFERROR(LEFT(A143,FIND(" · ",A143)-1),A143))</f>
        <v/>
      </c>
      <c r="C143" s="35">
        <f>IF(B143="","",IFERROR(INDEX(Geral!$C$7:$C$600,MATCH(B143,Geral!$A$7:$A$600,0)),"ID não encontrado"))</f>
        <v/>
      </c>
      <c r="D143" s="35">
        <f>IF(B143="","",IFERROR(INDEX(Geral!$D$7:$D$600,MATCH(B143,Geral!$A$7:$A$600,0))&amp;"",""))</f>
        <v/>
      </c>
      <c r="E143" s="15" t="n"/>
      <c r="F143" s="13" t="n"/>
      <c r="G143" s="36">
        <f>IF(B143="","",IFERROR(INDEX(Geral!$Q$7:$Q$600,MATCH(B143,Geral!$A$7:$A$600,0)),""))</f>
        <v/>
      </c>
      <c r="H143" s="19" t="n"/>
      <c r="I143" s="19" t="n"/>
      <c r="J143" s="15" t="n"/>
    </row>
    <row r="144">
      <c r="A144" s="15" t="n"/>
      <c r="B144" s="35">
        <f>IF(A144="","",IFERROR(LEFT(A144,FIND(" · ",A144)-1),A144))</f>
        <v/>
      </c>
      <c r="C144" s="35">
        <f>IF(B144="","",IFERROR(INDEX(Geral!$C$7:$C$600,MATCH(B144,Geral!$A$7:$A$600,0)),"ID não encontrado"))</f>
        <v/>
      </c>
      <c r="D144" s="35">
        <f>IF(B144="","",IFERROR(INDEX(Geral!$D$7:$D$600,MATCH(B144,Geral!$A$7:$A$600,0))&amp;"",""))</f>
        <v/>
      </c>
      <c r="E144" s="15" t="n"/>
      <c r="F144" s="13" t="n"/>
      <c r="G144" s="36">
        <f>IF(B144="","",IFERROR(INDEX(Geral!$Q$7:$Q$600,MATCH(B144,Geral!$A$7:$A$600,0)),""))</f>
        <v/>
      </c>
      <c r="H144" s="19" t="n"/>
      <c r="I144" s="19" t="n"/>
      <c r="J144" s="15" t="n"/>
    </row>
    <row r="145">
      <c r="A145" s="15" t="n"/>
      <c r="B145" s="35">
        <f>IF(A145="","",IFERROR(LEFT(A145,FIND(" · ",A145)-1),A145))</f>
        <v/>
      </c>
      <c r="C145" s="35">
        <f>IF(B145="","",IFERROR(INDEX(Geral!$C$7:$C$600,MATCH(B145,Geral!$A$7:$A$600,0)),"ID não encontrado"))</f>
        <v/>
      </c>
      <c r="D145" s="35">
        <f>IF(B145="","",IFERROR(INDEX(Geral!$D$7:$D$600,MATCH(B145,Geral!$A$7:$A$600,0))&amp;"",""))</f>
        <v/>
      </c>
      <c r="E145" s="15" t="n"/>
      <c r="F145" s="13" t="n"/>
      <c r="G145" s="36">
        <f>IF(B145="","",IFERROR(INDEX(Geral!$Q$7:$Q$600,MATCH(B145,Geral!$A$7:$A$600,0)),""))</f>
        <v/>
      </c>
      <c r="H145" s="19" t="n"/>
      <c r="I145" s="19" t="n"/>
      <c r="J145" s="15" t="n"/>
    </row>
    <row r="146">
      <c r="A146" s="15" t="n"/>
      <c r="B146" s="35">
        <f>IF(A146="","",IFERROR(LEFT(A146,FIND(" · ",A146)-1),A146))</f>
        <v/>
      </c>
      <c r="C146" s="35">
        <f>IF(B146="","",IFERROR(INDEX(Geral!$C$7:$C$600,MATCH(B146,Geral!$A$7:$A$600,0)),"ID não encontrado"))</f>
        <v/>
      </c>
      <c r="D146" s="35">
        <f>IF(B146="","",IFERROR(INDEX(Geral!$D$7:$D$600,MATCH(B146,Geral!$A$7:$A$600,0))&amp;"",""))</f>
        <v/>
      </c>
      <c r="E146" s="15" t="n"/>
      <c r="F146" s="13" t="n"/>
      <c r="G146" s="36">
        <f>IF(B146="","",IFERROR(INDEX(Geral!$Q$7:$Q$600,MATCH(B146,Geral!$A$7:$A$600,0)),""))</f>
        <v/>
      </c>
      <c r="H146" s="19" t="n"/>
      <c r="I146" s="19" t="n"/>
      <c r="J146" s="15" t="n"/>
    </row>
    <row r="147">
      <c r="A147" s="15" t="n"/>
      <c r="B147" s="35">
        <f>IF(A147="","",IFERROR(LEFT(A147,FIND(" · ",A147)-1),A147))</f>
        <v/>
      </c>
      <c r="C147" s="35">
        <f>IF(B147="","",IFERROR(INDEX(Geral!$C$7:$C$600,MATCH(B147,Geral!$A$7:$A$600,0)),"ID não encontrado"))</f>
        <v/>
      </c>
      <c r="D147" s="35">
        <f>IF(B147="","",IFERROR(INDEX(Geral!$D$7:$D$600,MATCH(B147,Geral!$A$7:$A$600,0))&amp;"",""))</f>
        <v/>
      </c>
      <c r="E147" s="15" t="n"/>
      <c r="F147" s="13" t="n"/>
      <c r="G147" s="36">
        <f>IF(B147="","",IFERROR(INDEX(Geral!$Q$7:$Q$600,MATCH(B147,Geral!$A$7:$A$600,0)),""))</f>
        <v/>
      </c>
      <c r="H147" s="19" t="n"/>
      <c r="I147" s="19" t="n"/>
      <c r="J147" s="15" t="n"/>
    </row>
    <row r="148">
      <c r="A148" s="15" t="n"/>
      <c r="B148" s="35">
        <f>IF(A148="","",IFERROR(LEFT(A148,FIND(" · ",A148)-1),A148))</f>
        <v/>
      </c>
      <c r="C148" s="35">
        <f>IF(B148="","",IFERROR(INDEX(Geral!$C$7:$C$600,MATCH(B148,Geral!$A$7:$A$600,0)),"ID não encontrado"))</f>
        <v/>
      </c>
      <c r="D148" s="35">
        <f>IF(B148="","",IFERROR(INDEX(Geral!$D$7:$D$600,MATCH(B148,Geral!$A$7:$A$600,0))&amp;"",""))</f>
        <v/>
      </c>
      <c r="E148" s="15" t="n"/>
      <c r="F148" s="13" t="n"/>
      <c r="G148" s="36">
        <f>IF(B148="","",IFERROR(INDEX(Geral!$Q$7:$Q$600,MATCH(B148,Geral!$A$7:$A$600,0)),""))</f>
        <v/>
      </c>
      <c r="H148" s="19" t="n"/>
      <c r="I148" s="19" t="n"/>
      <c r="J148" s="15" t="n"/>
    </row>
    <row r="149">
      <c r="A149" s="15" t="n"/>
      <c r="B149" s="35">
        <f>IF(A149="","",IFERROR(LEFT(A149,FIND(" · ",A149)-1),A149))</f>
        <v/>
      </c>
      <c r="C149" s="35">
        <f>IF(B149="","",IFERROR(INDEX(Geral!$C$7:$C$600,MATCH(B149,Geral!$A$7:$A$600,0)),"ID não encontrado"))</f>
        <v/>
      </c>
      <c r="D149" s="35">
        <f>IF(B149="","",IFERROR(INDEX(Geral!$D$7:$D$600,MATCH(B149,Geral!$A$7:$A$600,0))&amp;"",""))</f>
        <v/>
      </c>
      <c r="E149" s="15" t="n"/>
      <c r="F149" s="13" t="n"/>
      <c r="G149" s="36">
        <f>IF(B149="","",IFERROR(INDEX(Geral!$Q$7:$Q$600,MATCH(B149,Geral!$A$7:$A$600,0)),""))</f>
        <v/>
      </c>
      <c r="H149" s="19" t="n"/>
      <c r="I149" s="19" t="n"/>
      <c r="J149" s="15" t="n"/>
    </row>
    <row r="150">
      <c r="A150" s="15" t="n"/>
      <c r="B150" s="35">
        <f>IF(A150="","",IFERROR(LEFT(A150,FIND(" · ",A150)-1),A150))</f>
        <v/>
      </c>
      <c r="C150" s="35">
        <f>IF(B150="","",IFERROR(INDEX(Geral!$C$7:$C$600,MATCH(B150,Geral!$A$7:$A$600,0)),"ID não encontrado"))</f>
        <v/>
      </c>
      <c r="D150" s="35">
        <f>IF(B150="","",IFERROR(INDEX(Geral!$D$7:$D$600,MATCH(B150,Geral!$A$7:$A$600,0))&amp;"",""))</f>
        <v/>
      </c>
      <c r="E150" s="15" t="n"/>
      <c r="F150" s="13" t="n"/>
      <c r="G150" s="36">
        <f>IF(B150="","",IFERROR(INDEX(Geral!$Q$7:$Q$600,MATCH(B150,Geral!$A$7:$A$600,0)),""))</f>
        <v/>
      </c>
      <c r="H150" s="19" t="n"/>
      <c r="I150" s="19" t="n"/>
      <c r="J150" s="15" t="n"/>
    </row>
    <row r="151">
      <c r="A151" s="15" t="n"/>
      <c r="B151" s="35">
        <f>IF(A151="","",IFERROR(LEFT(A151,FIND(" · ",A151)-1),A151))</f>
        <v/>
      </c>
      <c r="C151" s="35">
        <f>IF(B151="","",IFERROR(INDEX(Geral!$C$7:$C$600,MATCH(B151,Geral!$A$7:$A$600,0)),"ID não encontrado"))</f>
        <v/>
      </c>
      <c r="D151" s="35">
        <f>IF(B151="","",IFERROR(INDEX(Geral!$D$7:$D$600,MATCH(B151,Geral!$A$7:$A$600,0))&amp;"",""))</f>
        <v/>
      </c>
      <c r="E151" s="15" t="n"/>
      <c r="F151" s="13" t="n"/>
      <c r="G151" s="36">
        <f>IF(B151="","",IFERROR(INDEX(Geral!$Q$7:$Q$600,MATCH(B151,Geral!$A$7:$A$600,0)),""))</f>
        <v/>
      </c>
      <c r="H151" s="19" t="n"/>
      <c r="I151" s="19" t="n"/>
      <c r="J151" s="15" t="n"/>
    </row>
    <row r="152">
      <c r="A152" s="15" t="n"/>
      <c r="B152" s="35">
        <f>IF(A152="","",IFERROR(LEFT(A152,FIND(" · ",A152)-1),A152))</f>
        <v/>
      </c>
      <c r="C152" s="35">
        <f>IF(B152="","",IFERROR(INDEX(Geral!$C$7:$C$600,MATCH(B152,Geral!$A$7:$A$600,0)),"ID não encontrado"))</f>
        <v/>
      </c>
      <c r="D152" s="35">
        <f>IF(B152="","",IFERROR(INDEX(Geral!$D$7:$D$600,MATCH(B152,Geral!$A$7:$A$600,0))&amp;"",""))</f>
        <v/>
      </c>
      <c r="E152" s="15" t="n"/>
      <c r="F152" s="13" t="n"/>
      <c r="G152" s="36">
        <f>IF(B152="","",IFERROR(INDEX(Geral!$Q$7:$Q$600,MATCH(B152,Geral!$A$7:$A$600,0)),""))</f>
        <v/>
      </c>
      <c r="H152" s="19" t="n"/>
      <c r="I152" s="19" t="n"/>
      <c r="J152" s="15" t="n"/>
    </row>
    <row r="153">
      <c r="A153" s="15" t="n"/>
      <c r="B153" s="35">
        <f>IF(A153="","",IFERROR(LEFT(A153,FIND(" · ",A153)-1),A153))</f>
        <v/>
      </c>
      <c r="C153" s="35">
        <f>IF(B153="","",IFERROR(INDEX(Geral!$C$7:$C$600,MATCH(B153,Geral!$A$7:$A$600,0)),"ID não encontrado"))</f>
        <v/>
      </c>
      <c r="D153" s="35">
        <f>IF(B153="","",IFERROR(INDEX(Geral!$D$7:$D$600,MATCH(B153,Geral!$A$7:$A$600,0))&amp;"",""))</f>
        <v/>
      </c>
      <c r="E153" s="15" t="n"/>
      <c r="F153" s="13" t="n"/>
      <c r="G153" s="36">
        <f>IF(B153="","",IFERROR(INDEX(Geral!$Q$7:$Q$600,MATCH(B153,Geral!$A$7:$A$600,0)),""))</f>
        <v/>
      </c>
      <c r="H153" s="19" t="n"/>
      <c r="I153" s="19" t="n"/>
      <c r="J153" s="15" t="n"/>
    </row>
    <row r="154">
      <c r="A154" s="15" t="n"/>
      <c r="B154" s="35">
        <f>IF(A154="","",IFERROR(LEFT(A154,FIND(" · ",A154)-1),A154))</f>
        <v/>
      </c>
      <c r="C154" s="35">
        <f>IF(B154="","",IFERROR(INDEX(Geral!$C$7:$C$600,MATCH(B154,Geral!$A$7:$A$600,0)),"ID não encontrado"))</f>
        <v/>
      </c>
      <c r="D154" s="35">
        <f>IF(B154="","",IFERROR(INDEX(Geral!$D$7:$D$600,MATCH(B154,Geral!$A$7:$A$600,0))&amp;"",""))</f>
        <v/>
      </c>
      <c r="E154" s="15" t="n"/>
      <c r="F154" s="13" t="n"/>
      <c r="G154" s="36">
        <f>IF(B154="","",IFERROR(INDEX(Geral!$Q$7:$Q$600,MATCH(B154,Geral!$A$7:$A$600,0)),""))</f>
        <v/>
      </c>
      <c r="H154" s="19" t="n"/>
      <c r="I154" s="19" t="n"/>
      <c r="J154" s="15" t="n"/>
    </row>
    <row r="155">
      <c r="A155" s="15" t="n"/>
      <c r="B155" s="35">
        <f>IF(A155="","",IFERROR(LEFT(A155,FIND(" · ",A155)-1),A155))</f>
        <v/>
      </c>
      <c r="C155" s="35">
        <f>IF(B155="","",IFERROR(INDEX(Geral!$C$7:$C$600,MATCH(B155,Geral!$A$7:$A$600,0)),"ID não encontrado"))</f>
        <v/>
      </c>
      <c r="D155" s="35">
        <f>IF(B155="","",IFERROR(INDEX(Geral!$D$7:$D$600,MATCH(B155,Geral!$A$7:$A$600,0))&amp;"",""))</f>
        <v/>
      </c>
      <c r="E155" s="15" t="n"/>
      <c r="F155" s="13" t="n"/>
      <c r="G155" s="36">
        <f>IF(B155="","",IFERROR(INDEX(Geral!$Q$7:$Q$600,MATCH(B155,Geral!$A$7:$A$600,0)),""))</f>
        <v/>
      </c>
      <c r="H155" s="19" t="n"/>
      <c r="I155" s="19" t="n"/>
      <c r="J155" s="15" t="n"/>
    </row>
    <row r="156">
      <c r="A156" s="15" t="n"/>
      <c r="B156" s="35">
        <f>IF(A156="","",IFERROR(LEFT(A156,FIND(" · ",A156)-1),A156))</f>
        <v/>
      </c>
      <c r="C156" s="35">
        <f>IF(B156="","",IFERROR(INDEX(Geral!$C$7:$C$600,MATCH(B156,Geral!$A$7:$A$600,0)),"ID não encontrado"))</f>
        <v/>
      </c>
      <c r="D156" s="35">
        <f>IF(B156="","",IFERROR(INDEX(Geral!$D$7:$D$600,MATCH(B156,Geral!$A$7:$A$600,0))&amp;"",""))</f>
        <v/>
      </c>
      <c r="E156" s="15" t="n"/>
      <c r="F156" s="13" t="n"/>
      <c r="G156" s="36">
        <f>IF(B156="","",IFERROR(INDEX(Geral!$Q$7:$Q$600,MATCH(B156,Geral!$A$7:$A$600,0)),""))</f>
        <v/>
      </c>
      <c r="H156" s="19" t="n"/>
      <c r="I156" s="19" t="n"/>
      <c r="J156" s="15" t="n"/>
    </row>
    <row r="157">
      <c r="A157" s="15" t="n"/>
      <c r="B157" s="35">
        <f>IF(A157="","",IFERROR(LEFT(A157,FIND(" · ",A157)-1),A157))</f>
        <v/>
      </c>
      <c r="C157" s="35">
        <f>IF(B157="","",IFERROR(INDEX(Geral!$C$7:$C$600,MATCH(B157,Geral!$A$7:$A$600,0)),"ID não encontrado"))</f>
        <v/>
      </c>
      <c r="D157" s="35">
        <f>IF(B157="","",IFERROR(INDEX(Geral!$D$7:$D$600,MATCH(B157,Geral!$A$7:$A$600,0))&amp;"",""))</f>
        <v/>
      </c>
      <c r="E157" s="15" t="n"/>
      <c r="F157" s="13" t="n"/>
      <c r="G157" s="36">
        <f>IF(B157="","",IFERROR(INDEX(Geral!$Q$7:$Q$600,MATCH(B157,Geral!$A$7:$A$600,0)),""))</f>
        <v/>
      </c>
      <c r="H157" s="19" t="n"/>
      <c r="I157" s="19" t="n"/>
      <c r="J157" s="15" t="n"/>
    </row>
    <row r="158">
      <c r="A158" s="15" t="n"/>
      <c r="B158" s="35">
        <f>IF(A158="","",IFERROR(LEFT(A158,FIND(" · ",A158)-1),A158))</f>
        <v/>
      </c>
      <c r="C158" s="35">
        <f>IF(B158="","",IFERROR(INDEX(Geral!$C$7:$C$600,MATCH(B158,Geral!$A$7:$A$600,0)),"ID não encontrado"))</f>
        <v/>
      </c>
      <c r="D158" s="35">
        <f>IF(B158="","",IFERROR(INDEX(Geral!$D$7:$D$600,MATCH(B158,Geral!$A$7:$A$600,0))&amp;"",""))</f>
        <v/>
      </c>
      <c r="E158" s="15" t="n"/>
      <c r="F158" s="13" t="n"/>
      <c r="G158" s="36">
        <f>IF(B158="","",IFERROR(INDEX(Geral!$Q$7:$Q$600,MATCH(B158,Geral!$A$7:$A$600,0)),""))</f>
        <v/>
      </c>
      <c r="H158" s="19" t="n"/>
      <c r="I158" s="19" t="n"/>
      <c r="J158" s="15" t="n"/>
    </row>
    <row r="159">
      <c r="A159" s="15" t="n"/>
      <c r="B159" s="35">
        <f>IF(A159="","",IFERROR(LEFT(A159,FIND(" · ",A159)-1),A159))</f>
        <v/>
      </c>
      <c r="C159" s="35">
        <f>IF(B159="","",IFERROR(INDEX(Geral!$C$7:$C$600,MATCH(B159,Geral!$A$7:$A$600,0)),"ID não encontrado"))</f>
        <v/>
      </c>
      <c r="D159" s="35">
        <f>IF(B159="","",IFERROR(INDEX(Geral!$D$7:$D$600,MATCH(B159,Geral!$A$7:$A$600,0))&amp;"",""))</f>
        <v/>
      </c>
      <c r="E159" s="15" t="n"/>
      <c r="F159" s="13" t="n"/>
      <c r="G159" s="36">
        <f>IF(B159="","",IFERROR(INDEX(Geral!$Q$7:$Q$600,MATCH(B159,Geral!$A$7:$A$600,0)),""))</f>
        <v/>
      </c>
      <c r="H159" s="19" t="n"/>
      <c r="I159" s="19" t="n"/>
      <c r="J159" s="15" t="n"/>
    </row>
    <row r="160">
      <c r="A160" s="15" t="n"/>
      <c r="B160" s="35">
        <f>IF(A160="","",IFERROR(LEFT(A160,FIND(" · ",A160)-1),A160))</f>
        <v/>
      </c>
      <c r="C160" s="35">
        <f>IF(B160="","",IFERROR(INDEX(Geral!$C$7:$C$600,MATCH(B160,Geral!$A$7:$A$600,0)),"ID não encontrado"))</f>
        <v/>
      </c>
      <c r="D160" s="35">
        <f>IF(B160="","",IFERROR(INDEX(Geral!$D$7:$D$600,MATCH(B160,Geral!$A$7:$A$600,0))&amp;"",""))</f>
        <v/>
      </c>
      <c r="E160" s="15" t="n"/>
      <c r="F160" s="13" t="n"/>
      <c r="G160" s="36">
        <f>IF(B160="","",IFERROR(INDEX(Geral!$Q$7:$Q$600,MATCH(B160,Geral!$A$7:$A$600,0)),""))</f>
        <v/>
      </c>
      <c r="H160" s="19" t="n"/>
      <c r="I160" s="19" t="n"/>
      <c r="J160" s="15" t="n"/>
    </row>
    <row r="161">
      <c r="A161" s="15" t="n"/>
      <c r="B161" s="35">
        <f>IF(A161="","",IFERROR(LEFT(A161,FIND(" · ",A161)-1),A161))</f>
        <v/>
      </c>
      <c r="C161" s="35">
        <f>IF(B161="","",IFERROR(INDEX(Geral!$C$7:$C$600,MATCH(B161,Geral!$A$7:$A$600,0)),"ID não encontrado"))</f>
        <v/>
      </c>
      <c r="D161" s="35">
        <f>IF(B161="","",IFERROR(INDEX(Geral!$D$7:$D$600,MATCH(B161,Geral!$A$7:$A$600,0))&amp;"",""))</f>
        <v/>
      </c>
      <c r="E161" s="15" t="n"/>
      <c r="F161" s="13" t="n"/>
      <c r="G161" s="36">
        <f>IF(B161="","",IFERROR(INDEX(Geral!$Q$7:$Q$600,MATCH(B161,Geral!$A$7:$A$600,0)),""))</f>
        <v/>
      </c>
      <c r="H161" s="19" t="n"/>
      <c r="I161" s="19" t="n"/>
      <c r="J161" s="15" t="n"/>
    </row>
    <row r="162">
      <c r="A162" s="15" t="n"/>
      <c r="B162" s="35">
        <f>IF(A162="","",IFERROR(LEFT(A162,FIND(" · ",A162)-1),A162))</f>
        <v/>
      </c>
      <c r="C162" s="35">
        <f>IF(B162="","",IFERROR(INDEX(Geral!$C$7:$C$600,MATCH(B162,Geral!$A$7:$A$600,0)),"ID não encontrado"))</f>
        <v/>
      </c>
      <c r="D162" s="35">
        <f>IF(B162="","",IFERROR(INDEX(Geral!$D$7:$D$600,MATCH(B162,Geral!$A$7:$A$600,0))&amp;"",""))</f>
        <v/>
      </c>
      <c r="E162" s="15" t="n"/>
      <c r="F162" s="13" t="n"/>
      <c r="G162" s="36">
        <f>IF(B162="","",IFERROR(INDEX(Geral!$Q$7:$Q$600,MATCH(B162,Geral!$A$7:$A$600,0)),""))</f>
        <v/>
      </c>
      <c r="H162" s="19" t="n"/>
      <c r="I162" s="19" t="n"/>
      <c r="J162" s="15" t="n"/>
    </row>
    <row r="163">
      <c r="A163" s="15" t="n"/>
      <c r="B163" s="35">
        <f>IF(A163="","",IFERROR(LEFT(A163,FIND(" · ",A163)-1),A163))</f>
        <v/>
      </c>
      <c r="C163" s="35">
        <f>IF(B163="","",IFERROR(INDEX(Geral!$C$7:$C$600,MATCH(B163,Geral!$A$7:$A$600,0)),"ID não encontrado"))</f>
        <v/>
      </c>
      <c r="D163" s="35">
        <f>IF(B163="","",IFERROR(INDEX(Geral!$D$7:$D$600,MATCH(B163,Geral!$A$7:$A$600,0))&amp;"",""))</f>
        <v/>
      </c>
      <c r="E163" s="15" t="n"/>
      <c r="F163" s="13" t="n"/>
      <c r="G163" s="36">
        <f>IF(B163="","",IFERROR(INDEX(Geral!$Q$7:$Q$600,MATCH(B163,Geral!$A$7:$A$600,0)),""))</f>
        <v/>
      </c>
      <c r="H163" s="19" t="n"/>
      <c r="I163" s="19" t="n"/>
      <c r="J163" s="15" t="n"/>
    </row>
    <row r="164">
      <c r="A164" s="15" t="n"/>
      <c r="B164" s="35">
        <f>IF(A164="","",IFERROR(LEFT(A164,FIND(" · ",A164)-1),A164))</f>
        <v/>
      </c>
      <c r="C164" s="35">
        <f>IF(B164="","",IFERROR(INDEX(Geral!$C$7:$C$600,MATCH(B164,Geral!$A$7:$A$600,0)),"ID não encontrado"))</f>
        <v/>
      </c>
      <c r="D164" s="35">
        <f>IF(B164="","",IFERROR(INDEX(Geral!$D$7:$D$600,MATCH(B164,Geral!$A$7:$A$600,0))&amp;"",""))</f>
        <v/>
      </c>
      <c r="E164" s="15" t="n"/>
      <c r="F164" s="13" t="n"/>
      <c r="G164" s="36">
        <f>IF(B164="","",IFERROR(INDEX(Geral!$Q$7:$Q$600,MATCH(B164,Geral!$A$7:$A$600,0)),""))</f>
        <v/>
      </c>
      <c r="H164" s="19" t="n"/>
      <c r="I164" s="19" t="n"/>
      <c r="J164" s="15" t="n"/>
    </row>
    <row r="165">
      <c r="A165" s="15" t="n"/>
      <c r="B165" s="35">
        <f>IF(A165="","",IFERROR(LEFT(A165,FIND(" · ",A165)-1),A165))</f>
        <v/>
      </c>
      <c r="C165" s="35">
        <f>IF(B165="","",IFERROR(INDEX(Geral!$C$7:$C$600,MATCH(B165,Geral!$A$7:$A$600,0)),"ID não encontrado"))</f>
        <v/>
      </c>
      <c r="D165" s="35">
        <f>IF(B165="","",IFERROR(INDEX(Geral!$D$7:$D$600,MATCH(B165,Geral!$A$7:$A$600,0))&amp;"",""))</f>
        <v/>
      </c>
      <c r="E165" s="15" t="n"/>
      <c r="F165" s="13" t="n"/>
      <c r="G165" s="36">
        <f>IF(B165="","",IFERROR(INDEX(Geral!$Q$7:$Q$600,MATCH(B165,Geral!$A$7:$A$600,0)),""))</f>
        <v/>
      </c>
      <c r="H165" s="19" t="n"/>
      <c r="I165" s="19" t="n"/>
      <c r="J165" s="15" t="n"/>
    </row>
    <row r="166">
      <c r="A166" s="15" t="n"/>
      <c r="B166" s="35">
        <f>IF(A166="","",IFERROR(LEFT(A166,FIND(" · ",A166)-1),A166))</f>
        <v/>
      </c>
      <c r="C166" s="35">
        <f>IF(B166="","",IFERROR(INDEX(Geral!$C$7:$C$600,MATCH(B166,Geral!$A$7:$A$600,0)),"ID não encontrado"))</f>
        <v/>
      </c>
      <c r="D166" s="35">
        <f>IF(B166="","",IFERROR(INDEX(Geral!$D$7:$D$600,MATCH(B166,Geral!$A$7:$A$600,0))&amp;"",""))</f>
        <v/>
      </c>
      <c r="E166" s="15" t="n"/>
      <c r="F166" s="13" t="n"/>
      <c r="G166" s="36">
        <f>IF(B166="","",IFERROR(INDEX(Geral!$Q$7:$Q$600,MATCH(B166,Geral!$A$7:$A$600,0)),""))</f>
        <v/>
      </c>
      <c r="H166" s="19" t="n"/>
      <c r="I166" s="19" t="n"/>
      <c r="J166" s="15" t="n"/>
    </row>
    <row r="167">
      <c r="A167" s="15" t="n"/>
      <c r="B167" s="35">
        <f>IF(A167="","",IFERROR(LEFT(A167,FIND(" · ",A167)-1),A167))</f>
        <v/>
      </c>
      <c r="C167" s="35">
        <f>IF(B167="","",IFERROR(INDEX(Geral!$C$7:$C$600,MATCH(B167,Geral!$A$7:$A$600,0)),"ID não encontrado"))</f>
        <v/>
      </c>
      <c r="D167" s="35">
        <f>IF(B167="","",IFERROR(INDEX(Geral!$D$7:$D$600,MATCH(B167,Geral!$A$7:$A$600,0))&amp;"",""))</f>
        <v/>
      </c>
      <c r="E167" s="15" t="n"/>
      <c r="F167" s="13" t="n"/>
      <c r="G167" s="36">
        <f>IF(B167="","",IFERROR(INDEX(Geral!$Q$7:$Q$600,MATCH(B167,Geral!$A$7:$A$600,0)),""))</f>
        <v/>
      </c>
      <c r="H167" s="19" t="n"/>
      <c r="I167" s="19" t="n"/>
      <c r="J167" s="15" t="n"/>
    </row>
    <row r="168">
      <c r="A168" s="15" t="n"/>
      <c r="B168" s="35">
        <f>IF(A168="","",IFERROR(LEFT(A168,FIND(" · ",A168)-1),A168))</f>
        <v/>
      </c>
      <c r="C168" s="35">
        <f>IF(B168="","",IFERROR(INDEX(Geral!$C$7:$C$600,MATCH(B168,Geral!$A$7:$A$600,0)),"ID não encontrado"))</f>
        <v/>
      </c>
      <c r="D168" s="35">
        <f>IF(B168="","",IFERROR(INDEX(Geral!$D$7:$D$600,MATCH(B168,Geral!$A$7:$A$600,0))&amp;"",""))</f>
        <v/>
      </c>
      <c r="E168" s="15" t="n"/>
      <c r="F168" s="13" t="n"/>
      <c r="G168" s="36">
        <f>IF(B168="","",IFERROR(INDEX(Geral!$Q$7:$Q$600,MATCH(B168,Geral!$A$7:$A$600,0)),""))</f>
        <v/>
      </c>
      <c r="H168" s="19" t="n"/>
      <c r="I168" s="19" t="n"/>
      <c r="J168" s="15" t="n"/>
    </row>
    <row r="169">
      <c r="A169" s="15" t="n"/>
      <c r="B169" s="35">
        <f>IF(A169="","",IFERROR(LEFT(A169,FIND(" · ",A169)-1),A169))</f>
        <v/>
      </c>
      <c r="C169" s="35">
        <f>IF(B169="","",IFERROR(INDEX(Geral!$C$7:$C$600,MATCH(B169,Geral!$A$7:$A$600,0)),"ID não encontrado"))</f>
        <v/>
      </c>
      <c r="D169" s="35">
        <f>IF(B169="","",IFERROR(INDEX(Geral!$D$7:$D$600,MATCH(B169,Geral!$A$7:$A$600,0))&amp;"",""))</f>
        <v/>
      </c>
      <c r="E169" s="15" t="n"/>
      <c r="F169" s="13" t="n"/>
      <c r="G169" s="36">
        <f>IF(B169="","",IFERROR(INDEX(Geral!$Q$7:$Q$600,MATCH(B169,Geral!$A$7:$A$600,0)),""))</f>
        <v/>
      </c>
      <c r="H169" s="19" t="n"/>
      <c r="I169" s="19" t="n"/>
      <c r="J169" s="15" t="n"/>
    </row>
    <row r="170">
      <c r="A170" s="15" t="n"/>
      <c r="B170" s="35">
        <f>IF(A170="","",IFERROR(LEFT(A170,FIND(" · ",A170)-1),A170))</f>
        <v/>
      </c>
      <c r="C170" s="35">
        <f>IF(B170="","",IFERROR(INDEX(Geral!$C$7:$C$600,MATCH(B170,Geral!$A$7:$A$600,0)),"ID não encontrado"))</f>
        <v/>
      </c>
      <c r="D170" s="35">
        <f>IF(B170="","",IFERROR(INDEX(Geral!$D$7:$D$600,MATCH(B170,Geral!$A$7:$A$600,0))&amp;"",""))</f>
        <v/>
      </c>
      <c r="E170" s="15" t="n"/>
      <c r="F170" s="13" t="n"/>
      <c r="G170" s="36">
        <f>IF(B170="","",IFERROR(INDEX(Geral!$Q$7:$Q$600,MATCH(B170,Geral!$A$7:$A$600,0)),""))</f>
        <v/>
      </c>
      <c r="H170" s="19" t="n"/>
      <c r="I170" s="19" t="n"/>
      <c r="J170" s="15" t="n"/>
    </row>
    <row r="171">
      <c r="A171" s="15" t="n"/>
      <c r="B171" s="35">
        <f>IF(A171="","",IFERROR(LEFT(A171,FIND(" · ",A171)-1),A171))</f>
        <v/>
      </c>
      <c r="C171" s="35">
        <f>IF(B171="","",IFERROR(INDEX(Geral!$C$7:$C$600,MATCH(B171,Geral!$A$7:$A$600,0)),"ID não encontrado"))</f>
        <v/>
      </c>
      <c r="D171" s="35">
        <f>IF(B171="","",IFERROR(INDEX(Geral!$D$7:$D$600,MATCH(B171,Geral!$A$7:$A$600,0))&amp;"",""))</f>
        <v/>
      </c>
      <c r="E171" s="15" t="n"/>
      <c r="F171" s="13" t="n"/>
      <c r="G171" s="36">
        <f>IF(B171="","",IFERROR(INDEX(Geral!$Q$7:$Q$600,MATCH(B171,Geral!$A$7:$A$600,0)),""))</f>
        <v/>
      </c>
      <c r="H171" s="19" t="n"/>
      <c r="I171" s="19" t="n"/>
      <c r="J171" s="15" t="n"/>
    </row>
    <row r="172">
      <c r="A172" s="15" t="n"/>
      <c r="B172" s="35">
        <f>IF(A172="","",IFERROR(LEFT(A172,FIND(" · ",A172)-1),A172))</f>
        <v/>
      </c>
      <c r="C172" s="35">
        <f>IF(B172="","",IFERROR(INDEX(Geral!$C$7:$C$600,MATCH(B172,Geral!$A$7:$A$600,0)),"ID não encontrado"))</f>
        <v/>
      </c>
      <c r="D172" s="35">
        <f>IF(B172="","",IFERROR(INDEX(Geral!$D$7:$D$600,MATCH(B172,Geral!$A$7:$A$600,0))&amp;"",""))</f>
        <v/>
      </c>
      <c r="E172" s="15" t="n"/>
      <c r="F172" s="13" t="n"/>
      <c r="G172" s="36">
        <f>IF(B172="","",IFERROR(INDEX(Geral!$Q$7:$Q$600,MATCH(B172,Geral!$A$7:$A$600,0)),""))</f>
        <v/>
      </c>
      <c r="H172" s="19" t="n"/>
      <c r="I172" s="19" t="n"/>
      <c r="J172" s="15" t="n"/>
    </row>
    <row r="173">
      <c r="A173" s="15" t="n"/>
      <c r="B173" s="35">
        <f>IF(A173="","",IFERROR(LEFT(A173,FIND(" · ",A173)-1),A173))</f>
        <v/>
      </c>
      <c r="C173" s="35">
        <f>IF(B173="","",IFERROR(INDEX(Geral!$C$7:$C$600,MATCH(B173,Geral!$A$7:$A$600,0)),"ID não encontrado"))</f>
        <v/>
      </c>
      <c r="D173" s="35">
        <f>IF(B173="","",IFERROR(INDEX(Geral!$D$7:$D$600,MATCH(B173,Geral!$A$7:$A$600,0))&amp;"",""))</f>
        <v/>
      </c>
      <c r="E173" s="15" t="n"/>
      <c r="F173" s="13" t="n"/>
      <c r="G173" s="36">
        <f>IF(B173="","",IFERROR(INDEX(Geral!$Q$7:$Q$600,MATCH(B173,Geral!$A$7:$A$600,0)),""))</f>
        <v/>
      </c>
      <c r="H173" s="19" t="n"/>
      <c r="I173" s="19" t="n"/>
      <c r="J173" s="15" t="n"/>
    </row>
    <row r="174">
      <c r="A174" s="15" t="n"/>
      <c r="B174" s="35">
        <f>IF(A174="","",IFERROR(LEFT(A174,FIND(" · ",A174)-1),A174))</f>
        <v/>
      </c>
      <c r="C174" s="35">
        <f>IF(B174="","",IFERROR(INDEX(Geral!$C$7:$C$600,MATCH(B174,Geral!$A$7:$A$600,0)),"ID não encontrado"))</f>
        <v/>
      </c>
      <c r="D174" s="35">
        <f>IF(B174="","",IFERROR(INDEX(Geral!$D$7:$D$600,MATCH(B174,Geral!$A$7:$A$600,0))&amp;"",""))</f>
        <v/>
      </c>
      <c r="E174" s="15" t="n"/>
      <c r="F174" s="13" t="n"/>
      <c r="G174" s="36">
        <f>IF(B174="","",IFERROR(INDEX(Geral!$Q$7:$Q$600,MATCH(B174,Geral!$A$7:$A$600,0)),""))</f>
        <v/>
      </c>
      <c r="H174" s="19" t="n"/>
      <c r="I174" s="19" t="n"/>
      <c r="J174" s="15" t="n"/>
    </row>
    <row r="175">
      <c r="A175" s="15" t="n"/>
      <c r="B175" s="35">
        <f>IF(A175="","",IFERROR(LEFT(A175,FIND(" · ",A175)-1),A175))</f>
        <v/>
      </c>
      <c r="C175" s="35">
        <f>IF(B175="","",IFERROR(INDEX(Geral!$C$7:$C$600,MATCH(B175,Geral!$A$7:$A$600,0)),"ID não encontrado"))</f>
        <v/>
      </c>
      <c r="D175" s="35">
        <f>IF(B175="","",IFERROR(INDEX(Geral!$D$7:$D$600,MATCH(B175,Geral!$A$7:$A$600,0))&amp;"",""))</f>
        <v/>
      </c>
      <c r="E175" s="15" t="n"/>
      <c r="F175" s="13" t="n"/>
      <c r="G175" s="36">
        <f>IF(B175="","",IFERROR(INDEX(Geral!$Q$7:$Q$600,MATCH(B175,Geral!$A$7:$A$600,0)),""))</f>
        <v/>
      </c>
      <c r="H175" s="19" t="n"/>
      <c r="I175" s="19" t="n"/>
      <c r="J175" s="15" t="n"/>
    </row>
    <row r="176">
      <c r="A176" s="15" t="n"/>
      <c r="B176" s="35">
        <f>IF(A176="","",IFERROR(LEFT(A176,FIND(" · ",A176)-1),A176))</f>
        <v/>
      </c>
      <c r="C176" s="35">
        <f>IF(B176="","",IFERROR(INDEX(Geral!$C$7:$C$600,MATCH(B176,Geral!$A$7:$A$600,0)),"ID não encontrado"))</f>
        <v/>
      </c>
      <c r="D176" s="35">
        <f>IF(B176="","",IFERROR(INDEX(Geral!$D$7:$D$600,MATCH(B176,Geral!$A$7:$A$600,0))&amp;"",""))</f>
        <v/>
      </c>
      <c r="E176" s="15" t="n"/>
      <c r="F176" s="13" t="n"/>
      <c r="G176" s="36">
        <f>IF(B176="","",IFERROR(INDEX(Geral!$Q$7:$Q$600,MATCH(B176,Geral!$A$7:$A$600,0)),""))</f>
        <v/>
      </c>
      <c r="H176" s="19" t="n"/>
      <c r="I176" s="19" t="n"/>
      <c r="J176" s="15" t="n"/>
    </row>
    <row r="177">
      <c r="A177" s="15" t="n"/>
      <c r="B177" s="35">
        <f>IF(A177="","",IFERROR(LEFT(A177,FIND(" · ",A177)-1),A177))</f>
        <v/>
      </c>
      <c r="C177" s="35">
        <f>IF(B177="","",IFERROR(INDEX(Geral!$C$7:$C$600,MATCH(B177,Geral!$A$7:$A$600,0)),"ID não encontrado"))</f>
        <v/>
      </c>
      <c r="D177" s="35">
        <f>IF(B177="","",IFERROR(INDEX(Geral!$D$7:$D$600,MATCH(B177,Geral!$A$7:$A$600,0))&amp;"",""))</f>
        <v/>
      </c>
      <c r="E177" s="15" t="n"/>
      <c r="F177" s="13" t="n"/>
      <c r="G177" s="36">
        <f>IF(B177="","",IFERROR(INDEX(Geral!$Q$7:$Q$600,MATCH(B177,Geral!$A$7:$A$600,0)),""))</f>
        <v/>
      </c>
      <c r="H177" s="19" t="n"/>
      <c r="I177" s="19" t="n"/>
      <c r="J177" s="15" t="n"/>
    </row>
    <row r="178">
      <c r="A178" s="15" t="n"/>
      <c r="B178" s="35">
        <f>IF(A178="","",IFERROR(LEFT(A178,FIND(" · ",A178)-1),A178))</f>
        <v/>
      </c>
      <c r="C178" s="35">
        <f>IF(B178="","",IFERROR(INDEX(Geral!$C$7:$C$600,MATCH(B178,Geral!$A$7:$A$600,0)),"ID não encontrado"))</f>
        <v/>
      </c>
      <c r="D178" s="35">
        <f>IF(B178="","",IFERROR(INDEX(Geral!$D$7:$D$600,MATCH(B178,Geral!$A$7:$A$600,0))&amp;"",""))</f>
        <v/>
      </c>
      <c r="E178" s="15" t="n"/>
      <c r="F178" s="13" t="n"/>
      <c r="G178" s="36">
        <f>IF(B178="","",IFERROR(INDEX(Geral!$Q$7:$Q$600,MATCH(B178,Geral!$A$7:$A$600,0)),""))</f>
        <v/>
      </c>
      <c r="H178" s="19" t="n"/>
      <c r="I178" s="19" t="n"/>
      <c r="J178" s="15" t="n"/>
    </row>
    <row r="179">
      <c r="A179" s="15" t="n"/>
      <c r="B179" s="35">
        <f>IF(A179="","",IFERROR(LEFT(A179,FIND(" · ",A179)-1),A179))</f>
        <v/>
      </c>
      <c r="C179" s="35">
        <f>IF(B179="","",IFERROR(INDEX(Geral!$C$7:$C$600,MATCH(B179,Geral!$A$7:$A$600,0)),"ID não encontrado"))</f>
        <v/>
      </c>
      <c r="D179" s="35">
        <f>IF(B179="","",IFERROR(INDEX(Geral!$D$7:$D$600,MATCH(B179,Geral!$A$7:$A$600,0))&amp;"",""))</f>
        <v/>
      </c>
      <c r="E179" s="15" t="n"/>
      <c r="F179" s="13" t="n"/>
      <c r="G179" s="36">
        <f>IF(B179="","",IFERROR(INDEX(Geral!$Q$7:$Q$600,MATCH(B179,Geral!$A$7:$A$600,0)),""))</f>
        <v/>
      </c>
      <c r="H179" s="19" t="n"/>
      <c r="I179" s="19" t="n"/>
      <c r="J179" s="15" t="n"/>
    </row>
    <row r="180">
      <c r="A180" s="15" t="n"/>
      <c r="B180" s="35">
        <f>IF(A180="","",IFERROR(LEFT(A180,FIND(" · ",A180)-1),A180))</f>
        <v/>
      </c>
      <c r="C180" s="35">
        <f>IF(B180="","",IFERROR(INDEX(Geral!$C$7:$C$600,MATCH(B180,Geral!$A$7:$A$600,0)),"ID não encontrado"))</f>
        <v/>
      </c>
      <c r="D180" s="35">
        <f>IF(B180="","",IFERROR(INDEX(Geral!$D$7:$D$600,MATCH(B180,Geral!$A$7:$A$600,0))&amp;"",""))</f>
        <v/>
      </c>
      <c r="E180" s="15" t="n"/>
      <c r="F180" s="13" t="n"/>
      <c r="G180" s="36">
        <f>IF(B180="","",IFERROR(INDEX(Geral!$Q$7:$Q$600,MATCH(B180,Geral!$A$7:$A$600,0)),""))</f>
        <v/>
      </c>
      <c r="H180" s="19" t="n"/>
      <c r="I180" s="19" t="n"/>
      <c r="J180" s="15" t="n"/>
    </row>
    <row r="181">
      <c r="A181" s="15" t="n"/>
      <c r="B181" s="35">
        <f>IF(A181="","",IFERROR(LEFT(A181,FIND(" · ",A181)-1),A181))</f>
        <v/>
      </c>
      <c r="C181" s="35">
        <f>IF(B181="","",IFERROR(INDEX(Geral!$C$7:$C$600,MATCH(B181,Geral!$A$7:$A$600,0)),"ID não encontrado"))</f>
        <v/>
      </c>
      <c r="D181" s="35">
        <f>IF(B181="","",IFERROR(INDEX(Geral!$D$7:$D$600,MATCH(B181,Geral!$A$7:$A$600,0))&amp;"",""))</f>
        <v/>
      </c>
      <c r="E181" s="15" t="n"/>
      <c r="F181" s="13" t="n"/>
      <c r="G181" s="36">
        <f>IF(B181="","",IFERROR(INDEX(Geral!$Q$7:$Q$600,MATCH(B181,Geral!$A$7:$A$600,0)),""))</f>
        <v/>
      </c>
      <c r="H181" s="19" t="n"/>
      <c r="I181" s="19" t="n"/>
      <c r="J181" s="15" t="n"/>
    </row>
    <row r="182">
      <c r="A182" s="15" t="n"/>
      <c r="B182" s="35">
        <f>IF(A182="","",IFERROR(LEFT(A182,FIND(" · ",A182)-1),A182))</f>
        <v/>
      </c>
      <c r="C182" s="35">
        <f>IF(B182="","",IFERROR(INDEX(Geral!$C$7:$C$600,MATCH(B182,Geral!$A$7:$A$600,0)),"ID não encontrado"))</f>
        <v/>
      </c>
      <c r="D182" s="35">
        <f>IF(B182="","",IFERROR(INDEX(Geral!$D$7:$D$600,MATCH(B182,Geral!$A$7:$A$600,0))&amp;"",""))</f>
        <v/>
      </c>
      <c r="E182" s="15" t="n"/>
      <c r="F182" s="13" t="n"/>
      <c r="G182" s="36">
        <f>IF(B182="","",IFERROR(INDEX(Geral!$Q$7:$Q$600,MATCH(B182,Geral!$A$7:$A$600,0)),""))</f>
        <v/>
      </c>
      <c r="H182" s="19" t="n"/>
      <c r="I182" s="19" t="n"/>
      <c r="J182" s="15" t="n"/>
    </row>
    <row r="183">
      <c r="A183" s="15" t="n"/>
      <c r="B183" s="35">
        <f>IF(A183="","",IFERROR(LEFT(A183,FIND(" · ",A183)-1),A183))</f>
        <v/>
      </c>
      <c r="C183" s="35">
        <f>IF(B183="","",IFERROR(INDEX(Geral!$C$7:$C$600,MATCH(B183,Geral!$A$7:$A$600,0)),"ID não encontrado"))</f>
        <v/>
      </c>
      <c r="D183" s="35">
        <f>IF(B183="","",IFERROR(INDEX(Geral!$D$7:$D$600,MATCH(B183,Geral!$A$7:$A$600,0))&amp;"",""))</f>
        <v/>
      </c>
      <c r="E183" s="15" t="n"/>
      <c r="F183" s="13" t="n"/>
      <c r="G183" s="36">
        <f>IF(B183="","",IFERROR(INDEX(Geral!$Q$7:$Q$600,MATCH(B183,Geral!$A$7:$A$600,0)),""))</f>
        <v/>
      </c>
      <c r="H183" s="19" t="n"/>
      <c r="I183" s="19" t="n"/>
      <c r="J183" s="15" t="n"/>
    </row>
    <row r="184">
      <c r="A184" s="15" t="n"/>
      <c r="B184" s="35">
        <f>IF(A184="","",IFERROR(LEFT(A184,FIND(" · ",A184)-1),A184))</f>
        <v/>
      </c>
      <c r="C184" s="35">
        <f>IF(B184="","",IFERROR(INDEX(Geral!$C$7:$C$600,MATCH(B184,Geral!$A$7:$A$600,0)),"ID não encontrado"))</f>
        <v/>
      </c>
      <c r="D184" s="35">
        <f>IF(B184="","",IFERROR(INDEX(Geral!$D$7:$D$600,MATCH(B184,Geral!$A$7:$A$600,0))&amp;"",""))</f>
        <v/>
      </c>
      <c r="E184" s="15" t="n"/>
      <c r="F184" s="13" t="n"/>
      <c r="G184" s="36">
        <f>IF(B184="","",IFERROR(INDEX(Geral!$Q$7:$Q$600,MATCH(B184,Geral!$A$7:$A$600,0)),""))</f>
        <v/>
      </c>
      <c r="H184" s="19" t="n"/>
      <c r="I184" s="19" t="n"/>
      <c r="J184" s="15" t="n"/>
    </row>
    <row r="185">
      <c r="A185" s="15" t="n"/>
      <c r="B185" s="35">
        <f>IF(A185="","",IFERROR(LEFT(A185,FIND(" · ",A185)-1),A185))</f>
        <v/>
      </c>
      <c r="C185" s="35">
        <f>IF(B185="","",IFERROR(INDEX(Geral!$C$7:$C$600,MATCH(B185,Geral!$A$7:$A$600,0)),"ID não encontrado"))</f>
        <v/>
      </c>
      <c r="D185" s="35">
        <f>IF(B185="","",IFERROR(INDEX(Geral!$D$7:$D$600,MATCH(B185,Geral!$A$7:$A$600,0))&amp;"",""))</f>
        <v/>
      </c>
      <c r="E185" s="15" t="n"/>
      <c r="F185" s="13" t="n"/>
      <c r="G185" s="36">
        <f>IF(B185="","",IFERROR(INDEX(Geral!$Q$7:$Q$600,MATCH(B185,Geral!$A$7:$A$600,0)),""))</f>
        <v/>
      </c>
      <c r="H185" s="19" t="n"/>
      <c r="I185" s="19" t="n"/>
      <c r="J185" s="15" t="n"/>
    </row>
    <row r="186">
      <c r="A186" s="15" t="n"/>
      <c r="B186" s="35">
        <f>IF(A186="","",IFERROR(LEFT(A186,FIND(" · ",A186)-1),A186))</f>
        <v/>
      </c>
      <c r="C186" s="35">
        <f>IF(B186="","",IFERROR(INDEX(Geral!$C$7:$C$600,MATCH(B186,Geral!$A$7:$A$600,0)),"ID não encontrado"))</f>
        <v/>
      </c>
      <c r="D186" s="35">
        <f>IF(B186="","",IFERROR(INDEX(Geral!$D$7:$D$600,MATCH(B186,Geral!$A$7:$A$600,0))&amp;"",""))</f>
        <v/>
      </c>
      <c r="E186" s="15" t="n"/>
      <c r="F186" s="13" t="n"/>
      <c r="G186" s="36">
        <f>IF(B186="","",IFERROR(INDEX(Geral!$Q$7:$Q$600,MATCH(B186,Geral!$A$7:$A$600,0)),""))</f>
        <v/>
      </c>
      <c r="H186" s="19" t="n"/>
      <c r="I186" s="19" t="n"/>
      <c r="J186" s="15" t="n"/>
    </row>
    <row r="187">
      <c r="A187" s="15" t="n"/>
      <c r="B187" s="35">
        <f>IF(A187="","",IFERROR(LEFT(A187,FIND(" · ",A187)-1),A187))</f>
        <v/>
      </c>
      <c r="C187" s="35">
        <f>IF(B187="","",IFERROR(INDEX(Geral!$C$7:$C$600,MATCH(B187,Geral!$A$7:$A$600,0)),"ID não encontrado"))</f>
        <v/>
      </c>
      <c r="D187" s="35">
        <f>IF(B187="","",IFERROR(INDEX(Geral!$D$7:$D$600,MATCH(B187,Geral!$A$7:$A$600,0))&amp;"",""))</f>
        <v/>
      </c>
      <c r="E187" s="15" t="n"/>
      <c r="F187" s="13" t="n"/>
      <c r="G187" s="36">
        <f>IF(B187="","",IFERROR(INDEX(Geral!$Q$7:$Q$600,MATCH(B187,Geral!$A$7:$A$600,0)),""))</f>
        <v/>
      </c>
      <c r="H187" s="19" t="n"/>
      <c r="I187" s="19" t="n"/>
      <c r="J187" s="15" t="n"/>
    </row>
    <row r="188">
      <c r="A188" s="15" t="n"/>
      <c r="B188" s="35">
        <f>IF(A188="","",IFERROR(LEFT(A188,FIND(" · ",A188)-1),A188))</f>
        <v/>
      </c>
      <c r="C188" s="35">
        <f>IF(B188="","",IFERROR(INDEX(Geral!$C$7:$C$600,MATCH(B188,Geral!$A$7:$A$600,0)),"ID não encontrado"))</f>
        <v/>
      </c>
      <c r="D188" s="35">
        <f>IF(B188="","",IFERROR(INDEX(Geral!$D$7:$D$600,MATCH(B188,Geral!$A$7:$A$600,0))&amp;"",""))</f>
        <v/>
      </c>
      <c r="E188" s="15" t="n"/>
      <c r="F188" s="13" t="n"/>
      <c r="G188" s="36">
        <f>IF(B188="","",IFERROR(INDEX(Geral!$Q$7:$Q$600,MATCH(B188,Geral!$A$7:$A$600,0)),""))</f>
        <v/>
      </c>
      <c r="H188" s="19" t="n"/>
      <c r="I188" s="19" t="n"/>
      <c r="J188" s="15" t="n"/>
    </row>
    <row r="189">
      <c r="A189" s="15" t="n"/>
      <c r="B189" s="35">
        <f>IF(A189="","",IFERROR(LEFT(A189,FIND(" · ",A189)-1),A189))</f>
        <v/>
      </c>
      <c r="C189" s="35">
        <f>IF(B189="","",IFERROR(INDEX(Geral!$C$7:$C$600,MATCH(B189,Geral!$A$7:$A$600,0)),"ID não encontrado"))</f>
        <v/>
      </c>
      <c r="D189" s="35">
        <f>IF(B189="","",IFERROR(INDEX(Geral!$D$7:$D$600,MATCH(B189,Geral!$A$7:$A$600,0))&amp;"",""))</f>
        <v/>
      </c>
      <c r="E189" s="15" t="n"/>
      <c r="F189" s="13" t="n"/>
      <c r="G189" s="36">
        <f>IF(B189="","",IFERROR(INDEX(Geral!$Q$7:$Q$600,MATCH(B189,Geral!$A$7:$A$600,0)),""))</f>
        <v/>
      </c>
      <c r="H189" s="19" t="n"/>
      <c r="I189" s="19" t="n"/>
      <c r="J189" s="15" t="n"/>
    </row>
    <row r="190">
      <c r="A190" s="15" t="n"/>
      <c r="B190" s="35">
        <f>IF(A190="","",IFERROR(LEFT(A190,FIND(" · ",A190)-1),A190))</f>
        <v/>
      </c>
      <c r="C190" s="35">
        <f>IF(B190="","",IFERROR(INDEX(Geral!$C$7:$C$600,MATCH(B190,Geral!$A$7:$A$600,0)),"ID não encontrado"))</f>
        <v/>
      </c>
      <c r="D190" s="35">
        <f>IF(B190="","",IFERROR(INDEX(Geral!$D$7:$D$600,MATCH(B190,Geral!$A$7:$A$600,0))&amp;"",""))</f>
        <v/>
      </c>
      <c r="E190" s="15" t="n"/>
      <c r="F190" s="13" t="n"/>
      <c r="G190" s="36">
        <f>IF(B190="","",IFERROR(INDEX(Geral!$Q$7:$Q$600,MATCH(B190,Geral!$A$7:$A$600,0)),""))</f>
        <v/>
      </c>
      <c r="H190" s="19" t="n"/>
      <c r="I190" s="19" t="n"/>
      <c r="J190" s="15" t="n"/>
    </row>
    <row r="191">
      <c r="A191" s="15" t="n"/>
      <c r="B191" s="35">
        <f>IF(A191="","",IFERROR(LEFT(A191,FIND(" · ",A191)-1),A191))</f>
        <v/>
      </c>
      <c r="C191" s="35">
        <f>IF(B191="","",IFERROR(INDEX(Geral!$C$7:$C$600,MATCH(B191,Geral!$A$7:$A$600,0)),"ID não encontrado"))</f>
        <v/>
      </c>
      <c r="D191" s="35">
        <f>IF(B191="","",IFERROR(INDEX(Geral!$D$7:$D$600,MATCH(B191,Geral!$A$7:$A$600,0))&amp;"",""))</f>
        <v/>
      </c>
      <c r="E191" s="15" t="n"/>
      <c r="F191" s="13" t="n"/>
      <c r="G191" s="36">
        <f>IF(B191="","",IFERROR(INDEX(Geral!$Q$7:$Q$600,MATCH(B191,Geral!$A$7:$A$600,0)),""))</f>
        <v/>
      </c>
      <c r="H191" s="19" t="n"/>
      <c r="I191" s="19" t="n"/>
      <c r="J191" s="15" t="n"/>
    </row>
    <row r="192">
      <c r="A192" s="15" t="n"/>
      <c r="B192" s="35">
        <f>IF(A192="","",IFERROR(LEFT(A192,FIND(" · ",A192)-1),A192))</f>
        <v/>
      </c>
      <c r="C192" s="35">
        <f>IF(B192="","",IFERROR(INDEX(Geral!$C$7:$C$600,MATCH(B192,Geral!$A$7:$A$600,0)),"ID não encontrado"))</f>
        <v/>
      </c>
      <c r="D192" s="35">
        <f>IF(B192="","",IFERROR(INDEX(Geral!$D$7:$D$600,MATCH(B192,Geral!$A$7:$A$600,0))&amp;"",""))</f>
        <v/>
      </c>
      <c r="E192" s="15" t="n"/>
      <c r="F192" s="13" t="n"/>
      <c r="G192" s="36">
        <f>IF(B192="","",IFERROR(INDEX(Geral!$Q$7:$Q$600,MATCH(B192,Geral!$A$7:$A$600,0)),""))</f>
        <v/>
      </c>
      <c r="H192" s="19" t="n"/>
      <c r="I192" s="19" t="n"/>
      <c r="J192" s="15" t="n"/>
    </row>
    <row r="193">
      <c r="A193" s="15" t="n"/>
      <c r="B193" s="35">
        <f>IF(A193="","",IFERROR(LEFT(A193,FIND(" · ",A193)-1),A193))</f>
        <v/>
      </c>
      <c r="C193" s="35">
        <f>IF(B193="","",IFERROR(INDEX(Geral!$C$7:$C$600,MATCH(B193,Geral!$A$7:$A$600,0)),"ID não encontrado"))</f>
        <v/>
      </c>
      <c r="D193" s="35">
        <f>IF(B193="","",IFERROR(INDEX(Geral!$D$7:$D$600,MATCH(B193,Geral!$A$7:$A$600,0))&amp;"",""))</f>
        <v/>
      </c>
      <c r="E193" s="15" t="n"/>
      <c r="F193" s="13" t="n"/>
      <c r="G193" s="36">
        <f>IF(B193="","",IFERROR(INDEX(Geral!$Q$7:$Q$600,MATCH(B193,Geral!$A$7:$A$600,0)),""))</f>
        <v/>
      </c>
      <c r="H193" s="19" t="n"/>
      <c r="I193" s="19" t="n"/>
      <c r="J193" s="15" t="n"/>
    </row>
    <row r="194">
      <c r="A194" s="15" t="n"/>
      <c r="B194" s="35">
        <f>IF(A194="","",IFERROR(LEFT(A194,FIND(" · ",A194)-1),A194))</f>
        <v/>
      </c>
      <c r="C194" s="35">
        <f>IF(B194="","",IFERROR(INDEX(Geral!$C$7:$C$600,MATCH(B194,Geral!$A$7:$A$600,0)),"ID não encontrado"))</f>
        <v/>
      </c>
      <c r="D194" s="35">
        <f>IF(B194="","",IFERROR(INDEX(Geral!$D$7:$D$600,MATCH(B194,Geral!$A$7:$A$600,0))&amp;"",""))</f>
        <v/>
      </c>
      <c r="E194" s="15" t="n"/>
      <c r="F194" s="13" t="n"/>
      <c r="G194" s="36">
        <f>IF(B194="","",IFERROR(INDEX(Geral!$Q$7:$Q$600,MATCH(B194,Geral!$A$7:$A$600,0)),""))</f>
        <v/>
      </c>
      <c r="H194" s="19" t="n"/>
      <c r="I194" s="19" t="n"/>
      <c r="J194" s="15" t="n"/>
    </row>
    <row r="195">
      <c r="A195" s="15" t="n"/>
      <c r="B195" s="35">
        <f>IF(A195="","",IFERROR(LEFT(A195,FIND(" · ",A195)-1),A195))</f>
        <v/>
      </c>
      <c r="C195" s="35">
        <f>IF(B195="","",IFERROR(INDEX(Geral!$C$7:$C$600,MATCH(B195,Geral!$A$7:$A$600,0)),"ID não encontrado"))</f>
        <v/>
      </c>
      <c r="D195" s="35">
        <f>IF(B195="","",IFERROR(INDEX(Geral!$D$7:$D$600,MATCH(B195,Geral!$A$7:$A$600,0))&amp;"",""))</f>
        <v/>
      </c>
      <c r="E195" s="15" t="n"/>
      <c r="F195" s="13" t="n"/>
      <c r="G195" s="36">
        <f>IF(B195="","",IFERROR(INDEX(Geral!$Q$7:$Q$600,MATCH(B195,Geral!$A$7:$A$600,0)),""))</f>
        <v/>
      </c>
      <c r="H195" s="19" t="n"/>
      <c r="I195" s="19" t="n"/>
      <c r="J195" s="15" t="n"/>
    </row>
    <row r="196">
      <c r="A196" s="15" t="n"/>
      <c r="B196" s="35">
        <f>IF(A196="","",IFERROR(LEFT(A196,FIND(" · ",A196)-1),A196))</f>
        <v/>
      </c>
      <c r="C196" s="35">
        <f>IF(B196="","",IFERROR(INDEX(Geral!$C$7:$C$600,MATCH(B196,Geral!$A$7:$A$600,0)),"ID não encontrado"))</f>
        <v/>
      </c>
      <c r="D196" s="35">
        <f>IF(B196="","",IFERROR(INDEX(Geral!$D$7:$D$600,MATCH(B196,Geral!$A$7:$A$600,0))&amp;"",""))</f>
        <v/>
      </c>
      <c r="E196" s="15" t="n"/>
      <c r="F196" s="13" t="n"/>
      <c r="G196" s="36">
        <f>IF(B196="","",IFERROR(INDEX(Geral!$Q$7:$Q$600,MATCH(B196,Geral!$A$7:$A$600,0)),""))</f>
        <v/>
      </c>
      <c r="H196" s="19" t="n"/>
      <c r="I196" s="19" t="n"/>
      <c r="J196" s="15" t="n"/>
    </row>
    <row r="197">
      <c r="A197" s="15" t="n"/>
      <c r="B197" s="35">
        <f>IF(A197="","",IFERROR(LEFT(A197,FIND(" · ",A197)-1),A197))</f>
        <v/>
      </c>
      <c r="C197" s="35">
        <f>IF(B197="","",IFERROR(INDEX(Geral!$C$7:$C$600,MATCH(B197,Geral!$A$7:$A$600,0)),"ID não encontrado"))</f>
        <v/>
      </c>
      <c r="D197" s="35">
        <f>IF(B197="","",IFERROR(INDEX(Geral!$D$7:$D$600,MATCH(B197,Geral!$A$7:$A$600,0))&amp;"",""))</f>
        <v/>
      </c>
      <c r="E197" s="15" t="n"/>
      <c r="F197" s="13" t="n"/>
      <c r="G197" s="36">
        <f>IF(B197="","",IFERROR(INDEX(Geral!$Q$7:$Q$600,MATCH(B197,Geral!$A$7:$A$600,0)),""))</f>
        <v/>
      </c>
      <c r="H197" s="19" t="n"/>
      <c r="I197" s="19" t="n"/>
      <c r="J197" s="15" t="n"/>
    </row>
    <row r="198">
      <c r="A198" s="15" t="n"/>
      <c r="B198" s="35">
        <f>IF(A198="","",IFERROR(LEFT(A198,FIND(" · ",A198)-1),A198))</f>
        <v/>
      </c>
      <c r="C198" s="35">
        <f>IF(B198="","",IFERROR(INDEX(Geral!$C$7:$C$600,MATCH(B198,Geral!$A$7:$A$600,0)),"ID não encontrado"))</f>
        <v/>
      </c>
      <c r="D198" s="35">
        <f>IF(B198="","",IFERROR(INDEX(Geral!$D$7:$D$600,MATCH(B198,Geral!$A$7:$A$600,0))&amp;"",""))</f>
        <v/>
      </c>
      <c r="E198" s="15" t="n"/>
      <c r="F198" s="13" t="n"/>
      <c r="G198" s="36">
        <f>IF(B198="","",IFERROR(INDEX(Geral!$Q$7:$Q$600,MATCH(B198,Geral!$A$7:$A$600,0)),""))</f>
        <v/>
      </c>
      <c r="H198" s="19" t="n"/>
      <c r="I198" s="19" t="n"/>
      <c r="J198" s="15" t="n"/>
    </row>
    <row r="199">
      <c r="A199" s="15" t="n"/>
      <c r="B199" s="35">
        <f>IF(A199="","",IFERROR(LEFT(A199,FIND(" · ",A199)-1),A199))</f>
        <v/>
      </c>
      <c r="C199" s="35">
        <f>IF(B199="","",IFERROR(INDEX(Geral!$C$7:$C$600,MATCH(B199,Geral!$A$7:$A$600,0)),"ID não encontrado"))</f>
        <v/>
      </c>
      <c r="D199" s="35">
        <f>IF(B199="","",IFERROR(INDEX(Geral!$D$7:$D$600,MATCH(B199,Geral!$A$7:$A$600,0))&amp;"",""))</f>
        <v/>
      </c>
      <c r="E199" s="15" t="n"/>
      <c r="F199" s="13" t="n"/>
      <c r="G199" s="36">
        <f>IF(B199="","",IFERROR(INDEX(Geral!$Q$7:$Q$600,MATCH(B199,Geral!$A$7:$A$600,0)),""))</f>
        <v/>
      </c>
      <c r="H199" s="19" t="n"/>
      <c r="I199" s="19" t="n"/>
      <c r="J199" s="15" t="n"/>
    </row>
    <row r="200">
      <c r="A200" s="15" t="n"/>
      <c r="B200" s="35">
        <f>IF(A200="","",IFERROR(LEFT(A200,FIND(" · ",A200)-1),A200))</f>
        <v/>
      </c>
      <c r="C200" s="35">
        <f>IF(B200="","",IFERROR(INDEX(Geral!$C$7:$C$600,MATCH(B200,Geral!$A$7:$A$600,0)),"ID não encontrado"))</f>
        <v/>
      </c>
      <c r="D200" s="35">
        <f>IF(B200="","",IFERROR(INDEX(Geral!$D$7:$D$600,MATCH(B200,Geral!$A$7:$A$600,0))&amp;"",""))</f>
        <v/>
      </c>
      <c r="E200" s="15" t="n"/>
      <c r="F200" s="13" t="n"/>
      <c r="G200" s="36">
        <f>IF(B200="","",IFERROR(INDEX(Geral!$Q$7:$Q$600,MATCH(B200,Geral!$A$7:$A$600,0)),""))</f>
        <v/>
      </c>
      <c r="H200" s="19" t="n"/>
      <c r="I200" s="19" t="n"/>
      <c r="J200" s="15" t="n"/>
    </row>
    <row r="201">
      <c r="A201" s="15" t="n"/>
      <c r="B201" s="35">
        <f>IF(A201="","",IFERROR(LEFT(A201,FIND(" · ",A201)-1),A201))</f>
        <v/>
      </c>
      <c r="C201" s="35">
        <f>IF(B201="","",IFERROR(INDEX(Geral!$C$7:$C$600,MATCH(B201,Geral!$A$7:$A$600,0)),"ID não encontrado"))</f>
        <v/>
      </c>
      <c r="D201" s="35">
        <f>IF(B201="","",IFERROR(INDEX(Geral!$D$7:$D$600,MATCH(B201,Geral!$A$7:$A$600,0))&amp;"",""))</f>
        <v/>
      </c>
      <c r="E201" s="15" t="n"/>
      <c r="F201" s="13" t="n"/>
      <c r="G201" s="36">
        <f>IF(B201="","",IFERROR(INDEX(Geral!$Q$7:$Q$600,MATCH(B201,Geral!$A$7:$A$600,0)),""))</f>
        <v/>
      </c>
      <c r="H201" s="19" t="n"/>
      <c r="I201" s="19" t="n"/>
      <c r="J201" s="15" t="n"/>
    </row>
    <row r="202">
      <c r="A202" s="15" t="n"/>
      <c r="B202" s="35">
        <f>IF(A202="","",IFERROR(LEFT(A202,FIND(" · ",A202)-1),A202))</f>
        <v/>
      </c>
      <c r="C202" s="35">
        <f>IF(B202="","",IFERROR(INDEX(Geral!$C$7:$C$600,MATCH(B202,Geral!$A$7:$A$600,0)),"ID não encontrado"))</f>
        <v/>
      </c>
      <c r="D202" s="35">
        <f>IF(B202="","",IFERROR(INDEX(Geral!$D$7:$D$600,MATCH(B202,Geral!$A$7:$A$600,0))&amp;"",""))</f>
        <v/>
      </c>
      <c r="E202" s="15" t="n"/>
      <c r="F202" s="13" t="n"/>
      <c r="G202" s="36">
        <f>IF(B202="","",IFERROR(INDEX(Geral!$Q$7:$Q$600,MATCH(B202,Geral!$A$7:$A$600,0)),""))</f>
        <v/>
      </c>
      <c r="H202" s="19" t="n"/>
      <c r="I202" s="19" t="n"/>
      <c r="J202" s="15" t="n"/>
    </row>
    <row r="203">
      <c r="A203" s="15" t="n"/>
      <c r="B203" s="35">
        <f>IF(A203="","",IFERROR(LEFT(A203,FIND(" · ",A203)-1),A203))</f>
        <v/>
      </c>
      <c r="C203" s="35">
        <f>IF(B203="","",IFERROR(INDEX(Geral!$C$7:$C$600,MATCH(B203,Geral!$A$7:$A$600,0)),"ID não encontrado"))</f>
        <v/>
      </c>
      <c r="D203" s="35">
        <f>IF(B203="","",IFERROR(INDEX(Geral!$D$7:$D$600,MATCH(B203,Geral!$A$7:$A$600,0))&amp;"",""))</f>
        <v/>
      </c>
      <c r="E203" s="15" t="n"/>
      <c r="F203" s="13" t="n"/>
      <c r="G203" s="36">
        <f>IF(B203="","",IFERROR(INDEX(Geral!$Q$7:$Q$600,MATCH(B203,Geral!$A$7:$A$600,0)),""))</f>
        <v/>
      </c>
      <c r="H203" s="19" t="n"/>
      <c r="I203" s="19" t="n"/>
      <c r="J203" s="15" t="n"/>
    </row>
    <row r="204">
      <c r="A204" s="15" t="n"/>
      <c r="B204" s="35">
        <f>IF(A204="","",IFERROR(LEFT(A204,FIND(" · ",A204)-1),A204))</f>
        <v/>
      </c>
      <c r="C204" s="35">
        <f>IF(B204="","",IFERROR(INDEX(Geral!$C$7:$C$600,MATCH(B204,Geral!$A$7:$A$600,0)),"ID não encontrado"))</f>
        <v/>
      </c>
      <c r="D204" s="35">
        <f>IF(B204="","",IFERROR(INDEX(Geral!$D$7:$D$600,MATCH(B204,Geral!$A$7:$A$600,0))&amp;"",""))</f>
        <v/>
      </c>
      <c r="E204" s="15" t="n"/>
      <c r="F204" s="13" t="n"/>
      <c r="G204" s="36">
        <f>IF(B204="","",IFERROR(INDEX(Geral!$Q$7:$Q$600,MATCH(B204,Geral!$A$7:$A$600,0)),""))</f>
        <v/>
      </c>
      <c r="H204" s="19" t="n"/>
      <c r="I204" s="19" t="n"/>
      <c r="J204" s="15" t="n"/>
    </row>
    <row r="205">
      <c r="A205" s="15" t="n"/>
      <c r="B205" s="35">
        <f>IF(A205="","",IFERROR(LEFT(A205,FIND(" · ",A205)-1),A205))</f>
        <v/>
      </c>
      <c r="C205" s="35">
        <f>IF(B205="","",IFERROR(INDEX(Geral!$C$7:$C$600,MATCH(B205,Geral!$A$7:$A$600,0)),"ID não encontrado"))</f>
        <v/>
      </c>
      <c r="D205" s="35">
        <f>IF(B205="","",IFERROR(INDEX(Geral!$D$7:$D$600,MATCH(B205,Geral!$A$7:$A$600,0))&amp;"",""))</f>
        <v/>
      </c>
      <c r="E205" s="15" t="n"/>
      <c r="F205" s="13" t="n"/>
      <c r="G205" s="36">
        <f>IF(B205="","",IFERROR(INDEX(Geral!$Q$7:$Q$600,MATCH(B205,Geral!$A$7:$A$600,0)),""))</f>
        <v/>
      </c>
      <c r="H205" s="19" t="n"/>
      <c r="I205" s="19" t="n"/>
      <c r="J205" s="15" t="n"/>
    </row>
    <row r="206">
      <c r="A206" s="15" t="n"/>
      <c r="B206" s="35">
        <f>IF(A206="","",IFERROR(LEFT(A206,FIND(" · ",A206)-1),A206))</f>
        <v/>
      </c>
      <c r="C206" s="35">
        <f>IF(B206="","",IFERROR(INDEX(Geral!$C$7:$C$600,MATCH(B206,Geral!$A$7:$A$600,0)),"ID não encontrado"))</f>
        <v/>
      </c>
      <c r="D206" s="35">
        <f>IF(B206="","",IFERROR(INDEX(Geral!$D$7:$D$600,MATCH(B206,Geral!$A$7:$A$600,0))&amp;"",""))</f>
        <v/>
      </c>
      <c r="E206" s="15" t="n"/>
      <c r="F206" s="13" t="n"/>
      <c r="G206" s="36">
        <f>IF(B206="","",IFERROR(INDEX(Geral!$Q$7:$Q$600,MATCH(B206,Geral!$A$7:$A$600,0)),""))</f>
        <v/>
      </c>
      <c r="H206" s="19" t="n"/>
      <c r="I206" s="19" t="n"/>
      <c r="J206" s="15" t="n"/>
    </row>
    <row r="207">
      <c r="A207" s="15" t="n"/>
      <c r="B207" s="35">
        <f>IF(A207="","",IFERROR(LEFT(A207,FIND(" · ",A207)-1),A207))</f>
        <v/>
      </c>
      <c r="C207" s="35">
        <f>IF(B207="","",IFERROR(INDEX(Geral!$C$7:$C$600,MATCH(B207,Geral!$A$7:$A$600,0)),"ID não encontrado"))</f>
        <v/>
      </c>
      <c r="D207" s="35">
        <f>IF(B207="","",IFERROR(INDEX(Geral!$D$7:$D$600,MATCH(B207,Geral!$A$7:$A$600,0))&amp;"",""))</f>
        <v/>
      </c>
      <c r="E207" s="15" t="n"/>
      <c r="F207" s="13" t="n"/>
      <c r="G207" s="36">
        <f>IF(B207="","",IFERROR(INDEX(Geral!$Q$7:$Q$600,MATCH(B207,Geral!$A$7:$A$600,0)),""))</f>
        <v/>
      </c>
      <c r="H207" s="19" t="n"/>
      <c r="I207" s="19" t="n"/>
      <c r="J207" s="15" t="n"/>
    </row>
    <row r="208">
      <c r="A208" s="15" t="n"/>
      <c r="B208" s="35">
        <f>IF(A208="","",IFERROR(LEFT(A208,FIND(" · ",A208)-1),A208))</f>
        <v/>
      </c>
      <c r="C208" s="35">
        <f>IF(B208="","",IFERROR(INDEX(Geral!$C$7:$C$600,MATCH(B208,Geral!$A$7:$A$600,0)),"ID não encontrado"))</f>
        <v/>
      </c>
      <c r="D208" s="35">
        <f>IF(B208="","",IFERROR(INDEX(Geral!$D$7:$D$600,MATCH(B208,Geral!$A$7:$A$600,0))&amp;"",""))</f>
        <v/>
      </c>
      <c r="E208" s="15" t="n"/>
      <c r="F208" s="13" t="n"/>
      <c r="G208" s="36">
        <f>IF(B208="","",IFERROR(INDEX(Geral!$Q$7:$Q$600,MATCH(B208,Geral!$A$7:$A$600,0)),""))</f>
        <v/>
      </c>
      <c r="H208" s="19" t="n"/>
      <c r="I208" s="19" t="n"/>
      <c r="J208" s="15" t="n"/>
    </row>
    <row r="209">
      <c r="A209" s="15" t="n"/>
      <c r="B209" s="35">
        <f>IF(A209="","",IFERROR(LEFT(A209,FIND(" · ",A209)-1),A209))</f>
        <v/>
      </c>
      <c r="C209" s="35">
        <f>IF(B209="","",IFERROR(INDEX(Geral!$C$7:$C$600,MATCH(B209,Geral!$A$7:$A$600,0)),"ID não encontrado"))</f>
        <v/>
      </c>
      <c r="D209" s="35">
        <f>IF(B209="","",IFERROR(INDEX(Geral!$D$7:$D$600,MATCH(B209,Geral!$A$7:$A$600,0))&amp;"",""))</f>
        <v/>
      </c>
      <c r="E209" s="15" t="n"/>
      <c r="F209" s="13" t="n"/>
      <c r="G209" s="36">
        <f>IF(B209="","",IFERROR(INDEX(Geral!$Q$7:$Q$600,MATCH(B209,Geral!$A$7:$A$600,0)),""))</f>
        <v/>
      </c>
      <c r="H209" s="19" t="n"/>
      <c r="I209" s="19" t="n"/>
      <c r="J209" s="15" t="n"/>
    </row>
    <row r="210">
      <c r="A210" s="15" t="n"/>
      <c r="B210" s="35">
        <f>IF(A210="","",IFERROR(LEFT(A210,FIND(" · ",A210)-1),A210))</f>
        <v/>
      </c>
      <c r="C210" s="35">
        <f>IF(B210="","",IFERROR(INDEX(Geral!$C$7:$C$600,MATCH(B210,Geral!$A$7:$A$600,0)),"ID não encontrado"))</f>
        <v/>
      </c>
      <c r="D210" s="35">
        <f>IF(B210="","",IFERROR(INDEX(Geral!$D$7:$D$600,MATCH(B210,Geral!$A$7:$A$600,0))&amp;"",""))</f>
        <v/>
      </c>
      <c r="E210" s="15" t="n"/>
      <c r="F210" s="13" t="n"/>
      <c r="G210" s="36">
        <f>IF(B210="","",IFERROR(INDEX(Geral!$Q$7:$Q$600,MATCH(B210,Geral!$A$7:$A$600,0)),""))</f>
        <v/>
      </c>
      <c r="H210" s="19" t="n"/>
      <c r="I210" s="19" t="n"/>
      <c r="J210" s="15" t="n"/>
    </row>
    <row r="211">
      <c r="A211" s="15" t="n"/>
      <c r="B211" s="35">
        <f>IF(A211="","",IFERROR(LEFT(A211,FIND(" · ",A211)-1),A211))</f>
        <v/>
      </c>
      <c r="C211" s="35">
        <f>IF(B211="","",IFERROR(INDEX(Geral!$C$7:$C$600,MATCH(B211,Geral!$A$7:$A$600,0)),"ID não encontrado"))</f>
        <v/>
      </c>
      <c r="D211" s="35">
        <f>IF(B211="","",IFERROR(INDEX(Geral!$D$7:$D$600,MATCH(B211,Geral!$A$7:$A$600,0))&amp;"",""))</f>
        <v/>
      </c>
      <c r="E211" s="15" t="n"/>
      <c r="F211" s="13" t="n"/>
      <c r="G211" s="36">
        <f>IF(B211="","",IFERROR(INDEX(Geral!$Q$7:$Q$600,MATCH(B211,Geral!$A$7:$A$600,0)),""))</f>
        <v/>
      </c>
      <c r="H211" s="19" t="n"/>
      <c r="I211" s="19" t="n"/>
      <c r="J211" s="15" t="n"/>
    </row>
    <row r="212">
      <c r="A212" s="15" t="n"/>
      <c r="B212" s="35">
        <f>IF(A212="","",IFERROR(LEFT(A212,FIND(" · ",A212)-1),A212))</f>
        <v/>
      </c>
      <c r="C212" s="35">
        <f>IF(B212="","",IFERROR(INDEX(Geral!$C$7:$C$600,MATCH(B212,Geral!$A$7:$A$600,0)),"ID não encontrado"))</f>
        <v/>
      </c>
      <c r="D212" s="35">
        <f>IF(B212="","",IFERROR(INDEX(Geral!$D$7:$D$600,MATCH(B212,Geral!$A$7:$A$600,0))&amp;"",""))</f>
        <v/>
      </c>
      <c r="E212" s="15" t="n"/>
      <c r="F212" s="13" t="n"/>
      <c r="G212" s="36">
        <f>IF(B212="","",IFERROR(INDEX(Geral!$Q$7:$Q$600,MATCH(B212,Geral!$A$7:$A$600,0)),""))</f>
        <v/>
      </c>
      <c r="H212" s="19" t="n"/>
      <c r="I212" s="19" t="n"/>
      <c r="J212" s="15" t="n"/>
    </row>
    <row r="213">
      <c r="A213" s="15" t="n"/>
      <c r="B213" s="35">
        <f>IF(A213="","",IFERROR(LEFT(A213,FIND(" · ",A213)-1),A213))</f>
        <v/>
      </c>
      <c r="C213" s="35">
        <f>IF(B213="","",IFERROR(INDEX(Geral!$C$7:$C$600,MATCH(B213,Geral!$A$7:$A$600,0)),"ID não encontrado"))</f>
        <v/>
      </c>
      <c r="D213" s="35">
        <f>IF(B213="","",IFERROR(INDEX(Geral!$D$7:$D$600,MATCH(B213,Geral!$A$7:$A$600,0))&amp;"",""))</f>
        <v/>
      </c>
      <c r="E213" s="15" t="n"/>
      <c r="F213" s="13" t="n"/>
      <c r="G213" s="36">
        <f>IF(B213="","",IFERROR(INDEX(Geral!$Q$7:$Q$600,MATCH(B213,Geral!$A$7:$A$600,0)),""))</f>
        <v/>
      </c>
      <c r="H213" s="19" t="n"/>
      <c r="I213" s="19" t="n"/>
      <c r="J213" s="15" t="n"/>
    </row>
    <row r="214">
      <c r="A214" s="15" t="n"/>
      <c r="B214" s="35">
        <f>IF(A214="","",IFERROR(LEFT(A214,FIND(" · ",A214)-1),A214))</f>
        <v/>
      </c>
      <c r="C214" s="35">
        <f>IF(B214="","",IFERROR(INDEX(Geral!$C$7:$C$600,MATCH(B214,Geral!$A$7:$A$600,0)),"ID não encontrado"))</f>
        <v/>
      </c>
      <c r="D214" s="35">
        <f>IF(B214="","",IFERROR(INDEX(Geral!$D$7:$D$600,MATCH(B214,Geral!$A$7:$A$600,0))&amp;"",""))</f>
        <v/>
      </c>
      <c r="E214" s="15" t="n"/>
      <c r="F214" s="13" t="n"/>
      <c r="G214" s="36">
        <f>IF(B214="","",IFERROR(INDEX(Geral!$Q$7:$Q$600,MATCH(B214,Geral!$A$7:$A$600,0)),""))</f>
        <v/>
      </c>
      <c r="H214" s="19" t="n"/>
      <c r="I214" s="19" t="n"/>
      <c r="J214" s="15" t="n"/>
    </row>
    <row r="215">
      <c r="A215" s="15" t="n"/>
      <c r="B215" s="35">
        <f>IF(A215="","",IFERROR(LEFT(A215,FIND(" · ",A215)-1),A215))</f>
        <v/>
      </c>
      <c r="C215" s="35">
        <f>IF(B215="","",IFERROR(INDEX(Geral!$C$7:$C$600,MATCH(B215,Geral!$A$7:$A$600,0)),"ID não encontrado"))</f>
        <v/>
      </c>
      <c r="D215" s="35">
        <f>IF(B215="","",IFERROR(INDEX(Geral!$D$7:$D$600,MATCH(B215,Geral!$A$7:$A$600,0))&amp;"",""))</f>
        <v/>
      </c>
      <c r="E215" s="15" t="n"/>
      <c r="F215" s="13" t="n"/>
      <c r="G215" s="36">
        <f>IF(B215="","",IFERROR(INDEX(Geral!$Q$7:$Q$600,MATCH(B215,Geral!$A$7:$A$600,0)),""))</f>
        <v/>
      </c>
      <c r="H215" s="19" t="n"/>
      <c r="I215" s="19" t="n"/>
      <c r="J215" s="15" t="n"/>
    </row>
    <row r="216">
      <c r="A216" s="15" t="n"/>
      <c r="B216" s="35">
        <f>IF(A216="","",IFERROR(LEFT(A216,FIND(" · ",A216)-1),A216))</f>
        <v/>
      </c>
      <c r="C216" s="35">
        <f>IF(B216="","",IFERROR(INDEX(Geral!$C$7:$C$600,MATCH(B216,Geral!$A$7:$A$600,0)),"ID não encontrado"))</f>
        <v/>
      </c>
      <c r="D216" s="35">
        <f>IF(B216="","",IFERROR(INDEX(Geral!$D$7:$D$600,MATCH(B216,Geral!$A$7:$A$600,0))&amp;"",""))</f>
        <v/>
      </c>
      <c r="E216" s="15" t="n"/>
      <c r="F216" s="13" t="n"/>
      <c r="G216" s="36">
        <f>IF(B216="","",IFERROR(INDEX(Geral!$Q$7:$Q$600,MATCH(B216,Geral!$A$7:$A$600,0)),""))</f>
        <v/>
      </c>
      <c r="H216" s="19" t="n"/>
      <c r="I216" s="19" t="n"/>
      <c r="J216" s="15" t="n"/>
    </row>
    <row r="217">
      <c r="A217" s="15" t="n"/>
      <c r="B217" s="35">
        <f>IF(A217="","",IFERROR(LEFT(A217,FIND(" · ",A217)-1),A217))</f>
        <v/>
      </c>
      <c r="C217" s="35">
        <f>IF(B217="","",IFERROR(INDEX(Geral!$C$7:$C$600,MATCH(B217,Geral!$A$7:$A$600,0)),"ID não encontrado"))</f>
        <v/>
      </c>
      <c r="D217" s="35">
        <f>IF(B217="","",IFERROR(INDEX(Geral!$D$7:$D$600,MATCH(B217,Geral!$A$7:$A$600,0))&amp;"",""))</f>
        <v/>
      </c>
      <c r="E217" s="15" t="n"/>
      <c r="F217" s="13" t="n"/>
      <c r="G217" s="36">
        <f>IF(B217="","",IFERROR(INDEX(Geral!$Q$7:$Q$600,MATCH(B217,Geral!$A$7:$A$600,0)),""))</f>
        <v/>
      </c>
      <c r="H217" s="19" t="n"/>
      <c r="I217" s="19" t="n"/>
      <c r="J217" s="15" t="n"/>
    </row>
    <row r="218">
      <c r="A218" s="15" t="n"/>
      <c r="B218" s="35">
        <f>IF(A218="","",IFERROR(LEFT(A218,FIND(" · ",A218)-1),A218))</f>
        <v/>
      </c>
      <c r="C218" s="35">
        <f>IF(B218="","",IFERROR(INDEX(Geral!$C$7:$C$600,MATCH(B218,Geral!$A$7:$A$600,0)),"ID não encontrado"))</f>
        <v/>
      </c>
      <c r="D218" s="35">
        <f>IF(B218="","",IFERROR(INDEX(Geral!$D$7:$D$600,MATCH(B218,Geral!$A$7:$A$600,0))&amp;"",""))</f>
        <v/>
      </c>
      <c r="E218" s="15" t="n"/>
      <c r="F218" s="13" t="n"/>
      <c r="G218" s="36">
        <f>IF(B218="","",IFERROR(INDEX(Geral!$Q$7:$Q$600,MATCH(B218,Geral!$A$7:$A$600,0)),""))</f>
        <v/>
      </c>
      <c r="H218" s="19" t="n"/>
      <c r="I218" s="19" t="n"/>
      <c r="J218" s="15" t="n"/>
    </row>
    <row r="219">
      <c r="A219" s="15" t="n"/>
      <c r="B219" s="35">
        <f>IF(A219="","",IFERROR(LEFT(A219,FIND(" · ",A219)-1),A219))</f>
        <v/>
      </c>
      <c r="C219" s="35">
        <f>IF(B219="","",IFERROR(INDEX(Geral!$C$7:$C$600,MATCH(B219,Geral!$A$7:$A$600,0)),"ID não encontrado"))</f>
        <v/>
      </c>
      <c r="D219" s="35">
        <f>IF(B219="","",IFERROR(INDEX(Geral!$D$7:$D$600,MATCH(B219,Geral!$A$7:$A$600,0))&amp;"",""))</f>
        <v/>
      </c>
      <c r="E219" s="15" t="n"/>
      <c r="F219" s="13" t="n"/>
      <c r="G219" s="36">
        <f>IF(B219="","",IFERROR(INDEX(Geral!$Q$7:$Q$600,MATCH(B219,Geral!$A$7:$A$600,0)),""))</f>
        <v/>
      </c>
      <c r="H219" s="19" t="n"/>
      <c r="I219" s="19" t="n"/>
      <c r="J219" s="15" t="n"/>
    </row>
    <row r="220">
      <c r="A220" s="15" t="n"/>
      <c r="B220" s="35">
        <f>IF(A220="","",IFERROR(LEFT(A220,FIND(" · ",A220)-1),A220))</f>
        <v/>
      </c>
      <c r="C220" s="35">
        <f>IF(B220="","",IFERROR(INDEX(Geral!$C$7:$C$600,MATCH(B220,Geral!$A$7:$A$600,0)),"ID não encontrado"))</f>
        <v/>
      </c>
      <c r="D220" s="35">
        <f>IF(B220="","",IFERROR(INDEX(Geral!$D$7:$D$600,MATCH(B220,Geral!$A$7:$A$600,0))&amp;"",""))</f>
        <v/>
      </c>
      <c r="E220" s="15" t="n"/>
      <c r="F220" s="13" t="n"/>
      <c r="G220" s="36">
        <f>IF(B220="","",IFERROR(INDEX(Geral!$Q$7:$Q$600,MATCH(B220,Geral!$A$7:$A$600,0)),""))</f>
        <v/>
      </c>
      <c r="H220" s="19" t="n"/>
      <c r="I220" s="19" t="n"/>
      <c r="J220" s="15" t="n"/>
    </row>
    <row r="221">
      <c r="A221" s="15" t="n"/>
      <c r="B221" s="35">
        <f>IF(A221="","",IFERROR(LEFT(A221,FIND(" · ",A221)-1),A221))</f>
        <v/>
      </c>
      <c r="C221" s="35">
        <f>IF(B221="","",IFERROR(INDEX(Geral!$C$7:$C$600,MATCH(B221,Geral!$A$7:$A$600,0)),"ID não encontrado"))</f>
        <v/>
      </c>
      <c r="D221" s="35">
        <f>IF(B221="","",IFERROR(INDEX(Geral!$D$7:$D$600,MATCH(B221,Geral!$A$7:$A$600,0))&amp;"",""))</f>
        <v/>
      </c>
      <c r="E221" s="15" t="n"/>
      <c r="F221" s="13" t="n"/>
      <c r="G221" s="36">
        <f>IF(B221="","",IFERROR(INDEX(Geral!$Q$7:$Q$600,MATCH(B221,Geral!$A$7:$A$600,0)),""))</f>
        <v/>
      </c>
      <c r="H221" s="19" t="n"/>
      <c r="I221" s="19" t="n"/>
      <c r="J221" s="15" t="n"/>
    </row>
    <row r="222">
      <c r="A222" s="15" t="n"/>
      <c r="B222" s="35">
        <f>IF(A222="","",IFERROR(LEFT(A222,FIND(" · ",A222)-1),A222))</f>
        <v/>
      </c>
      <c r="C222" s="35">
        <f>IF(B222="","",IFERROR(INDEX(Geral!$C$7:$C$600,MATCH(B222,Geral!$A$7:$A$600,0)),"ID não encontrado"))</f>
        <v/>
      </c>
      <c r="D222" s="35">
        <f>IF(B222="","",IFERROR(INDEX(Geral!$D$7:$D$600,MATCH(B222,Geral!$A$7:$A$600,0))&amp;"",""))</f>
        <v/>
      </c>
      <c r="E222" s="15" t="n"/>
      <c r="F222" s="13" t="n"/>
      <c r="G222" s="36">
        <f>IF(B222="","",IFERROR(INDEX(Geral!$Q$7:$Q$600,MATCH(B222,Geral!$A$7:$A$600,0)),""))</f>
        <v/>
      </c>
      <c r="H222" s="19" t="n"/>
      <c r="I222" s="19" t="n"/>
      <c r="J222" s="15" t="n"/>
    </row>
    <row r="223">
      <c r="A223" s="15" t="n"/>
      <c r="B223" s="35">
        <f>IF(A223="","",IFERROR(LEFT(A223,FIND(" · ",A223)-1),A223))</f>
        <v/>
      </c>
      <c r="C223" s="35">
        <f>IF(B223="","",IFERROR(INDEX(Geral!$C$7:$C$600,MATCH(B223,Geral!$A$7:$A$600,0)),"ID não encontrado"))</f>
        <v/>
      </c>
      <c r="D223" s="35">
        <f>IF(B223="","",IFERROR(INDEX(Geral!$D$7:$D$600,MATCH(B223,Geral!$A$7:$A$600,0))&amp;"",""))</f>
        <v/>
      </c>
      <c r="E223" s="15" t="n"/>
      <c r="F223" s="13" t="n"/>
      <c r="G223" s="36">
        <f>IF(B223="","",IFERROR(INDEX(Geral!$Q$7:$Q$600,MATCH(B223,Geral!$A$7:$A$600,0)),""))</f>
        <v/>
      </c>
      <c r="H223" s="19" t="n"/>
      <c r="I223" s="19" t="n"/>
      <c r="J223" s="15" t="n"/>
    </row>
    <row r="224">
      <c r="A224" s="15" t="n"/>
      <c r="B224" s="35">
        <f>IF(A224="","",IFERROR(LEFT(A224,FIND(" · ",A224)-1),A224))</f>
        <v/>
      </c>
      <c r="C224" s="35">
        <f>IF(B224="","",IFERROR(INDEX(Geral!$C$7:$C$600,MATCH(B224,Geral!$A$7:$A$600,0)),"ID não encontrado"))</f>
        <v/>
      </c>
      <c r="D224" s="35">
        <f>IF(B224="","",IFERROR(INDEX(Geral!$D$7:$D$600,MATCH(B224,Geral!$A$7:$A$600,0))&amp;"",""))</f>
        <v/>
      </c>
      <c r="E224" s="15" t="n"/>
      <c r="F224" s="13" t="n"/>
      <c r="G224" s="36">
        <f>IF(B224="","",IFERROR(INDEX(Geral!$Q$7:$Q$600,MATCH(B224,Geral!$A$7:$A$600,0)),""))</f>
        <v/>
      </c>
      <c r="H224" s="19" t="n"/>
      <c r="I224" s="19" t="n"/>
      <c r="J224" s="15" t="n"/>
    </row>
    <row r="225">
      <c r="A225" s="15" t="n"/>
      <c r="B225" s="35">
        <f>IF(A225="","",IFERROR(LEFT(A225,FIND(" · ",A225)-1),A225))</f>
        <v/>
      </c>
      <c r="C225" s="35">
        <f>IF(B225="","",IFERROR(INDEX(Geral!$C$7:$C$600,MATCH(B225,Geral!$A$7:$A$600,0)),"ID não encontrado"))</f>
        <v/>
      </c>
      <c r="D225" s="35">
        <f>IF(B225="","",IFERROR(INDEX(Geral!$D$7:$D$600,MATCH(B225,Geral!$A$7:$A$600,0))&amp;"",""))</f>
        <v/>
      </c>
      <c r="E225" s="15" t="n"/>
      <c r="F225" s="13" t="n"/>
      <c r="G225" s="36">
        <f>IF(B225="","",IFERROR(INDEX(Geral!$Q$7:$Q$600,MATCH(B225,Geral!$A$7:$A$600,0)),""))</f>
        <v/>
      </c>
      <c r="H225" s="19" t="n"/>
      <c r="I225" s="19" t="n"/>
      <c r="J225" s="15" t="n"/>
    </row>
    <row r="226">
      <c r="A226" s="15" t="n"/>
      <c r="B226" s="35">
        <f>IF(A226="","",IFERROR(LEFT(A226,FIND(" · ",A226)-1),A226))</f>
        <v/>
      </c>
      <c r="C226" s="35">
        <f>IF(B226="","",IFERROR(INDEX(Geral!$C$7:$C$600,MATCH(B226,Geral!$A$7:$A$600,0)),"ID não encontrado"))</f>
        <v/>
      </c>
      <c r="D226" s="35">
        <f>IF(B226="","",IFERROR(INDEX(Geral!$D$7:$D$600,MATCH(B226,Geral!$A$7:$A$600,0))&amp;"",""))</f>
        <v/>
      </c>
      <c r="E226" s="15" t="n"/>
      <c r="F226" s="13" t="n"/>
      <c r="G226" s="36">
        <f>IF(B226="","",IFERROR(INDEX(Geral!$Q$7:$Q$600,MATCH(B226,Geral!$A$7:$A$600,0)),""))</f>
        <v/>
      </c>
      <c r="H226" s="19" t="n"/>
      <c r="I226" s="19" t="n"/>
      <c r="J226" s="15" t="n"/>
    </row>
    <row r="227">
      <c r="A227" s="15" t="n"/>
      <c r="B227" s="35">
        <f>IF(A227="","",IFERROR(LEFT(A227,FIND(" · ",A227)-1),A227))</f>
        <v/>
      </c>
      <c r="C227" s="35">
        <f>IF(B227="","",IFERROR(INDEX(Geral!$C$7:$C$600,MATCH(B227,Geral!$A$7:$A$600,0)),"ID não encontrado"))</f>
        <v/>
      </c>
      <c r="D227" s="35">
        <f>IF(B227="","",IFERROR(INDEX(Geral!$D$7:$D$600,MATCH(B227,Geral!$A$7:$A$600,0))&amp;"",""))</f>
        <v/>
      </c>
      <c r="E227" s="15" t="n"/>
      <c r="F227" s="13" t="n"/>
      <c r="G227" s="36">
        <f>IF(B227="","",IFERROR(INDEX(Geral!$Q$7:$Q$600,MATCH(B227,Geral!$A$7:$A$600,0)),""))</f>
        <v/>
      </c>
      <c r="H227" s="19" t="n"/>
      <c r="I227" s="19" t="n"/>
      <c r="J227" s="15" t="n"/>
    </row>
    <row r="228">
      <c r="A228" s="15" t="n"/>
      <c r="B228" s="35">
        <f>IF(A228="","",IFERROR(LEFT(A228,FIND(" · ",A228)-1),A228))</f>
        <v/>
      </c>
      <c r="C228" s="35">
        <f>IF(B228="","",IFERROR(INDEX(Geral!$C$7:$C$600,MATCH(B228,Geral!$A$7:$A$600,0)),"ID não encontrado"))</f>
        <v/>
      </c>
      <c r="D228" s="35">
        <f>IF(B228="","",IFERROR(INDEX(Geral!$D$7:$D$600,MATCH(B228,Geral!$A$7:$A$600,0))&amp;"",""))</f>
        <v/>
      </c>
      <c r="E228" s="15" t="n"/>
      <c r="F228" s="13" t="n"/>
      <c r="G228" s="36">
        <f>IF(B228="","",IFERROR(INDEX(Geral!$Q$7:$Q$600,MATCH(B228,Geral!$A$7:$A$600,0)),""))</f>
        <v/>
      </c>
      <c r="H228" s="19" t="n"/>
      <c r="I228" s="19" t="n"/>
      <c r="J228" s="15" t="n"/>
    </row>
    <row r="229">
      <c r="A229" s="15" t="n"/>
      <c r="B229" s="35">
        <f>IF(A229="","",IFERROR(LEFT(A229,FIND(" · ",A229)-1),A229))</f>
        <v/>
      </c>
      <c r="C229" s="35">
        <f>IF(B229="","",IFERROR(INDEX(Geral!$C$7:$C$600,MATCH(B229,Geral!$A$7:$A$600,0)),"ID não encontrado"))</f>
        <v/>
      </c>
      <c r="D229" s="35">
        <f>IF(B229="","",IFERROR(INDEX(Geral!$D$7:$D$600,MATCH(B229,Geral!$A$7:$A$600,0))&amp;"",""))</f>
        <v/>
      </c>
      <c r="E229" s="15" t="n"/>
      <c r="F229" s="13" t="n"/>
      <c r="G229" s="36">
        <f>IF(B229="","",IFERROR(INDEX(Geral!$Q$7:$Q$600,MATCH(B229,Geral!$A$7:$A$600,0)),""))</f>
        <v/>
      </c>
      <c r="H229" s="19" t="n"/>
      <c r="I229" s="19" t="n"/>
      <c r="J229" s="15" t="n"/>
    </row>
    <row r="230">
      <c r="A230" s="15" t="n"/>
      <c r="B230" s="35">
        <f>IF(A230="","",IFERROR(LEFT(A230,FIND(" · ",A230)-1),A230))</f>
        <v/>
      </c>
      <c r="C230" s="35">
        <f>IF(B230="","",IFERROR(INDEX(Geral!$C$7:$C$600,MATCH(B230,Geral!$A$7:$A$600,0)),"ID não encontrado"))</f>
        <v/>
      </c>
      <c r="D230" s="35">
        <f>IF(B230="","",IFERROR(INDEX(Geral!$D$7:$D$600,MATCH(B230,Geral!$A$7:$A$600,0))&amp;"",""))</f>
        <v/>
      </c>
      <c r="E230" s="15" t="n"/>
      <c r="F230" s="13" t="n"/>
      <c r="G230" s="36">
        <f>IF(B230="","",IFERROR(INDEX(Geral!$Q$7:$Q$600,MATCH(B230,Geral!$A$7:$A$600,0)),""))</f>
        <v/>
      </c>
      <c r="H230" s="19" t="n"/>
      <c r="I230" s="19" t="n"/>
      <c r="J230" s="15" t="n"/>
    </row>
    <row r="231">
      <c r="A231" s="15" t="n"/>
      <c r="B231" s="35">
        <f>IF(A231="","",IFERROR(LEFT(A231,FIND(" · ",A231)-1),A231))</f>
        <v/>
      </c>
      <c r="C231" s="35">
        <f>IF(B231="","",IFERROR(INDEX(Geral!$C$7:$C$600,MATCH(B231,Geral!$A$7:$A$600,0)),"ID não encontrado"))</f>
        <v/>
      </c>
      <c r="D231" s="35">
        <f>IF(B231="","",IFERROR(INDEX(Geral!$D$7:$D$600,MATCH(B231,Geral!$A$7:$A$600,0))&amp;"",""))</f>
        <v/>
      </c>
      <c r="E231" s="15" t="n"/>
      <c r="F231" s="13" t="n"/>
      <c r="G231" s="36">
        <f>IF(B231="","",IFERROR(INDEX(Geral!$Q$7:$Q$600,MATCH(B231,Geral!$A$7:$A$600,0)),""))</f>
        <v/>
      </c>
      <c r="H231" s="19" t="n"/>
      <c r="I231" s="19" t="n"/>
      <c r="J231" s="15" t="n"/>
    </row>
    <row r="232">
      <c r="A232" s="15" t="n"/>
      <c r="B232" s="35">
        <f>IF(A232="","",IFERROR(LEFT(A232,FIND(" · ",A232)-1),A232))</f>
        <v/>
      </c>
      <c r="C232" s="35">
        <f>IF(B232="","",IFERROR(INDEX(Geral!$C$7:$C$600,MATCH(B232,Geral!$A$7:$A$600,0)),"ID não encontrado"))</f>
        <v/>
      </c>
      <c r="D232" s="35">
        <f>IF(B232="","",IFERROR(INDEX(Geral!$D$7:$D$600,MATCH(B232,Geral!$A$7:$A$600,0))&amp;"",""))</f>
        <v/>
      </c>
      <c r="E232" s="15" t="n"/>
      <c r="F232" s="13" t="n"/>
      <c r="G232" s="36">
        <f>IF(B232="","",IFERROR(INDEX(Geral!$Q$7:$Q$600,MATCH(B232,Geral!$A$7:$A$600,0)),""))</f>
        <v/>
      </c>
      <c r="H232" s="19" t="n"/>
      <c r="I232" s="19" t="n"/>
      <c r="J232" s="15" t="n"/>
    </row>
    <row r="233">
      <c r="A233" s="15" t="n"/>
      <c r="B233" s="35">
        <f>IF(A233="","",IFERROR(LEFT(A233,FIND(" · ",A233)-1),A233))</f>
        <v/>
      </c>
      <c r="C233" s="35">
        <f>IF(B233="","",IFERROR(INDEX(Geral!$C$7:$C$600,MATCH(B233,Geral!$A$7:$A$600,0)),"ID não encontrado"))</f>
        <v/>
      </c>
      <c r="D233" s="35">
        <f>IF(B233="","",IFERROR(INDEX(Geral!$D$7:$D$600,MATCH(B233,Geral!$A$7:$A$600,0))&amp;"",""))</f>
        <v/>
      </c>
      <c r="E233" s="15" t="n"/>
      <c r="F233" s="13" t="n"/>
      <c r="G233" s="36">
        <f>IF(B233="","",IFERROR(INDEX(Geral!$Q$7:$Q$600,MATCH(B233,Geral!$A$7:$A$600,0)),""))</f>
        <v/>
      </c>
      <c r="H233" s="19" t="n"/>
      <c r="I233" s="19" t="n"/>
      <c r="J233" s="15" t="n"/>
    </row>
    <row r="234">
      <c r="A234" s="15" t="n"/>
      <c r="B234" s="35">
        <f>IF(A234="","",IFERROR(LEFT(A234,FIND(" · ",A234)-1),A234))</f>
        <v/>
      </c>
      <c r="C234" s="35">
        <f>IF(B234="","",IFERROR(INDEX(Geral!$C$7:$C$600,MATCH(B234,Geral!$A$7:$A$600,0)),"ID não encontrado"))</f>
        <v/>
      </c>
      <c r="D234" s="35">
        <f>IF(B234="","",IFERROR(INDEX(Geral!$D$7:$D$600,MATCH(B234,Geral!$A$7:$A$600,0))&amp;"",""))</f>
        <v/>
      </c>
      <c r="E234" s="15" t="n"/>
      <c r="F234" s="13" t="n"/>
      <c r="G234" s="36">
        <f>IF(B234="","",IFERROR(INDEX(Geral!$Q$7:$Q$600,MATCH(B234,Geral!$A$7:$A$600,0)),""))</f>
        <v/>
      </c>
      <c r="H234" s="19" t="n"/>
      <c r="I234" s="19" t="n"/>
      <c r="J234" s="15" t="n"/>
    </row>
    <row r="235">
      <c r="A235" s="15" t="n"/>
      <c r="B235" s="35">
        <f>IF(A235="","",IFERROR(LEFT(A235,FIND(" · ",A235)-1),A235))</f>
        <v/>
      </c>
      <c r="C235" s="35">
        <f>IF(B235="","",IFERROR(INDEX(Geral!$C$7:$C$600,MATCH(B235,Geral!$A$7:$A$600,0)),"ID não encontrado"))</f>
        <v/>
      </c>
      <c r="D235" s="35">
        <f>IF(B235="","",IFERROR(INDEX(Geral!$D$7:$D$600,MATCH(B235,Geral!$A$7:$A$600,0))&amp;"",""))</f>
        <v/>
      </c>
      <c r="E235" s="15" t="n"/>
      <c r="F235" s="13" t="n"/>
      <c r="G235" s="36">
        <f>IF(B235="","",IFERROR(INDEX(Geral!$Q$7:$Q$600,MATCH(B235,Geral!$A$7:$A$600,0)),""))</f>
        <v/>
      </c>
      <c r="H235" s="19" t="n"/>
      <c r="I235" s="19" t="n"/>
      <c r="J235" s="15" t="n"/>
    </row>
    <row r="236">
      <c r="A236" s="15" t="n"/>
      <c r="B236" s="35">
        <f>IF(A236="","",IFERROR(LEFT(A236,FIND(" · ",A236)-1),A236))</f>
        <v/>
      </c>
      <c r="C236" s="35">
        <f>IF(B236="","",IFERROR(INDEX(Geral!$C$7:$C$600,MATCH(B236,Geral!$A$7:$A$600,0)),"ID não encontrado"))</f>
        <v/>
      </c>
      <c r="D236" s="35">
        <f>IF(B236="","",IFERROR(INDEX(Geral!$D$7:$D$600,MATCH(B236,Geral!$A$7:$A$600,0))&amp;"",""))</f>
        <v/>
      </c>
      <c r="E236" s="15" t="n"/>
      <c r="F236" s="13" t="n"/>
      <c r="G236" s="36">
        <f>IF(B236="","",IFERROR(INDEX(Geral!$Q$7:$Q$600,MATCH(B236,Geral!$A$7:$A$600,0)),""))</f>
        <v/>
      </c>
      <c r="H236" s="19" t="n"/>
      <c r="I236" s="19" t="n"/>
      <c r="J236" s="15" t="n"/>
    </row>
    <row r="237">
      <c r="A237" s="15" t="n"/>
      <c r="B237" s="35">
        <f>IF(A237="","",IFERROR(LEFT(A237,FIND(" · ",A237)-1),A237))</f>
        <v/>
      </c>
      <c r="C237" s="35">
        <f>IF(B237="","",IFERROR(INDEX(Geral!$C$7:$C$600,MATCH(B237,Geral!$A$7:$A$600,0)),"ID não encontrado"))</f>
        <v/>
      </c>
      <c r="D237" s="35">
        <f>IF(B237="","",IFERROR(INDEX(Geral!$D$7:$D$600,MATCH(B237,Geral!$A$7:$A$600,0))&amp;"",""))</f>
        <v/>
      </c>
      <c r="E237" s="15" t="n"/>
      <c r="F237" s="13" t="n"/>
      <c r="G237" s="36">
        <f>IF(B237="","",IFERROR(INDEX(Geral!$Q$7:$Q$600,MATCH(B237,Geral!$A$7:$A$600,0)),""))</f>
        <v/>
      </c>
      <c r="H237" s="19" t="n"/>
      <c r="I237" s="19" t="n"/>
      <c r="J237" s="15" t="n"/>
    </row>
    <row r="238">
      <c r="A238" s="15" t="n"/>
      <c r="B238" s="35">
        <f>IF(A238="","",IFERROR(LEFT(A238,FIND(" · ",A238)-1),A238))</f>
        <v/>
      </c>
      <c r="C238" s="35">
        <f>IF(B238="","",IFERROR(INDEX(Geral!$C$7:$C$600,MATCH(B238,Geral!$A$7:$A$600,0)),"ID não encontrado"))</f>
        <v/>
      </c>
      <c r="D238" s="35">
        <f>IF(B238="","",IFERROR(INDEX(Geral!$D$7:$D$600,MATCH(B238,Geral!$A$7:$A$600,0))&amp;"",""))</f>
        <v/>
      </c>
      <c r="E238" s="15" t="n"/>
      <c r="F238" s="13" t="n"/>
      <c r="G238" s="36">
        <f>IF(B238="","",IFERROR(INDEX(Geral!$Q$7:$Q$600,MATCH(B238,Geral!$A$7:$A$600,0)),""))</f>
        <v/>
      </c>
      <c r="H238" s="19" t="n"/>
      <c r="I238" s="19" t="n"/>
      <c r="J238" s="15" t="n"/>
    </row>
    <row r="239">
      <c r="A239" s="15" t="n"/>
      <c r="B239" s="35">
        <f>IF(A239="","",IFERROR(LEFT(A239,FIND(" · ",A239)-1),A239))</f>
        <v/>
      </c>
      <c r="C239" s="35">
        <f>IF(B239="","",IFERROR(INDEX(Geral!$C$7:$C$600,MATCH(B239,Geral!$A$7:$A$600,0)),"ID não encontrado"))</f>
        <v/>
      </c>
      <c r="D239" s="35">
        <f>IF(B239="","",IFERROR(INDEX(Geral!$D$7:$D$600,MATCH(B239,Geral!$A$7:$A$600,0))&amp;"",""))</f>
        <v/>
      </c>
      <c r="E239" s="15" t="n"/>
      <c r="F239" s="13" t="n"/>
      <c r="G239" s="36">
        <f>IF(B239="","",IFERROR(INDEX(Geral!$Q$7:$Q$600,MATCH(B239,Geral!$A$7:$A$600,0)),""))</f>
        <v/>
      </c>
      <c r="H239" s="19" t="n"/>
      <c r="I239" s="19" t="n"/>
      <c r="J239" s="15" t="n"/>
    </row>
    <row r="240">
      <c r="A240" s="15" t="n"/>
      <c r="B240" s="35">
        <f>IF(A240="","",IFERROR(LEFT(A240,FIND(" · ",A240)-1),A240))</f>
        <v/>
      </c>
      <c r="C240" s="35">
        <f>IF(B240="","",IFERROR(INDEX(Geral!$C$7:$C$600,MATCH(B240,Geral!$A$7:$A$600,0)),"ID não encontrado"))</f>
        <v/>
      </c>
      <c r="D240" s="35">
        <f>IF(B240="","",IFERROR(INDEX(Geral!$D$7:$D$600,MATCH(B240,Geral!$A$7:$A$600,0))&amp;"",""))</f>
        <v/>
      </c>
      <c r="E240" s="15" t="n"/>
      <c r="F240" s="13" t="n"/>
      <c r="G240" s="36">
        <f>IF(B240="","",IFERROR(INDEX(Geral!$Q$7:$Q$600,MATCH(B240,Geral!$A$7:$A$600,0)),""))</f>
        <v/>
      </c>
      <c r="H240" s="19" t="n"/>
      <c r="I240" s="19" t="n"/>
      <c r="J240" s="15" t="n"/>
    </row>
    <row r="241">
      <c r="A241" s="15" t="n"/>
      <c r="B241" s="35">
        <f>IF(A241="","",IFERROR(LEFT(A241,FIND(" · ",A241)-1),A241))</f>
        <v/>
      </c>
      <c r="C241" s="35">
        <f>IF(B241="","",IFERROR(INDEX(Geral!$C$7:$C$600,MATCH(B241,Geral!$A$7:$A$600,0)),"ID não encontrado"))</f>
        <v/>
      </c>
      <c r="D241" s="35">
        <f>IF(B241="","",IFERROR(INDEX(Geral!$D$7:$D$600,MATCH(B241,Geral!$A$7:$A$600,0))&amp;"",""))</f>
        <v/>
      </c>
      <c r="E241" s="15" t="n"/>
      <c r="F241" s="13" t="n"/>
      <c r="G241" s="36">
        <f>IF(B241="","",IFERROR(INDEX(Geral!$Q$7:$Q$600,MATCH(B241,Geral!$A$7:$A$600,0)),""))</f>
        <v/>
      </c>
      <c r="H241" s="19" t="n"/>
      <c r="I241" s="19" t="n"/>
      <c r="J241" s="15" t="n"/>
    </row>
    <row r="242">
      <c r="A242" s="15" t="n"/>
      <c r="B242" s="35">
        <f>IF(A242="","",IFERROR(LEFT(A242,FIND(" · ",A242)-1),A242))</f>
        <v/>
      </c>
      <c r="C242" s="35">
        <f>IF(B242="","",IFERROR(INDEX(Geral!$C$7:$C$600,MATCH(B242,Geral!$A$7:$A$600,0)),"ID não encontrado"))</f>
        <v/>
      </c>
      <c r="D242" s="35">
        <f>IF(B242="","",IFERROR(INDEX(Geral!$D$7:$D$600,MATCH(B242,Geral!$A$7:$A$600,0))&amp;"",""))</f>
        <v/>
      </c>
      <c r="E242" s="15" t="n"/>
      <c r="F242" s="13" t="n"/>
      <c r="G242" s="36">
        <f>IF(B242="","",IFERROR(INDEX(Geral!$Q$7:$Q$600,MATCH(B242,Geral!$A$7:$A$600,0)),""))</f>
        <v/>
      </c>
      <c r="H242" s="19" t="n"/>
      <c r="I242" s="19" t="n"/>
      <c r="J242" s="15" t="n"/>
    </row>
    <row r="243">
      <c r="A243" s="15" t="n"/>
      <c r="B243" s="35">
        <f>IF(A243="","",IFERROR(LEFT(A243,FIND(" · ",A243)-1),A243))</f>
        <v/>
      </c>
      <c r="C243" s="35">
        <f>IF(B243="","",IFERROR(INDEX(Geral!$C$7:$C$600,MATCH(B243,Geral!$A$7:$A$600,0)),"ID não encontrado"))</f>
        <v/>
      </c>
      <c r="D243" s="35">
        <f>IF(B243="","",IFERROR(INDEX(Geral!$D$7:$D$600,MATCH(B243,Geral!$A$7:$A$600,0))&amp;"",""))</f>
        <v/>
      </c>
      <c r="E243" s="15" t="n"/>
      <c r="F243" s="13" t="n"/>
      <c r="G243" s="36">
        <f>IF(B243="","",IFERROR(INDEX(Geral!$Q$7:$Q$600,MATCH(B243,Geral!$A$7:$A$600,0)),""))</f>
        <v/>
      </c>
      <c r="H243" s="19" t="n"/>
      <c r="I243" s="19" t="n"/>
      <c r="J243" s="15" t="n"/>
    </row>
    <row r="244">
      <c r="A244" s="15" t="n"/>
      <c r="B244" s="35">
        <f>IF(A244="","",IFERROR(LEFT(A244,FIND(" · ",A244)-1),A244))</f>
        <v/>
      </c>
      <c r="C244" s="35">
        <f>IF(B244="","",IFERROR(INDEX(Geral!$C$7:$C$600,MATCH(B244,Geral!$A$7:$A$600,0)),"ID não encontrado"))</f>
        <v/>
      </c>
      <c r="D244" s="35">
        <f>IF(B244="","",IFERROR(INDEX(Geral!$D$7:$D$600,MATCH(B244,Geral!$A$7:$A$600,0))&amp;"",""))</f>
        <v/>
      </c>
      <c r="E244" s="15" t="n"/>
      <c r="F244" s="13" t="n"/>
      <c r="G244" s="36">
        <f>IF(B244="","",IFERROR(INDEX(Geral!$Q$7:$Q$600,MATCH(B244,Geral!$A$7:$A$600,0)),""))</f>
        <v/>
      </c>
      <c r="H244" s="19" t="n"/>
      <c r="I244" s="19" t="n"/>
      <c r="J244" s="15" t="n"/>
    </row>
    <row r="245">
      <c r="A245" s="15" t="n"/>
      <c r="B245" s="35">
        <f>IF(A245="","",IFERROR(LEFT(A245,FIND(" · ",A245)-1),A245))</f>
        <v/>
      </c>
      <c r="C245" s="35">
        <f>IF(B245="","",IFERROR(INDEX(Geral!$C$7:$C$600,MATCH(B245,Geral!$A$7:$A$600,0)),"ID não encontrado"))</f>
        <v/>
      </c>
      <c r="D245" s="35">
        <f>IF(B245="","",IFERROR(INDEX(Geral!$D$7:$D$600,MATCH(B245,Geral!$A$7:$A$600,0))&amp;"",""))</f>
        <v/>
      </c>
      <c r="E245" s="15" t="n"/>
      <c r="F245" s="13" t="n"/>
      <c r="G245" s="36">
        <f>IF(B245="","",IFERROR(INDEX(Geral!$Q$7:$Q$600,MATCH(B245,Geral!$A$7:$A$600,0)),""))</f>
        <v/>
      </c>
      <c r="H245" s="19" t="n"/>
      <c r="I245" s="19" t="n"/>
      <c r="J245" s="15" t="n"/>
    </row>
    <row r="246">
      <c r="A246" s="15" t="n"/>
      <c r="B246" s="35">
        <f>IF(A246="","",IFERROR(LEFT(A246,FIND(" · ",A246)-1),A246))</f>
        <v/>
      </c>
      <c r="C246" s="35">
        <f>IF(B246="","",IFERROR(INDEX(Geral!$C$7:$C$600,MATCH(B246,Geral!$A$7:$A$600,0)),"ID não encontrado"))</f>
        <v/>
      </c>
      <c r="D246" s="35">
        <f>IF(B246="","",IFERROR(INDEX(Geral!$D$7:$D$600,MATCH(B246,Geral!$A$7:$A$600,0))&amp;"",""))</f>
        <v/>
      </c>
      <c r="E246" s="15" t="n"/>
      <c r="F246" s="13" t="n"/>
      <c r="G246" s="36">
        <f>IF(B246="","",IFERROR(INDEX(Geral!$Q$7:$Q$600,MATCH(B246,Geral!$A$7:$A$600,0)),""))</f>
        <v/>
      </c>
      <c r="H246" s="19" t="n"/>
      <c r="I246" s="19" t="n"/>
      <c r="J246" s="15" t="n"/>
    </row>
    <row r="247">
      <c r="A247" s="15" t="n"/>
      <c r="B247" s="35">
        <f>IF(A247="","",IFERROR(LEFT(A247,FIND(" · ",A247)-1),A247))</f>
        <v/>
      </c>
      <c r="C247" s="35">
        <f>IF(B247="","",IFERROR(INDEX(Geral!$C$7:$C$600,MATCH(B247,Geral!$A$7:$A$600,0)),"ID não encontrado"))</f>
        <v/>
      </c>
      <c r="D247" s="35">
        <f>IF(B247="","",IFERROR(INDEX(Geral!$D$7:$D$600,MATCH(B247,Geral!$A$7:$A$600,0))&amp;"",""))</f>
        <v/>
      </c>
      <c r="E247" s="15" t="n"/>
      <c r="F247" s="13" t="n"/>
      <c r="G247" s="36">
        <f>IF(B247="","",IFERROR(INDEX(Geral!$Q$7:$Q$600,MATCH(B247,Geral!$A$7:$A$600,0)),""))</f>
        <v/>
      </c>
      <c r="H247" s="19" t="n"/>
      <c r="I247" s="19" t="n"/>
      <c r="J247" s="15" t="n"/>
    </row>
    <row r="248">
      <c r="A248" s="15" t="n"/>
      <c r="B248" s="35">
        <f>IF(A248="","",IFERROR(LEFT(A248,FIND(" · ",A248)-1),A248))</f>
        <v/>
      </c>
      <c r="C248" s="35">
        <f>IF(B248="","",IFERROR(INDEX(Geral!$C$7:$C$600,MATCH(B248,Geral!$A$7:$A$600,0)),"ID não encontrado"))</f>
        <v/>
      </c>
      <c r="D248" s="35">
        <f>IF(B248="","",IFERROR(INDEX(Geral!$D$7:$D$600,MATCH(B248,Geral!$A$7:$A$600,0))&amp;"",""))</f>
        <v/>
      </c>
      <c r="E248" s="15" t="n"/>
      <c r="F248" s="13" t="n"/>
      <c r="G248" s="36">
        <f>IF(B248="","",IFERROR(INDEX(Geral!$Q$7:$Q$600,MATCH(B248,Geral!$A$7:$A$600,0)),""))</f>
        <v/>
      </c>
      <c r="H248" s="19" t="n"/>
      <c r="I248" s="19" t="n"/>
      <c r="J248" s="15" t="n"/>
    </row>
    <row r="249">
      <c r="A249" s="15" t="n"/>
      <c r="B249" s="35">
        <f>IF(A249="","",IFERROR(LEFT(A249,FIND(" · ",A249)-1),A249))</f>
        <v/>
      </c>
      <c r="C249" s="35">
        <f>IF(B249="","",IFERROR(INDEX(Geral!$C$7:$C$600,MATCH(B249,Geral!$A$7:$A$600,0)),"ID não encontrado"))</f>
        <v/>
      </c>
      <c r="D249" s="35">
        <f>IF(B249="","",IFERROR(INDEX(Geral!$D$7:$D$600,MATCH(B249,Geral!$A$7:$A$600,0))&amp;"",""))</f>
        <v/>
      </c>
      <c r="E249" s="15" t="n"/>
      <c r="F249" s="13" t="n"/>
      <c r="G249" s="36">
        <f>IF(B249="","",IFERROR(INDEX(Geral!$Q$7:$Q$600,MATCH(B249,Geral!$A$7:$A$600,0)),""))</f>
        <v/>
      </c>
      <c r="H249" s="19" t="n"/>
      <c r="I249" s="19" t="n"/>
      <c r="J249" s="15" t="n"/>
    </row>
    <row r="250">
      <c r="A250" s="15" t="n"/>
      <c r="B250" s="35">
        <f>IF(A250="","",IFERROR(LEFT(A250,FIND(" · ",A250)-1),A250))</f>
        <v/>
      </c>
      <c r="C250" s="35">
        <f>IF(B250="","",IFERROR(INDEX(Geral!$C$7:$C$600,MATCH(B250,Geral!$A$7:$A$600,0)),"ID não encontrado"))</f>
        <v/>
      </c>
      <c r="D250" s="35">
        <f>IF(B250="","",IFERROR(INDEX(Geral!$D$7:$D$600,MATCH(B250,Geral!$A$7:$A$600,0))&amp;"",""))</f>
        <v/>
      </c>
      <c r="E250" s="15" t="n"/>
      <c r="F250" s="13" t="n"/>
      <c r="G250" s="36">
        <f>IF(B250="","",IFERROR(INDEX(Geral!$Q$7:$Q$600,MATCH(B250,Geral!$A$7:$A$600,0)),""))</f>
        <v/>
      </c>
      <c r="H250" s="19" t="n"/>
      <c r="I250" s="19" t="n"/>
      <c r="J250" s="15" t="n"/>
    </row>
    <row r="251">
      <c r="A251" s="15" t="n"/>
      <c r="B251" s="35">
        <f>IF(A251="","",IFERROR(LEFT(A251,FIND(" · ",A251)-1),A251))</f>
        <v/>
      </c>
      <c r="C251" s="35">
        <f>IF(B251="","",IFERROR(INDEX(Geral!$C$7:$C$600,MATCH(B251,Geral!$A$7:$A$600,0)),"ID não encontrado"))</f>
        <v/>
      </c>
      <c r="D251" s="35">
        <f>IF(B251="","",IFERROR(INDEX(Geral!$D$7:$D$600,MATCH(B251,Geral!$A$7:$A$600,0))&amp;"",""))</f>
        <v/>
      </c>
      <c r="E251" s="15" t="n"/>
      <c r="F251" s="13" t="n"/>
      <c r="G251" s="36">
        <f>IF(B251="","",IFERROR(INDEX(Geral!$Q$7:$Q$600,MATCH(B251,Geral!$A$7:$A$600,0)),""))</f>
        <v/>
      </c>
      <c r="H251" s="19" t="n"/>
      <c r="I251" s="19" t="n"/>
      <c r="J251" s="15" t="n"/>
    </row>
    <row r="252">
      <c r="A252" s="15" t="n"/>
      <c r="B252" s="35">
        <f>IF(A252="","",IFERROR(LEFT(A252,FIND(" · ",A252)-1),A252))</f>
        <v/>
      </c>
      <c r="C252" s="35">
        <f>IF(B252="","",IFERROR(INDEX(Geral!$C$7:$C$600,MATCH(B252,Geral!$A$7:$A$600,0)),"ID não encontrado"))</f>
        <v/>
      </c>
      <c r="D252" s="35">
        <f>IF(B252="","",IFERROR(INDEX(Geral!$D$7:$D$600,MATCH(B252,Geral!$A$7:$A$600,0))&amp;"",""))</f>
        <v/>
      </c>
      <c r="E252" s="15" t="n"/>
      <c r="F252" s="13" t="n"/>
      <c r="G252" s="36">
        <f>IF(B252="","",IFERROR(INDEX(Geral!$Q$7:$Q$600,MATCH(B252,Geral!$A$7:$A$600,0)),""))</f>
        <v/>
      </c>
      <c r="H252" s="19" t="n"/>
      <c r="I252" s="19" t="n"/>
      <c r="J252" s="15" t="n"/>
    </row>
    <row r="253">
      <c r="A253" s="15" t="n"/>
      <c r="B253" s="35">
        <f>IF(A253="","",IFERROR(LEFT(A253,FIND(" · ",A253)-1),A253))</f>
        <v/>
      </c>
      <c r="C253" s="35">
        <f>IF(B253="","",IFERROR(INDEX(Geral!$C$7:$C$600,MATCH(B253,Geral!$A$7:$A$600,0)),"ID não encontrado"))</f>
        <v/>
      </c>
      <c r="D253" s="35">
        <f>IF(B253="","",IFERROR(INDEX(Geral!$D$7:$D$600,MATCH(B253,Geral!$A$7:$A$600,0))&amp;"",""))</f>
        <v/>
      </c>
      <c r="E253" s="15" t="n"/>
      <c r="F253" s="13" t="n"/>
      <c r="G253" s="36">
        <f>IF(B253="","",IFERROR(INDEX(Geral!$Q$7:$Q$600,MATCH(B253,Geral!$A$7:$A$600,0)),""))</f>
        <v/>
      </c>
      <c r="H253" s="19" t="n"/>
      <c r="I253" s="19" t="n"/>
      <c r="J253" s="15" t="n"/>
    </row>
    <row r="254">
      <c r="A254" s="15" t="n"/>
      <c r="B254" s="35">
        <f>IF(A254="","",IFERROR(LEFT(A254,FIND(" · ",A254)-1),A254))</f>
        <v/>
      </c>
      <c r="C254" s="35">
        <f>IF(B254="","",IFERROR(INDEX(Geral!$C$7:$C$600,MATCH(B254,Geral!$A$7:$A$600,0)),"ID não encontrado"))</f>
        <v/>
      </c>
      <c r="D254" s="35">
        <f>IF(B254="","",IFERROR(INDEX(Geral!$D$7:$D$600,MATCH(B254,Geral!$A$7:$A$600,0))&amp;"",""))</f>
        <v/>
      </c>
      <c r="E254" s="15" t="n"/>
      <c r="F254" s="13" t="n"/>
      <c r="G254" s="36">
        <f>IF(B254="","",IFERROR(INDEX(Geral!$Q$7:$Q$600,MATCH(B254,Geral!$A$7:$A$600,0)),""))</f>
        <v/>
      </c>
      <c r="H254" s="19" t="n"/>
      <c r="I254" s="19" t="n"/>
      <c r="J254" s="15" t="n"/>
    </row>
    <row r="255">
      <c r="A255" s="15" t="n"/>
      <c r="B255" s="35">
        <f>IF(A255="","",IFERROR(LEFT(A255,FIND(" · ",A255)-1),A255))</f>
        <v/>
      </c>
      <c r="C255" s="35">
        <f>IF(B255="","",IFERROR(INDEX(Geral!$C$7:$C$600,MATCH(B255,Geral!$A$7:$A$600,0)),"ID não encontrado"))</f>
        <v/>
      </c>
      <c r="D255" s="35">
        <f>IF(B255="","",IFERROR(INDEX(Geral!$D$7:$D$600,MATCH(B255,Geral!$A$7:$A$600,0))&amp;"",""))</f>
        <v/>
      </c>
      <c r="E255" s="15" t="n"/>
      <c r="F255" s="13" t="n"/>
      <c r="G255" s="36">
        <f>IF(B255="","",IFERROR(INDEX(Geral!$Q$7:$Q$600,MATCH(B255,Geral!$A$7:$A$600,0)),""))</f>
        <v/>
      </c>
      <c r="H255" s="19" t="n"/>
      <c r="I255" s="19" t="n"/>
      <c r="J255" s="15" t="n"/>
    </row>
    <row r="256">
      <c r="A256" s="15" t="n"/>
      <c r="B256" s="35">
        <f>IF(A256="","",IFERROR(LEFT(A256,FIND(" · ",A256)-1),A256))</f>
        <v/>
      </c>
      <c r="C256" s="35">
        <f>IF(B256="","",IFERROR(INDEX(Geral!$C$7:$C$600,MATCH(B256,Geral!$A$7:$A$600,0)),"ID não encontrado"))</f>
        <v/>
      </c>
      <c r="D256" s="35">
        <f>IF(B256="","",IFERROR(INDEX(Geral!$D$7:$D$600,MATCH(B256,Geral!$A$7:$A$600,0))&amp;"",""))</f>
        <v/>
      </c>
      <c r="E256" s="15" t="n"/>
      <c r="F256" s="13" t="n"/>
      <c r="G256" s="36">
        <f>IF(B256="","",IFERROR(INDEX(Geral!$Q$7:$Q$600,MATCH(B256,Geral!$A$7:$A$600,0)),""))</f>
        <v/>
      </c>
      <c r="H256" s="19" t="n"/>
      <c r="I256" s="19" t="n"/>
      <c r="J256" s="15" t="n"/>
    </row>
    <row r="257">
      <c r="A257" s="15" t="n"/>
      <c r="B257" s="35">
        <f>IF(A257="","",IFERROR(LEFT(A257,FIND(" · ",A257)-1),A257))</f>
        <v/>
      </c>
      <c r="C257" s="35">
        <f>IF(B257="","",IFERROR(INDEX(Geral!$C$7:$C$600,MATCH(B257,Geral!$A$7:$A$600,0)),"ID não encontrado"))</f>
        <v/>
      </c>
      <c r="D257" s="35">
        <f>IF(B257="","",IFERROR(INDEX(Geral!$D$7:$D$600,MATCH(B257,Geral!$A$7:$A$600,0))&amp;"",""))</f>
        <v/>
      </c>
      <c r="E257" s="15" t="n"/>
      <c r="F257" s="13" t="n"/>
      <c r="G257" s="36">
        <f>IF(B257="","",IFERROR(INDEX(Geral!$Q$7:$Q$600,MATCH(B257,Geral!$A$7:$A$600,0)),""))</f>
        <v/>
      </c>
      <c r="H257" s="19" t="n"/>
      <c r="I257" s="19" t="n"/>
      <c r="J257" s="15" t="n"/>
    </row>
    <row r="258">
      <c r="A258" s="15" t="n"/>
      <c r="B258" s="35">
        <f>IF(A258="","",IFERROR(LEFT(A258,FIND(" · ",A258)-1),A258))</f>
        <v/>
      </c>
      <c r="C258" s="35">
        <f>IF(B258="","",IFERROR(INDEX(Geral!$C$7:$C$600,MATCH(B258,Geral!$A$7:$A$600,0)),"ID não encontrado"))</f>
        <v/>
      </c>
      <c r="D258" s="35">
        <f>IF(B258="","",IFERROR(INDEX(Geral!$D$7:$D$600,MATCH(B258,Geral!$A$7:$A$600,0))&amp;"",""))</f>
        <v/>
      </c>
      <c r="E258" s="15" t="n"/>
      <c r="F258" s="13" t="n"/>
      <c r="G258" s="36">
        <f>IF(B258="","",IFERROR(INDEX(Geral!$Q$7:$Q$600,MATCH(B258,Geral!$A$7:$A$600,0)),""))</f>
        <v/>
      </c>
      <c r="H258" s="19" t="n"/>
      <c r="I258" s="19" t="n"/>
      <c r="J258" s="15" t="n"/>
    </row>
    <row r="259">
      <c r="A259" s="15" t="n"/>
      <c r="B259" s="35">
        <f>IF(A259="","",IFERROR(LEFT(A259,FIND(" · ",A259)-1),A259))</f>
        <v/>
      </c>
      <c r="C259" s="35">
        <f>IF(B259="","",IFERROR(INDEX(Geral!$C$7:$C$600,MATCH(B259,Geral!$A$7:$A$600,0)),"ID não encontrado"))</f>
        <v/>
      </c>
      <c r="D259" s="35">
        <f>IF(B259="","",IFERROR(INDEX(Geral!$D$7:$D$600,MATCH(B259,Geral!$A$7:$A$600,0))&amp;"",""))</f>
        <v/>
      </c>
      <c r="E259" s="15" t="n"/>
      <c r="F259" s="13" t="n"/>
      <c r="G259" s="36">
        <f>IF(B259="","",IFERROR(INDEX(Geral!$Q$7:$Q$600,MATCH(B259,Geral!$A$7:$A$600,0)),""))</f>
        <v/>
      </c>
      <c r="H259" s="19" t="n"/>
      <c r="I259" s="19" t="n"/>
      <c r="J259" s="15" t="n"/>
    </row>
    <row r="260">
      <c r="A260" s="15" t="n"/>
      <c r="B260" s="35">
        <f>IF(A260="","",IFERROR(LEFT(A260,FIND(" · ",A260)-1),A260))</f>
        <v/>
      </c>
      <c r="C260" s="35">
        <f>IF(B260="","",IFERROR(INDEX(Geral!$C$7:$C$600,MATCH(B260,Geral!$A$7:$A$600,0)),"ID não encontrado"))</f>
        <v/>
      </c>
      <c r="D260" s="35">
        <f>IF(B260="","",IFERROR(INDEX(Geral!$D$7:$D$600,MATCH(B260,Geral!$A$7:$A$600,0))&amp;"",""))</f>
        <v/>
      </c>
      <c r="E260" s="15" t="n"/>
      <c r="F260" s="13" t="n"/>
      <c r="G260" s="36">
        <f>IF(B260="","",IFERROR(INDEX(Geral!$Q$7:$Q$600,MATCH(B260,Geral!$A$7:$A$600,0)),""))</f>
        <v/>
      </c>
      <c r="H260" s="19" t="n"/>
      <c r="I260" s="19" t="n"/>
      <c r="J260" s="15" t="n"/>
    </row>
    <row r="261">
      <c r="A261" s="15" t="n"/>
      <c r="B261" s="35">
        <f>IF(A261="","",IFERROR(LEFT(A261,FIND(" · ",A261)-1),A261))</f>
        <v/>
      </c>
      <c r="C261" s="35">
        <f>IF(B261="","",IFERROR(INDEX(Geral!$C$7:$C$600,MATCH(B261,Geral!$A$7:$A$600,0)),"ID não encontrado"))</f>
        <v/>
      </c>
      <c r="D261" s="35">
        <f>IF(B261="","",IFERROR(INDEX(Geral!$D$7:$D$600,MATCH(B261,Geral!$A$7:$A$600,0))&amp;"",""))</f>
        <v/>
      </c>
      <c r="E261" s="15" t="n"/>
      <c r="F261" s="13" t="n"/>
      <c r="G261" s="36">
        <f>IF(B261="","",IFERROR(INDEX(Geral!$Q$7:$Q$600,MATCH(B261,Geral!$A$7:$A$600,0)),""))</f>
        <v/>
      </c>
      <c r="H261" s="19" t="n"/>
      <c r="I261" s="19" t="n"/>
      <c r="J261" s="15" t="n"/>
    </row>
    <row r="262">
      <c r="A262" s="15" t="n"/>
      <c r="B262" s="35">
        <f>IF(A262="","",IFERROR(LEFT(A262,FIND(" · ",A262)-1),A262))</f>
        <v/>
      </c>
      <c r="C262" s="35">
        <f>IF(B262="","",IFERROR(INDEX(Geral!$C$7:$C$600,MATCH(B262,Geral!$A$7:$A$600,0)),"ID não encontrado"))</f>
        <v/>
      </c>
      <c r="D262" s="35">
        <f>IF(B262="","",IFERROR(INDEX(Geral!$D$7:$D$600,MATCH(B262,Geral!$A$7:$A$600,0))&amp;"",""))</f>
        <v/>
      </c>
      <c r="E262" s="15" t="n"/>
      <c r="F262" s="13" t="n"/>
      <c r="G262" s="36">
        <f>IF(B262="","",IFERROR(INDEX(Geral!$Q$7:$Q$600,MATCH(B262,Geral!$A$7:$A$600,0)),""))</f>
        <v/>
      </c>
      <c r="H262" s="19" t="n"/>
      <c r="I262" s="19" t="n"/>
      <c r="J262" s="15" t="n"/>
    </row>
    <row r="263">
      <c r="A263" s="15" t="n"/>
      <c r="B263" s="35">
        <f>IF(A263="","",IFERROR(LEFT(A263,FIND(" · ",A263)-1),A263))</f>
        <v/>
      </c>
      <c r="C263" s="35">
        <f>IF(B263="","",IFERROR(INDEX(Geral!$C$7:$C$600,MATCH(B263,Geral!$A$7:$A$600,0)),"ID não encontrado"))</f>
        <v/>
      </c>
      <c r="D263" s="35">
        <f>IF(B263="","",IFERROR(INDEX(Geral!$D$7:$D$600,MATCH(B263,Geral!$A$7:$A$600,0))&amp;"",""))</f>
        <v/>
      </c>
      <c r="E263" s="15" t="n"/>
      <c r="F263" s="13" t="n"/>
      <c r="G263" s="36">
        <f>IF(B263="","",IFERROR(INDEX(Geral!$Q$7:$Q$600,MATCH(B263,Geral!$A$7:$A$600,0)),""))</f>
        <v/>
      </c>
      <c r="H263" s="19" t="n"/>
      <c r="I263" s="19" t="n"/>
      <c r="J263" s="15" t="n"/>
    </row>
    <row r="264">
      <c r="A264" s="15" t="n"/>
      <c r="B264" s="35">
        <f>IF(A264="","",IFERROR(LEFT(A264,FIND(" · ",A264)-1),A264))</f>
        <v/>
      </c>
      <c r="C264" s="35">
        <f>IF(B264="","",IFERROR(INDEX(Geral!$C$7:$C$600,MATCH(B264,Geral!$A$7:$A$600,0)),"ID não encontrado"))</f>
        <v/>
      </c>
      <c r="D264" s="35">
        <f>IF(B264="","",IFERROR(INDEX(Geral!$D$7:$D$600,MATCH(B264,Geral!$A$7:$A$600,0))&amp;"",""))</f>
        <v/>
      </c>
      <c r="E264" s="15" t="n"/>
      <c r="F264" s="13" t="n"/>
      <c r="G264" s="36">
        <f>IF(B264="","",IFERROR(INDEX(Geral!$Q$7:$Q$600,MATCH(B264,Geral!$A$7:$A$600,0)),""))</f>
        <v/>
      </c>
      <c r="H264" s="19" t="n"/>
      <c r="I264" s="19" t="n"/>
      <c r="J264" s="15" t="n"/>
    </row>
    <row r="265">
      <c r="A265" s="15" t="n"/>
      <c r="B265" s="35">
        <f>IF(A265="","",IFERROR(LEFT(A265,FIND(" · ",A265)-1),A265))</f>
        <v/>
      </c>
      <c r="C265" s="35">
        <f>IF(B265="","",IFERROR(INDEX(Geral!$C$7:$C$600,MATCH(B265,Geral!$A$7:$A$600,0)),"ID não encontrado"))</f>
        <v/>
      </c>
      <c r="D265" s="35">
        <f>IF(B265="","",IFERROR(INDEX(Geral!$D$7:$D$600,MATCH(B265,Geral!$A$7:$A$600,0))&amp;"",""))</f>
        <v/>
      </c>
      <c r="E265" s="15" t="n"/>
      <c r="F265" s="13" t="n"/>
      <c r="G265" s="36">
        <f>IF(B265="","",IFERROR(INDEX(Geral!$Q$7:$Q$600,MATCH(B265,Geral!$A$7:$A$600,0)),""))</f>
        <v/>
      </c>
      <c r="H265" s="19" t="n"/>
      <c r="I265" s="19" t="n"/>
      <c r="J265" s="15" t="n"/>
    </row>
    <row r="266">
      <c r="A266" s="15" t="n"/>
      <c r="B266" s="35">
        <f>IF(A266="","",IFERROR(LEFT(A266,FIND(" · ",A266)-1),A266))</f>
        <v/>
      </c>
      <c r="C266" s="35">
        <f>IF(B266="","",IFERROR(INDEX(Geral!$C$7:$C$600,MATCH(B266,Geral!$A$7:$A$600,0)),"ID não encontrado"))</f>
        <v/>
      </c>
      <c r="D266" s="35">
        <f>IF(B266="","",IFERROR(INDEX(Geral!$D$7:$D$600,MATCH(B266,Geral!$A$7:$A$600,0))&amp;"",""))</f>
        <v/>
      </c>
      <c r="E266" s="15" t="n"/>
      <c r="F266" s="13" t="n"/>
      <c r="G266" s="36">
        <f>IF(B266="","",IFERROR(INDEX(Geral!$Q$7:$Q$600,MATCH(B266,Geral!$A$7:$A$600,0)),""))</f>
        <v/>
      </c>
      <c r="H266" s="19" t="n"/>
      <c r="I266" s="19" t="n"/>
      <c r="J266" s="15" t="n"/>
    </row>
    <row r="267">
      <c r="A267" s="15" t="n"/>
      <c r="B267" s="35">
        <f>IF(A267="","",IFERROR(LEFT(A267,FIND(" · ",A267)-1),A267))</f>
        <v/>
      </c>
      <c r="C267" s="35">
        <f>IF(B267="","",IFERROR(INDEX(Geral!$C$7:$C$600,MATCH(B267,Geral!$A$7:$A$600,0)),"ID não encontrado"))</f>
        <v/>
      </c>
      <c r="D267" s="35">
        <f>IF(B267="","",IFERROR(INDEX(Geral!$D$7:$D$600,MATCH(B267,Geral!$A$7:$A$600,0))&amp;"",""))</f>
        <v/>
      </c>
      <c r="E267" s="15" t="n"/>
      <c r="F267" s="13" t="n"/>
      <c r="G267" s="36">
        <f>IF(B267="","",IFERROR(INDEX(Geral!$Q$7:$Q$600,MATCH(B267,Geral!$A$7:$A$600,0)),""))</f>
        <v/>
      </c>
      <c r="H267" s="19" t="n"/>
      <c r="I267" s="19" t="n"/>
      <c r="J267" s="15" t="n"/>
    </row>
    <row r="268">
      <c r="A268" s="15" t="n"/>
      <c r="B268" s="35">
        <f>IF(A268="","",IFERROR(LEFT(A268,FIND(" · ",A268)-1),A268))</f>
        <v/>
      </c>
      <c r="C268" s="35">
        <f>IF(B268="","",IFERROR(INDEX(Geral!$C$7:$C$600,MATCH(B268,Geral!$A$7:$A$600,0)),"ID não encontrado"))</f>
        <v/>
      </c>
      <c r="D268" s="35">
        <f>IF(B268="","",IFERROR(INDEX(Geral!$D$7:$D$600,MATCH(B268,Geral!$A$7:$A$600,0))&amp;"",""))</f>
        <v/>
      </c>
      <c r="E268" s="15" t="n"/>
      <c r="F268" s="13" t="n"/>
      <c r="G268" s="36">
        <f>IF(B268="","",IFERROR(INDEX(Geral!$Q$7:$Q$600,MATCH(B268,Geral!$A$7:$A$600,0)),""))</f>
        <v/>
      </c>
      <c r="H268" s="19" t="n"/>
      <c r="I268" s="19" t="n"/>
      <c r="J268" s="15" t="n"/>
    </row>
    <row r="269">
      <c r="A269" s="15" t="n"/>
      <c r="B269" s="35">
        <f>IF(A269="","",IFERROR(LEFT(A269,FIND(" · ",A269)-1),A269))</f>
        <v/>
      </c>
      <c r="C269" s="35">
        <f>IF(B269="","",IFERROR(INDEX(Geral!$C$7:$C$600,MATCH(B269,Geral!$A$7:$A$600,0)),"ID não encontrado"))</f>
        <v/>
      </c>
      <c r="D269" s="35">
        <f>IF(B269="","",IFERROR(INDEX(Geral!$D$7:$D$600,MATCH(B269,Geral!$A$7:$A$600,0))&amp;"",""))</f>
        <v/>
      </c>
      <c r="E269" s="15" t="n"/>
      <c r="F269" s="13" t="n"/>
      <c r="G269" s="36">
        <f>IF(B269="","",IFERROR(INDEX(Geral!$Q$7:$Q$600,MATCH(B269,Geral!$A$7:$A$600,0)),""))</f>
        <v/>
      </c>
      <c r="H269" s="19" t="n"/>
      <c r="I269" s="19" t="n"/>
      <c r="J269" s="15" t="n"/>
    </row>
    <row r="270">
      <c r="A270" s="15" t="n"/>
      <c r="B270" s="35">
        <f>IF(A270="","",IFERROR(LEFT(A270,FIND(" · ",A270)-1),A270))</f>
        <v/>
      </c>
      <c r="C270" s="35">
        <f>IF(B270="","",IFERROR(INDEX(Geral!$C$7:$C$600,MATCH(B270,Geral!$A$7:$A$600,0)),"ID não encontrado"))</f>
        <v/>
      </c>
      <c r="D270" s="35">
        <f>IF(B270="","",IFERROR(INDEX(Geral!$D$7:$D$600,MATCH(B270,Geral!$A$7:$A$600,0))&amp;"",""))</f>
        <v/>
      </c>
      <c r="E270" s="15" t="n"/>
      <c r="F270" s="13" t="n"/>
      <c r="G270" s="36">
        <f>IF(B270="","",IFERROR(INDEX(Geral!$Q$7:$Q$600,MATCH(B270,Geral!$A$7:$A$600,0)),""))</f>
        <v/>
      </c>
      <c r="H270" s="19" t="n"/>
      <c r="I270" s="19" t="n"/>
      <c r="J270" s="15" t="n"/>
    </row>
    <row r="271">
      <c r="A271" s="15" t="n"/>
      <c r="B271" s="35">
        <f>IF(A271="","",IFERROR(LEFT(A271,FIND(" · ",A271)-1),A271))</f>
        <v/>
      </c>
      <c r="C271" s="35">
        <f>IF(B271="","",IFERROR(INDEX(Geral!$C$7:$C$600,MATCH(B271,Geral!$A$7:$A$600,0)),"ID não encontrado"))</f>
        <v/>
      </c>
      <c r="D271" s="35">
        <f>IF(B271="","",IFERROR(INDEX(Geral!$D$7:$D$600,MATCH(B271,Geral!$A$7:$A$600,0))&amp;"",""))</f>
        <v/>
      </c>
      <c r="E271" s="15" t="n"/>
      <c r="F271" s="13" t="n"/>
      <c r="G271" s="36">
        <f>IF(B271="","",IFERROR(INDEX(Geral!$Q$7:$Q$600,MATCH(B271,Geral!$A$7:$A$600,0)),""))</f>
        <v/>
      </c>
      <c r="H271" s="19" t="n"/>
      <c r="I271" s="19" t="n"/>
      <c r="J271" s="15" t="n"/>
    </row>
    <row r="272">
      <c r="A272" s="15" t="n"/>
      <c r="B272" s="35">
        <f>IF(A272="","",IFERROR(LEFT(A272,FIND(" · ",A272)-1),A272))</f>
        <v/>
      </c>
      <c r="C272" s="35">
        <f>IF(B272="","",IFERROR(INDEX(Geral!$C$7:$C$600,MATCH(B272,Geral!$A$7:$A$600,0)),"ID não encontrado"))</f>
        <v/>
      </c>
      <c r="D272" s="35">
        <f>IF(B272="","",IFERROR(INDEX(Geral!$D$7:$D$600,MATCH(B272,Geral!$A$7:$A$600,0))&amp;"",""))</f>
        <v/>
      </c>
      <c r="E272" s="15" t="n"/>
      <c r="F272" s="13" t="n"/>
      <c r="G272" s="36">
        <f>IF(B272="","",IFERROR(INDEX(Geral!$Q$7:$Q$600,MATCH(B272,Geral!$A$7:$A$600,0)),""))</f>
        <v/>
      </c>
      <c r="H272" s="19" t="n"/>
      <c r="I272" s="19" t="n"/>
      <c r="J272" s="15" t="n"/>
    </row>
    <row r="273">
      <c r="A273" s="15" t="n"/>
      <c r="B273" s="35">
        <f>IF(A273="","",IFERROR(LEFT(A273,FIND(" · ",A273)-1),A273))</f>
        <v/>
      </c>
      <c r="C273" s="35">
        <f>IF(B273="","",IFERROR(INDEX(Geral!$C$7:$C$600,MATCH(B273,Geral!$A$7:$A$600,0)),"ID não encontrado"))</f>
        <v/>
      </c>
      <c r="D273" s="35">
        <f>IF(B273="","",IFERROR(INDEX(Geral!$D$7:$D$600,MATCH(B273,Geral!$A$7:$A$600,0))&amp;"",""))</f>
        <v/>
      </c>
      <c r="E273" s="15" t="n"/>
      <c r="F273" s="13" t="n"/>
      <c r="G273" s="36">
        <f>IF(B273="","",IFERROR(INDEX(Geral!$Q$7:$Q$600,MATCH(B273,Geral!$A$7:$A$600,0)),""))</f>
        <v/>
      </c>
      <c r="H273" s="19" t="n"/>
      <c r="I273" s="19" t="n"/>
      <c r="J273" s="15" t="n"/>
    </row>
    <row r="274">
      <c r="A274" s="15" t="n"/>
      <c r="B274" s="35">
        <f>IF(A274="","",IFERROR(LEFT(A274,FIND(" · ",A274)-1),A274))</f>
        <v/>
      </c>
      <c r="C274" s="35">
        <f>IF(B274="","",IFERROR(INDEX(Geral!$C$7:$C$600,MATCH(B274,Geral!$A$7:$A$600,0)),"ID não encontrado"))</f>
        <v/>
      </c>
      <c r="D274" s="35">
        <f>IF(B274="","",IFERROR(INDEX(Geral!$D$7:$D$600,MATCH(B274,Geral!$A$7:$A$600,0))&amp;"",""))</f>
        <v/>
      </c>
      <c r="E274" s="15" t="n"/>
      <c r="F274" s="13" t="n"/>
      <c r="G274" s="36">
        <f>IF(B274="","",IFERROR(INDEX(Geral!$Q$7:$Q$600,MATCH(B274,Geral!$A$7:$A$600,0)),""))</f>
        <v/>
      </c>
      <c r="H274" s="19" t="n"/>
      <c r="I274" s="19" t="n"/>
      <c r="J274" s="15" t="n"/>
    </row>
    <row r="275">
      <c r="A275" s="15" t="n"/>
      <c r="B275" s="35">
        <f>IF(A275="","",IFERROR(LEFT(A275,FIND(" · ",A275)-1),A275))</f>
        <v/>
      </c>
      <c r="C275" s="35">
        <f>IF(B275="","",IFERROR(INDEX(Geral!$C$7:$C$600,MATCH(B275,Geral!$A$7:$A$600,0)),"ID não encontrado"))</f>
        <v/>
      </c>
      <c r="D275" s="35">
        <f>IF(B275="","",IFERROR(INDEX(Geral!$D$7:$D$600,MATCH(B275,Geral!$A$7:$A$600,0))&amp;"",""))</f>
        <v/>
      </c>
      <c r="E275" s="15" t="n"/>
      <c r="F275" s="13" t="n"/>
      <c r="G275" s="36">
        <f>IF(B275="","",IFERROR(INDEX(Geral!$Q$7:$Q$600,MATCH(B275,Geral!$A$7:$A$600,0)),""))</f>
        <v/>
      </c>
      <c r="H275" s="19" t="n"/>
      <c r="I275" s="19" t="n"/>
      <c r="J275" s="15" t="n"/>
    </row>
    <row r="276">
      <c r="A276" s="15" t="n"/>
      <c r="B276" s="35">
        <f>IF(A276="","",IFERROR(LEFT(A276,FIND(" · ",A276)-1),A276))</f>
        <v/>
      </c>
      <c r="C276" s="35">
        <f>IF(B276="","",IFERROR(INDEX(Geral!$C$7:$C$600,MATCH(B276,Geral!$A$7:$A$600,0)),"ID não encontrado"))</f>
        <v/>
      </c>
      <c r="D276" s="35">
        <f>IF(B276="","",IFERROR(INDEX(Geral!$D$7:$D$600,MATCH(B276,Geral!$A$7:$A$600,0))&amp;"",""))</f>
        <v/>
      </c>
      <c r="E276" s="15" t="n"/>
      <c r="F276" s="13" t="n"/>
      <c r="G276" s="36">
        <f>IF(B276="","",IFERROR(INDEX(Geral!$Q$7:$Q$600,MATCH(B276,Geral!$A$7:$A$600,0)),""))</f>
        <v/>
      </c>
      <c r="H276" s="19" t="n"/>
      <c r="I276" s="19" t="n"/>
      <c r="J276" s="15" t="n"/>
    </row>
    <row r="277">
      <c r="A277" s="15" t="n"/>
      <c r="B277" s="35">
        <f>IF(A277="","",IFERROR(LEFT(A277,FIND(" · ",A277)-1),A277))</f>
        <v/>
      </c>
      <c r="C277" s="35">
        <f>IF(B277="","",IFERROR(INDEX(Geral!$C$7:$C$600,MATCH(B277,Geral!$A$7:$A$600,0)),"ID não encontrado"))</f>
        <v/>
      </c>
      <c r="D277" s="35">
        <f>IF(B277="","",IFERROR(INDEX(Geral!$D$7:$D$600,MATCH(B277,Geral!$A$7:$A$600,0))&amp;"",""))</f>
        <v/>
      </c>
      <c r="E277" s="15" t="n"/>
      <c r="F277" s="13" t="n"/>
      <c r="G277" s="36">
        <f>IF(B277="","",IFERROR(INDEX(Geral!$Q$7:$Q$600,MATCH(B277,Geral!$A$7:$A$600,0)),""))</f>
        <v/>
      </c>
      <c r="H277" s="19" t="n"/>
      <c r="I277" s="19" t="n"/>
      <c r="J277" s="15" t="n"/>
    </row>
    <row r="278">
      <c r="A278" s="15" t="n"/>
      <c r="B278" s="35">
        <f>IF(A278="","",IFERROR(LEFT(A278,FIND(" · ",A278)-1),A278))</f>
        <v/>
      </c>
      <c r="C278" s="35">
        <f>IF(B278="","",IFERROR(INDEX(Geral!$C$7:$C$600,MATCH(B278,Geral!$A$7:$A$600,0)),"ID não encontrado"))</f>
        <v/>
      </c>
      <c r="D278" s="35">
        <f>IF(B278="","",IFERROR(INDEX(Geral!$D$7:$D$600,MATCH(B278,Geral!$A$7:$A$600,0))&amp;"",""))</f>
        <v/>
      </c>
      <c r="E278" s="15" t="n"/>
      <c r="F278" s="13" t="n"/>
      <c r="G278" s="36">
        <f>IF(B278="","",IFERROR(INDEX(Geral!$Q$7:$Q$600,MATCH(B278,Geral!$A$7:$A$600,0)),""))</f>
        <v/>
      </c>
      <c r="H278" s="19" t="n"/>
      <c r="I278" s="19" t="n"/>
      <c r="J278" s="15" t="n"/>
    </row>
    <row r="279">
      <c r="A279" s="15" t="n"/>
      <c r="B279" s="35">
        <f>IF(A279="","",IFERROR(LEFT(A279,FIND(" · ",A279)-1),A279))</f>
        <v/>
      </c>
      <c r="C279" s="35">
        <f>IF(B279="","",IFERROR(INDEX(Geral!$C$7:$C$600,MATCH(B279,Geral!$A$7:$A$600,0)),"ID não encontrado"))</f>
        <v/>
      </c>
      <c r="D279" s="35">
        <f>IF(B279="","",IFERROR(INDEX(Geral!$D$7:$D$600,MATCH(B279,Geral!$A$7:$A$600,0))&amp;"",""))</f>
        <v/>
      </c>
      <c r="E279" s="15" t="n"/>
      <c r="F279" s="13" t="n"/>
      <c r="G279" s="36">
        <f>IF(B279="","",IFERROR(INDEX(Geral!$Q$7:$Q$600,MATCH(B279,Geral!$A$7:$A$600,0)),""))</f>
        <v/>
      </c>
      <c r="H279" s="19" t="n"/>
      <c r="I279" s="19" t="n"/>
      <c r="J279" s="15" t="n"/>
    </row>
    <row r="280">
      <c r="A280" s="15" t="n"/>
      <c r="B280" s="35">
        <f>IF(A280="","",IFERROR(LEFT(A280,FIND(" · ",A280)-1),A280))</f>
        <v/>
      </c>
      <c r="C280" s="35">
        <f>IF(B280="","",IFERROR(INDEX(Geral!$C$7:$C$600,MATCH(B280,Geral!$A$7:$A$600,0)),"ID não encontrado"))</f>
        <v/>
      </c>
      <c r="D280" s="35">
        <f>IF(B280="","",IFERROR(INDEX(Geral!$D$7:$D$600,MATCH(B280,Geral!$A$7:$A$600,0))&amp;"",""))</f>
        <v/>
      </c>
      <c r="E280" s="15" t="n"/>
      <c r="F280" s="13" t="n"/>
      <c r="G280" s="36">
        <f>IF(B280="","",IFERROR(INDEX(Geral!$Q$7:$Q$600,MATCH(B280,Geral!$A$7:$A$600,0)),""))</f>
        <v/>
      </c>
      <c r="H280" s="19" t="n"/>
      <c r="I280" s="19" t="n"/>
      <c r="J280" s="15" t="n"/>
    </row>
    <row r="281">
      <c r="A281" s="15" t="n"/>
      <c r="B281" s="35">
        <f>IF(A281="","",IFERROR(LEFT(A281,FIND(" · ",A281)-1),A281))</f>
        <v/>
      </c>
      <c r="C281" s="35">
        <f>IF(B281="","",IFERROR(INDEX(Geral!$C$7:$C$600,MATCH(B281,Geral!$A$7:$A$600,0)),"ID não encontrado"))</f>
        <v/>
      </c>
      <c r="D281" s="35">
        <f>IF(B281="","",IFERROR(INDEX(Geral!$D$7:$D$600,MATCH(B281,Geral!$A$7:$A$600,0))&amp;"",""))</f>
        <v/>
      </c>
      <c r="E281" s="15" t="n"/>
      <c r="F281" s="13" t="n"/>
      <c r="G281" s="36">
        <f>IF(B281="","",IFERROR(INDEX(Geral!$Q$7:$Q$600,MATCH(B281,Geral!$A$7:$A$600,0)),""))</f>
        <v/>
      </c>
      <c r="H281" s="19" t="n"/>
      <c r="I281" s="19" t="n"/>
      <c r="J281" s="15" t="n"/>
    </row>
    <row r="282">
      <c r="A282" s="15" t="n"/>
      <c r="B282" s="35">
        <f>IF(A282="","",IFERROR(LEFT(A282,FIND(" · ",A282)-1),A282))</f>
        <v/>
      </c>
      <c r="C282" s="35">
        <f>IF(B282="","",IFERROR(INDEX(Geral!$C$7:$C$600,MATCH(B282,Geral!$A$7:$A$600,0)),"ID não encontrado"))</f>
        <v/>
      </c>
      <c r="D282" s="35">
        <f>IF(B282="","",IFERROR(INDEX(Geral!$D$7:$D$600,MATCH(B282,Geral!$A$7:$A$600,0))&amp;"",""))</f>
        <v/>
      </c>
      <c r="E282" s="15" t="n"/>
      <c r="F282" s="13" t="n"/>
      <c r="G282" s="36">
        <f>IF(B282="","",IFERROR(INDEX(Geral!$Q$7:$Q$600,MATCH(B282,Geral!$A$7:$A$600,0)),""))</f>
        <v/>
      </c>
      <c r="H282" s="19" t="n"/>
      <c r="I282" s="19" t="n"/>
      <c r="J282" s="15" t="n"/>
    </row>
    <row r="283">
      <c r="A283" s="15" t="n"/>
      <c r="B283" s="35">
        <f>IF(A283="","",IFERROR(LEFT(A283,FIND(" · ",A283)-1),A283))</f>
        <v/>
      </c>
      <c r="C283" s="35">
        <f>IF(B283="","",IFERROR(INDEX(Geral!$C$7:$C$600,MATCH(B283,Geral!$A$7:$A$600,0)),"ID não encontrado"))</f>
        <v/>
      </c>
      <c r="D283" s="35">
        <f>IF(B283="","",IFERROR(INDEX(Geral!$D$7:$D$600,MATCH(B283,Geral!$A$7:$A$600,0))&amp;"",""))</f>
        <v/>
      </c>
      <c r="E283" s="15" t="n"/>
      <c r="F283" s="13" t="n"/>
      <c r="G283" s="36">
        <f>IF(B283="","",IFERROR(INDEX(Geral!$Q$7:$Q$600,MATCH(B283,Geral!$A$7:$A$600,0)),""))</f>
        <v/>
      </c>
      <c r="H283" s="19" t="n"/>
      <c r="I283" s="19" t="n"/>
      <c r="J283" s="15" t="n"/>
    </row>
    <row r="284">
      <c r="A284" s="15" t="n"/>
      <c r="B284" s="35">
        <f>IF(A284="","",IFERROR(LEFT(A284,FIND(" · ",A284)-1),A284))</f>
        <v/>
      </c>
      <c r="C284" s="35">
        <f>IF(B284="","",IFERROR(INDEX(Geral!$C$7:$C$600,MATCH(B284,Geral!$A$7:$A$600,0)),"ID não encontrado"))</f>
        <v/>
      </c>
      <c r="D284" s="35">
        <f>IF(B284="","",IFERROR(INDEX(Geral!$D$7:$D$600,MATCH(B284,Geral!$A$7:$A$600,0))&amp;"",""))</f>
        <v/>
      </c>
      <c r="E284" s="15" t="n"/>
      <c r="F284" s="13" t="n"/>
      <c r="G284" s="36">
        <f>IF(B284="","",IFERROR(INDEX(Geral!$Q$7:$Q$600,MATCH(B284,Geral!$A$7:$A$600,0)),""))</f>
        <v/>
      </c>
      <c r="H284" s="19" t="n"/>
      <c r="I284" s="19" t="n"/>
      <c r="J284" s="15" t="n"/>
    </row>
    <row r="285">
      <c r="A285" s="15" t="n"/>
      <c r="B285" s="35">
        <f>IF(A285="","",IFERROR(LEFT(A285,FIND(" · ",A285)-1),A285))</f>
        <v/>
      </c>
      <c r="C285" s="35">
        <f>IF(B285="","",IFERROR(INDEX(Geral!$C$7:$C$600,MATCH(B285,Geral!$A$7:$A$600,0)),"ID não encontrado"))</f>
        <v/>
      </c>
      <c r="D285" s="35">
        <f>IF(B285="","",IFERROR(INDEX(Geral!$D$7:$D$600,MATCH(B285,Geral!$A$7:$A$600,0))&amp;"",""))</f>
        <v/>
      </c>
      <c r="E285" s="15" t="n"/>
      <c r="F285" s="13" t="n"/>
      <c r="G285" s="36">
        <f>IF(B285="","",IFERROR(INDEX(Geral!$Q$7:$Q$600,MATCH(B285,Geral!$A$7:$A$600,0)),""))</f>
        <v/>
      </c>
      <c r="H285" s="19" t="n"/>
      <c r="I285" s="19" t="n"/>
      <c r="J285" s="15" t="n"/>
    </row>
    <row r="286">
      <c r="A286" s="15" t="n"/>
      <c r="B286" s="35">
        <f>IF(A286="","",IFERROR(LEFT(A286,FIND(" · ",A286)-1),A286))</f>
        <v/>
      </c>
      <c r="C286" s="35">
        <f>IF(B286="","",IFERROR(INDEX(Geral!$C$7:$C$600,MATCH(B286,Geral!$A$7:$A$600,0)),"ID não encontrado"))</f>
        <v/>
      </c>
      <c r="D286" s="35">
        <f>IF(B286="","",IFERROR(INDEX(Geral!$D$7:$D$600,MATCH(B286,Geral!$A$7:$A$600,0))&amp;"",""))</f>
        <v/>
      </c>
      <c r="E286" s="15" t="n"/>
      <c r="F286" s="13" t="n"/>
      <c r="G286" s="36">
        <f>IF(B286="","",IFERROR(INDEX(Geral!$Q$7:$Q$600,MATCH(B286,Geral!$A$7:$A$600,0)),""))</f>
        <v/>
      </c>
      <c r="H286" s="19" t="n"/>
      <c r="I286" s="19" t="n"/>
      <c r="J286" s="15" t="n"/>
    </row>
    <row r="287">
      <c r="A287" s="15" t="n"/>
      <c r="B287" s="35">
        <f>IF(A287="","",IFERROR(LEFT(A287,FIND(" · ",A287)-1),A287))</f>
        <v/>
      </c>
      <c r="C287" s="35">
        <f>IF(B287="","",IFERROR(INDEX(Geral!$C$7:$C$600,MATCH(B287,Geral!$A$7:$A$600,0)),"ID não encontrado"))</f>
        <v/>
      </c>
      <c r="D287" s="35">
        <f>IF(B287="","",IFERROR(INDEX(Geral!$D$7:$D$600,MATCH(B287,Geral!$A$7:$A$600,0))&amp;"",""))</f>
        <v/>
      </c>
      <c r="E287" s="15" t="n"/>
      <c r="F287" s="13" t="n"/>
      <c r="G287" s="36">
        <f>IF(B287="","",IFERROR(INDEX(Geral!$Q$7:$Q$600,MATCH(B287,Geral!$A$7:$A$600,0)),""))</f>
        <v/>
      </c>
      <c r="H287" s="19" t="n"/>
      <c r="I287" s="19" t="n"/>
      <c r="J287" s="15" t="n"/>
    </row>
    <row r="288">
      <c r="A288" s="15" t="n"/>
      <c r="B288" s="35">
        <f>IF(A288="","",IFERROR(LEFT(A288,FIND(" · ",A288)-1),A288))</f>
        <v/>
      </c>
      <c r="C288" s="35">
        <f>IF(B288="","",IFERROR(INDEX(Geral!$C$7:$C$600,MATCH(B288,Geral!$A$7:$A$600,0)),"ID não encontrado"))</f>
        <v/>
      </c>
      <c r="D288" s="35">
        <f>IF(B288="","",IFERROR(INDEX(Geral!$D$7:$D$600,MATCH(B288,Geral!$A$7:$A$600,0))&amp;"",""))</f>
        <v/>
      </c>
      <c r="E288" s="15" t="n"/>
      <c r="F288" s="13" t="n"/>
      <c r="G288" s="36">
        <f>IF(B288="","",IFERROR(INDEX(Geral!$Q$7:$Q$600,MATCH(B288,Geral!$A$7:$A$600,0)),""))</f>
        <v/>
      </c>
      <c r="H288" s="19" t="n"/>
      <c r="I288" s="19" t="n"/>
      <c r="J288" s="15" t="n"/>
    </row>
    <row r="289">
      <c r="A289" s="15" t="n"/>
      <c r="B289" s="35">
        <f>IF(A289="","",IFERROR(LEFT(A289,FIND(" · ",A289)-1),A289))</f>
        <v/>
      </c>
      <c r="C289" s="35">
        <f>IF(B289="","",IFERROR(INDEX(Geral!$C$7:$C$600,MATCH(B289,Geral!$A$7:$A$600,0)),"ID não encontrado"))</f>
        <v/>
      </c>
      <c r="D289" s="35">
        <f>IF(B289="","",IFERROR(INDEX(Geral!$D$7:$D$600,MATCH(B289,Geral!$A$7:$A$600,0))&amp;"",""))</f>
        <v/>
      </c>
      <c r="E289" s="15" t="n"/>
      <c r="F289" s="13" t="n"/>
      <c r="G289" s="36">
        <f>IF(B289="","",IFERROR(INDEX(Geral!$Q$7:$Q$600,MATCH(B289,Geral!$A$7:$A$600,0)),""))</f>
        <v/>
      </c>
      <c r="H289" s="19" t="n"/>
      <c r="I289" s="19" t="n"/>
      <c r="J289" s="15" t="n"/>
    </row>
    <row r="290">
      <c r="A290" s="15" t="n"/>
      <c r="B290" s="35">
        <f>IF(A290="","",IFERROR(LEFT(A290,FIND(" · ",A290)-1),A290))</f>
        <v/>
      </c>
      <c r="C290" s="35">
        <f>IF(B290="","",IFERROR(INDEX(Geral!$C$7:$C$600,MATCH(B290,Geral!$A$7:$A$600,0)),"ID não encontrado"))</f>
        <v/>
      </c>
      <c r="D290" s="35">
        <f>IF(B290="","",IFERROR(INDEX(Geral!$D$7:$D$600,MATCH(B290,Geral!$A$7:$A$600,0))&amp;"",""))</f>
        <v/>
      </c>
      <c r="E290" s="15" t="n"/>
      <c r="F290" s="13" t="n"/>
      <c r="G290" s="36">
        <f>IF(B290="","",IFERROR(INDEX(Geral!$Q$7:$Q$600,MATCH(B290,Geral!$A$7:$A$600,0)),""))</f>
        <v/>
      </c>
      <c r="H290" s="19" t="n"/>
      <c r="I290" s="19" t="n"/>
      <c r="J290" s="15" t="n"/>
    </row>
    <row r="291">
      <c r="A291" s="15" t="n"/>
      <c r="B291" s="35">
        <f>IF(A291="","",IFERROR(LEFT(A291,FIND(" · ",A291)-1),A291))</f>
        <v/>
      </c>
      <c r="C291" s="35">
        <f>IF(B291="","",IFERROR(INDEX(Geral!$C$7:$C$600,MATCH(B291,Geral!$A$7:$A$600,0)),"ID não encontrado"))</f>
        <v/>
      </c>
      <c r="D291" s="35">
        <f>IF(B291="","",IFERROR(INDEX(Geral!$D$7:$D$600,MATCH(B291,Geral!$A$7:$A$600,0))&amp;"",""))</f>
        <v/>
      </c>
      <c r="E291" s="15" t="n"/>
      <c r="F291" s="13" t="n"/>
      <c r="G291" s="36">
        <f>IF(B291="","",IFERROR(INDEX(Geral!$Q$7:$Q$600,MATCH(B291,Geral!$A$7:$A$600,0)),""))</f>
        <v/>
      </c>
      <c r="H291" s="19" t="n"/>
      <c r="I291" s="19" t="n"/>
      <c r="J291" s="15" t="n"/>
    </row>
    <row r="292">
      <c r="A292" s="15" t="n"/>
      <c r="B292" s="35">
        <f>IF(A292="","",IFERROR(LEFT(A292,FIND(" · ",A292)-1),A292))</f>
        <v/>
      </c>
      <c r="C292" s="35">
        <f>IF(B292="","",IFERROR(INDEX(Geral!$C$7:$C$600,MATCH(B292,Geral!$A$7:$A$600,0)),"ID não encontrado"))</f>
        <v/>
      </c>
      <c r="D292" s="35">
        <f>IF(B292="","",IFERROR(INDEX(Geral!$D$7:$D$600,MATCH(B292,Geral!$A$7:$A$600,0))&amp;"",""))</f>
        <v/>
      </c>
      <c r="E292" s="15" t="n"/>
      <c r="F292" s="13" t="n"/>
      <c r="G292" s="36">
        <f>IF(B292="","",IFERROR(INDEX(Geral!$Q$7:$Q$600,MATCH(B292,Geral!$A$7:$A$600,0)),""))</f>
        <v/>
      </c>
      <c r="H292" s="19" t="n"/>
      <c r="I292" s="19" t="n"/>
      <c r="J292" s="15" t="n"/>
    </row>
    <row r="293">
      <c r="A293" s="15" t="n"/>
      <c r="B293" s="35">
        <f>IF(A293="","",IFERROR(LEFT(A293,FIND(" · ",A293)-1),A293))</f>
        <v/>
      </c>
      <c r="C293" s="35">
        <f>IF(B293="","",IFERROR(INDEX(Geral!$C$7:$C$600,MATCH(B293,Geral!$A$7:$A$600,0)),"ID não encontrado"))</f>
        <v/>
      </c>
      <c r="D293" s="35">
        <f>IF(B293="","",IFERROR(INDEX(Geral!$D$7:$D$600,MATCH(B293,Geral!$A$7:$A$600,0))&amp;"",""))</f>
        <v/>
      </c>
      <c r="E293" s="15" t="n"/>
      <c r="F293" s="13" t="n"/>
      <c r="G293" s="36">
        <f>IF(B293="","",IFERROR(INDEX(Geral!$Q$7:$Q$600,MATCH(B293,Geral!$A$7:$A$600,0)),""))</f>
        <v/>
      </c>
      <c r="H293" s="19" t="n"/>
      <c r="I293" s="19" t="n"/>
      <c r="J293" s="15" t="n"/>
    </row>
    <row r="294">
      <c r="A294" s="15" t="n"/>
      <c r="B294" s="35">
        <f>IF(A294="","",IFERROR(LEFT(A294,FIND(" · ",A294)-1),A294))</f>
        <v/>
      </c>
      <c r="C294" s="35">
        <f>IF(B294="","",IFERROR(INDEX(Geral!$C$7:$C$600,MATCH(B294,Geral!$A$7:$A$600,0)),"ID não encontrado"))</f>
        <v/>
      </c>
      <c r="D294" s="35">
        <f>IF(B294="","",IFERROR(INDEX(Geral!$D$7:$D$600,MATCH(B294,Geral!$A$7:$A$600,0))&amp;"",""))</f>
        <v/>
      </c>
      <c r="E294" s="15" t="n"/>
      <c r="F294" s="13" t="n"/>
      <c r="G294" s="36">
        <f>IF(B294="","",IFERROR(INDEX(Geral!$Q$7:$Q$600,MATCH(B294,Geral!$A$7:$A$600,0)),""))</f>
        <v/>
      </c>
      <c r="H294" s="19" t="n"/>
      <c r="I294" s="19" t="n"/>
      <c r="J294" s="15" t="n"/>
    </row>
    <row r="295">
      <c r="A295" s="15" t="n"/>
      <c r="B295" s="35">
        <f>IF(A295="","",IFERROR(LEFT(A295,FIND(" · ",A295)-1),A295))</f>
        <v/>
      </c>
      <c r="C295" s="35">
        <f>IF(B295="","",IFERROR(INDEX(Geral!$C$7:$C$600,MATCH(B295,Geral!$A$7:$A$600,0)),"ID não encontrado"))</f>
        <v/>
      </c>
      <c r="D295" s="35">
        <f>IF(B295="","",IFERROR(INDEX(Geral!$D$7:$D$600,MATCH(B295,Geral!$A$7:$A$600,0))&amp;"",""))</f>
        <v/>
      </c>
      <c r="E295" s="15" t="n"/>
      <c r="F295" s="13" t="n"/>
      <c r="G295" s="36">
        <f>IF(B295="","",IFERROR(INDEX(Geral!$Q$7:$Q$600,MATCH(B295,Geral!$A$7:$A$600,0)),""))</f>
        <v/>
      </c>
      <c r="H295" s="19" t="n"/>
      <c r="I295" s="19" t="n"/>
      <c r="J295" s="15" t="n"/>
    </row>
    <row r="296">
      <c r="A296" s="15" t="n"/>
      <c r="B296" s="35">
        <f>IF(A296="","",IFERROR(LEFT(A296,FIND(" · ",A296)-1),A296))</f>
        <v/>
      </c>
      <c r="C296" s="35">
        <f>IF(B296="","",IFERROR(INDEX(Geral!$C$7:$C$600,MATCH(B296,Geral!$A$7:$A$600,0)),"ID não encontrado"))</f>
        <v/>
      </c>
      <c r="D296" s="35">
        <f>IF(B296="","",IFERROR(INDEX(Geral!$D$7:$D$600,MATCH(B296,Geral!$A$7:$A$600,0))&amp;"",""))</f>
        <v/>
      </c>
      <c r="E296" s="15" t="n"/>
      <c r="F296" s="13" t="n"/>
      <c r="G296" s="36">
        <f>IF(B296="","",IFERROR(INDEX(Geral!$Q$7:$Q$600,MATCH(B296,Geral!$A$7:$A$600,0)),""))</f>
        <v/>
      </c>
      <c r="H296" s="19" t="n"/>
      <c r="I296" s="19" t="n"/>
      <c r="J296" s="15" t="n"/>
    </row>
    <row r="297">
      <c r="A297" s="15" t="n"/>
      <c r="B297" s="35">
        <f>IF(A297="","",IFERROR(LEFT(A297,FIND(" · ",A297)-1),A297))</f>
        <v/>
      </c>
      <c r="C297" s="35">
        <f>IF(B297="","",IFERROR(INDEX(Geral!$C$7:$C$600,MATCH(B297,Geral!$A$7:$A$600,0)),"ID não encontrado"))</f>
        <v/>
      </c>
      <c r="D297" s="35">
        <f>IF(B297="","",IFERROR(INDEX(Geral!$D$7:$D$600,MATCH(B297,Geral!$A$7:$A$600,0))&amp;"",""))</f>
        <v/>
      </c>
      <c r="E297" s="15" t="n"/>
      <c r="F297" s="13" t="n"/>
      <c r="G297" s="36">
        <f>IF(B297="","",IFERROR(INDEX(Geral!$Q$7:$Q$600,MATCH(B297,Geral!$A$7:$A$600,0)),""))</f>
        <v/>
      </c>
      <c r="H297" s="19" t="n"/>
      <c r="I297" s="19" t="n"/>
      <c r="J297" s="15" t="n"/>
    </row>
    <row r="298">
      <c r="A298" s="15" t="n"/>
      <c r="B298" s="35">
        <f>IF(A298="","",IFERROR(LEFT(A298,FIND(" · ",A298)-1),A298))</f>
        <v/>
      </c>
      <c r="C298" s="35">
        <f>IF(B298="","",IFERROR(INDEX(Geral!$C$7:$C$600,MATCH(B298,Geral!$A$7:$A$600,0)),"ID não encontrado"))</f>
        <v/>
      </c>
      <c r="D298" s="35">
        <f>IF(B298="","",IFERROR(INDEX(Geral!$D$7:$D$600,MATCH(B298,Geral!$A$7:$A$600,0))&amp;"",""))</f>
        <v/>
      </c>
      <c r="E298" s="15" t="n"/>
      <c r="F298" s="13" t="n"/>
      <c r="G298" s="36">
        <f>IF(B298="","",IFERROR(INDEX(Geral!$Q$7:$Q$600,MATCH(B298,Geral!$A$7:$A$600,0)),""))</f>
        <v/>
      </c>
      <c r="H298" s="19" t="n"/>
      <c r="I298" s="19" t="n"/>
      <c r="J298" s="15" t="n"/>
    </row>
    <row r="299">
      <c r="A299" s="15" t="n"/>
      <c r="B299" s="35">
        <f>IF(A299="","",IFERROR(LEFT(A299,FIND(" · ",A299)-1),A299))</f>
        <v/>
      </c>
      <c r="C299" s="35">
        <f>IF(B299="","",IFERROR(INDEX(Geral!$C$7:$C$600,MATCH(B299,Geral!$A$7:$A$600,0)),"ID não encontrado"))</f>
        <v/>
      </c>
      <c r="D299" s="35">
        <f>IF(B299="","",IFERROR(INDEX(Geral!$D$7:$D$600,MATCH(B299,Geral!$A$7:$A$600,0))&amp;"",""))</f>
        <v/>
      </c>
      <c r="E299" s="15" t="n"/>
      <c r="F299" s="13" t="n"/>
      <c r="G299" s="36">
        <f>IF(B299="","",IFERROR(INDEX(Geral!$Q$7:$Q$600,MATCH(B299,Geral!$A$7:$A$600,0)),""))</f>
        <v/>
      </c>
      <c r="H299" s="19" t="n"/>
      <c r="I299" s="19" t="n"/>
      <c r="J299" s="15" t="n"/>
    </row>
    <row r="300">
      <c r="A300" s="15" t="n"/>
      <c r="B300" s="35">
        <f>IF(A300="","",IFERROR(LEFT(A300,FIND(" · ",A300)-1),A300))</f>
        <v/>
      </c>
      <c r="C300" s="35">
        <f>IF(B300="","",IFERROR(INDEX(Geral!$C$7:$C$600,MATCH(B300,Geral!$A$7:$A$600,0)),"ID não encontrado"))</f>
        <v/>
      </c>
      <c r="D300" s="35">
        <f>IF(B300="","",IFERROR(INDEX(Geral!$D$7:$D$600,MATCH(B300,Geral!$A$7:$A$600,0))&amp;"",""))</f>
        <v/>
      </c>
      <c r="E300" s="15" t="n"/>
      <c r="F300" s="13" t="n"/>
      <c r="G300" s="36">
        <f>IF(B300="","",IFERROR(INDEX(Geral!$Q$7:$Q$600,MATCH(B300,Geral!$A$7:$A$600,0)),""))</f>
        <v/>
      </c>
      <c r="H300" s="19" t="n"/>
      <c r="I300" s="19" t="n"/>
      <c r="J300" s="15" t="n"/>
    </row>
  </sheetData>
  <autoFilter ref="A5:J300"/>
  <mergeCells count="1">
    <mergeCell ref="A2:J3"/>
  </mergeCells>
  <conditionalFormatting sqref="F6:F300">
    <cfRule type="expression" priority="1" dxfId="1">
      <formula>$F6="Concluído"</formula>
    </cfRule>
    <cfRule type="expression" priority="2" dxfId="2">
      <formula>$F6="Em andamento"</formula>
    </cfRule>
    <cfRule type="expression" priority="3" dxfId="3">
      <formula>$F6="Pausado"</formula>
    </cfRule>
    <cfRule type="expression" priority="4" dxfId="4">
      <formula>$F6="Não iniciado"</formula>
    </cfRule>
  </conditionalFormatting>
  <conditionalFormatting sqref="I6:I300">
    <cfRule type="expression" priority="5" dxfId="6">
      <formula>AND(ISNUMBER($I6),$I6&lt;TODAY(),$F6&lt;&gt;"Concluído")</formula>
    </cfRule>
  </conditionalFormatting>
  <conditionalFormatting sqref="C6:C300">
    <cfRule type="expression" priority="6" dxfId="7">
      <formula>$C6="ID não encontrado"</formula>
    </cfRule>
  </conditionalFormatting>
  <dataValidations count="3">
    <dataValidation sqref="A6:A300" showDropDown="0" showInputMessage="0" showErrorMessage="1" allowBlank="1" error="Escolha uma atividade da lista (ela vem da aba Geral)." type="list">
      <formula1>=lst_Atividades</formula1>
    </dataValidation>
    <dataValidation sqref="F6:F300" showDropDown="0" showInputMessage="0" showErrorMessage="0" allowBlank="1" type="list">
      <formula1>=lst_Status</formula1>
    </dataValidation>
    <dataValidation sqref="H6:I300" showDropDown="0" showInputMessage="0" showErrorMessage="1" allowBlank="1" error="Digite uma data válida (dd/mm/aaaa)." type="date" operator="greaterThan">
      <formula1>36526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5" customWidth="1" min="3" max="3"/>
    <col width="90" customWidth="1" min="4" max="4"/>
    <col hidden="1" width="13" customWidth="1" min="6" max="6"/>
    <col hidden="1" width="13" customWidth="1" min="7" max="7"/>
  </cols>
  <sheetData>
    <row r="1">
      <c r="A1" s="37" t="inlineStr">
        <is>
          <t>Listas usadas nas listas suspensas. Edite apenas as colunas A a C (texto azul).</t>
        </is>
      </c>
    </row>
    <row r="3">
      <c r="A3" s="38" t="inlineStr">
        <is>
          <t>Equipe (nomes padronizados)</t>
        </is>
      </c>
      <c r="B3" s="38" t="inlineStr">
        <is>
          <t>Status</t>
        </is>
      </c>
      <c r="C3" s="38" t="inlineStr">
        <is>
          <t>Frentes</t>
        </is>
      </c>
      <c r="D3" s="38" t="inlineStr">
        <is>
          <t>Atividades da Geral (automático: ID · descrição)</t>
        </is>
      </c>
    </row>
    <row r="4">
      <c r="A4" s="39" t="inlineStr">
        <is>
          <t>Clarice</t>
        </is>
      </c>
      <c r="B4" s="39" t="inlineStr">
        <is>
          <t>Não iniciado</t>
        </is>
      </c>
      <c r="C4" s="39" t="inlineStr">
        <is>
          <t>1. Elaboração do artigo sobre a caixa de ferramentas</t>
        </is>
      </c>
      <c r="D4" s="40">
        <f>IFERROR(INDEX($G$4:$G$597,MATCH(1,$F$4:$F$597,0)),"")</f>
        <v/>
      </c>
      <c r="F4">
        <f>IF(Geral!$A$7="","",COUNTIF(Geral!$A$7:$A$7,"?*"))</f>
        <v/>
      </c>
      <c r="G4">
        <f>IF(Geral!$A$7="","",Geral!$A$7&amp;" · "&amp;Geral!$E$7)</f>
        <v/>
      </c>
    </row>
    <row r="5">
      <c r="A5" s="39" t="inlineStr">
        <is>
          <t>Luisa</t>
        </is>
      </c>
      <c r="B5" s="39" t="inlineStr">
        <is>
          <t>Em andamento</t>
        </is>
      </c>
      <c r="C5" s="39" t="inlineStr">
        <is>
          <t>2. Aplicação da EC</t>
        </is>
      </c>
      <c r="D5" s="40">
        <f>IFERROR(INDEX($G$4:$G$597,MATCH(2,$F$4:$F$597,0)),"")</f>
        <v/>
      </c>
      <c r="F5">
        <f>IF(Geral!$A$8="","",COUNTIF(Geral!$A$7:$A$8,"?*"))</f>
        <v/>
      </c>
      <c r="G5">
        <f>IF(Geral!$A$8="","",Geral!$A$8&amp;" · "&amp;Geral!$E$8)</f>
        <v/>
      </c>
    </row>
    <row r="6">
      <c r="A6" s="39" t="inlineStr">
        <is>
          <t>Lui</t>
        </is>
      </c>
      <c r="B6" s="39" t="inlineStr">
        <is>
          <t>Pausado</t>
        </is>
      </c>
      <c r="C6" s="39" t="inlineStr">
        <is>
          <t>3. Aplicação da DM</t>
        </is>
      </c>
      <c r="D6" s="40">
        <f>IFERROR(INDEX($G$4:$G$597,MATCH(3,$F$4:$F$597,0)),"")</f>
        <v/>
      </c>
      <c r="F6">
        <f>IF(Geral!$A$9="","",COUNTIF(Geral!$A$7:$A$9,"?*"))</f>
        <v/>
      </c>
      <c r="G6">
        <f>IF(Geral!$A$9="","",Geral!$A$9&amp;" · "&amp;Geral!$E$9)</f>
        <v/>
      </c>
    </row>
    <row r="7">
      <c r="A7" s="39" t="inlineStr">
        <is>
          <t>Thaís</t>
        </is>
      </c>
      <c r="B7" s="39" t="inlineStr">
        <is>
          <t>Concluído</t>
        </is>
      </c>
      <c r="C7" s="39" t="inlineStr">
        <is>
          <t>Aplicação da SBM</t>
        </is>
      </c>
      <c r="D7" s="40">
        <f>IFERROR(INDEX($G$4:$G$597,MATCH(4,$F$4:$F$597,0)),"")</f>
        <v/>
      </c>
      <c r="F7">
        <f>IF(Geral!$A$10="","",COUNTIF(Geral!$A$7:$A$10,"?*"))</f>
        <v/>
      </c>
      <c r="G7">
        <f>IF(Geral!$A$10="","",Geral!$A$10&amp;" · "&amp;Geral!$E$10)</f>
        <v/>
      </c>
    </row>
    <row r="8">
      <c r="A8" s="39" t="inlineStr">
        <is>
          <t>Daniel</t>
        </is>
      </c>
      <c r="C8" s="39" t="inlineStr">
        <is>
          <t>Relatório operacionalização das métricas (produto 3)</t>
        </is>
      </c>
      <c r="D8" s="40">
        <f>IFERROR(INDEX($G$4:$G$597,MATCH(5,$F$4:$F$597,0)),"")</f>
        <v/>
      </c>
      <c r="F8">
        <f>IF(Geral!$A$11="","",COUNTIF(Geral!$A$7:$A$11,"?*"))</f>
        <v/>
      </c>
      <c r="G8">
        <f>IF(Geral!$A$11="","",Geral!$A$11&amp;" · "&amp;Geral!$E$11)</f>
        <v/>
      </c>
    </row>
    <row r="9">
      <c r="A9" s="39" t="inlineStr">
        <is>
          <t>Fernando</t>
        </is>
      </c>
      <c r="C9" s="39" t="inlineStr">
        <is>
          <t>Relatório aplicação das métricas (produto 4)</t>
        </is>
      </c>
      <c r="D9" s="40">
        <f>IFERROR(INDEX($G$4:$G$597,MATCH(6,$F$4:$F$597,0)),"")</f>
        <v/>
      </c>
      <c r="F9">
        <f>IF(Geral!$A$12="","",COUNTIF(Geral!$A$7:$A$12,"?*"))</f>
        <v/>
      </c>
      <c r="G9">
        <f>IF(Geral!$A$12="","",Geral!$A$12&amp;" · "&amp;Geral!$E$12)</f>
        <v/>
      </c>
    </row>
    <row r="10">
      <c r="A10" s="39" t="inlineStr">
        <is>
          <t>Stephanie</t>
        </is>
      </c>
      <c r="D10" s="40">
        <f>IFERROR(INDEX($G$4:$G$597,MATCH(7,$F$4:$F$597,0)),"")</f>
        <v/>
      </c>
      <c r="F10">
        <f>IF(Geral!$A$13="","",COUNTIF(Geral!$A$7:$A$13,"?*"))</f>
        <v/>
      </c>
      <c r="G10">
        <f>IF(Geral!$A$13="","",Geral!$A$13&amp;" · "&amp;Geral!$E$13)</f>
        <v/>
      </c>
    </row>
    <row r="11">
      <c r="A11" s="39" t="inlineStr">
        <is>
          <t>Fox</t>
        </is>
      </c>
      <c r="D11" s="40">
        <f>IFERROR(INDEX($G$4:$G$597,MATCH(8,$F$4:$F$597,0)),"")</f>
        <v/>
      </c>
      <c r="F11">
        <f>IF(Geral!$A$14="","",COUNTIF(Geral!$A$7:$A$14,"?*"))</f>
        <v/>
      </c>
      <c r="G11">
        <f>IF(Geral!$A$14="","",Geral!$A$14&amp;" · "&amp;Geral!$E$14)</f>
        <v/>
      </c>
    </row>
    <row r="12">
      <c r="A12" s="39" t="inlineStr">
        <is>
          <t>Bruna</t>
        </is>
      </c>
      <c r="D12" s="40">
        <f>IFERROR(INDEX($G$4:$G$597,MATCH(9,$F$4:$F$597,0)),"")</f>
        <v/>
      </c>
      <c r="F12">
        <f>IF(Geral!$A$15="","",COUNTIF(Geral!$A$7:$A$15,"?*"))</f>
        <v/>
      </c>
      <c r="G12">
        <f>IF(Geral!$A$15="","",Geral!$A$15&amp;" · "&amp;Geral!$E$15)</f>
        <v/>
      </c>
    </row>
    <row r="13">
      <c r="A13" s="39" t="inlineStr">
        <is>
          <t>Stella</t>
        </is>
      </c>
      <c r="D13" s="40">
        <f>IFERROR(INDEX($G$4:$G$597,MATCH(10,$F$4:$F$597,0)),"")</f>
        <v/>
      </c>
      <c r="F13">
        <f>IF(Geral!$A$16="","",COUNTIF(Geral!$A$7:$A$16,"?*"))</f>
        <v/>
      </c>
      <c r="G13">
        <f>IF(Geral!$A$16="","",Geral!$A$16&amp;" · "&amp;Geral!$E$16)</f>
        <v/>
      </c>
    </row>
    <row r="14">
      <c r="A14" s="39" t="inlineStr">
        <is>
          <t>Igor</t>
        </is>
      </c>
      <c r="D14" s="40">
        <f>IFERROR(INDEX($G$4:$G$597,MATCH(11,$F$4:$F$597,0)),"")</f>
        <v/>
      </c>
      <c r="F14">
        <f>IF(Geral!$A$17="","",COUNTIF(Geral!$A$7:$A$17,"?*"))</f>
        <v/>
      </c>
      <c r="G14">
        <f>IF(Geral!$A$17="","",Geral!$A$17&amp;" · "&amp;Geral!$E$17)</f>
        <v/>
      </c>
    </row>
    <row r="15">
      <c r="D15" s="40">
        <f>IFERROR(INDEX($G$4:$G$597,MATCH(12,$F$4:$F$597,0)),"")</f>
        <v/>
      </c>
      <c r="F15">
        <f>IF(Geral!$A$18="","",COUNTIF(Geral!$A$7:$A$18,"?*"))</f>
        <v/>
      </c>
      <c r="G15">
        <f>IF(Geral!$A$18="","",Geral!$A$18&amp;" · "&amp;Geral!$E$18)</f>
        <v/>
      </c>
    </row>
    <row r="16">
      <c r="D16" s="40">
        <f>IFERROR(INDEX($G$4:$G$597,MATCH(13,$F$4:$F$597,0)),"")</f>
        <v/>
      </c>
      <c r="F16">
        <f>IF(Geral!$A$19="","",COUNTIF(Geral!$A$7:$A$19,"?*"))</f>
        <v/>
      </c>
      <c r="G16">
        <f>IF(Geral!$A$19="","",Geral!$A$19&amp;" · "&amp;Geral!$E$19)</f>
        <v/>
      </c>
    </row>
    <row r="17">
      <c r="D17" s="40">
        <f>IFERROR(INDEX($G$4:$G$597,MATCH(14,$F$4:$F$597,0)),"")</f>
        <v/>
      </c>
      <c r="F17">
        <f>IF(Geral!$A$20="","",COUNTIF(Geral!$A$7:$A$20,"?*"))</f>
        <v/>
      </c>
      <c r="G17">
        <f>IF(Geral!$A$20="","",Geral!$A$20&amp;" · "&amp;Geral!$E$20)</f>
        <v/>
      </c>
    </row>
    <row r="18">
      <c r="D18" s="40">
        <f>IFERROR(INDEX($G$4:$G$597,MATCH(15,$F$4:$F$597,0)),"")</f>
        <v/>
      </c>
      <c r="F18">
        <f>IF(Geral!$A$21="","",COUNTIF(Geral!$A$7:$A$21,"?*"))</f>
        <v/>
      </c>
      <c r="G18">
        <f>IF(Geral!$A$21="","",Geral!$A$21&amp;" · "&amp;Geral!$E$21)</f>
        <v/>
      </c>
    </row>
    <row r="19">
      <c r="D19" s="40">
        <f>IFERROR(INDEX($G$4:$G$597,MATCH(16,$F$4:$F$597,0)),"")</f>
        <v/>
      </c>
      <c r="F19">
        <f>IF(Geral!$A$22="","",COUNTIF(Geral!$A$7:$A$22,"?*"))</f>
        <v/>
      </c>
      <c r="G19">
        <f>IF(Geral!$A$22="","",Geral!$A$22&amp;" · "&amp;Geral!$E$22)</f>
        <v/>
      </c>
    </row>
    <row r="20">
      <c r="D20" s="40">
        <f>IFERROR(INDEX($G$4:$G$597,MATCH(17,$F$4:$F$597,0)),"")</f>
        <v/>
      </c>
      <c r="F20">
        <f>IF(Geral!$A$23="","",COUNTIF(Geral!$A$7:$A$23,"?*"))</f>
        <v/>
      </c>
      <c r="G20">
        <f>IF(Geral!$A$23="","",Geral!$A$23&amp;" · "&amp;Geral!$E$23)</f>
        <v/>
      </c>
    </row>
    <row r="21">
      <c r="D21" s="40">
        <f>IFERROR(INDEX($G$4:$G$597,MATCH(18,$F$4:$F$597,0)),"")</f>
        <v/>
      </c>
      <c r="F21">
        <f>IF(Geral!$A$24="","",COUNTIF(Geral!$A$7:$A$24,"?*"))</f>
        <v/>
      </c>
      <c r="G21">
        <f>IF(Geral!$A$24="","",Geral!$A$24&amp;" · "&amp;Geral!$E$24)</f>
        <v/>
      </c>
    </row>
    <row r="22">
      <c r="D22" s="40">
        <f>IFERROR(INDEX($G$4:$G$597,MATCH(19,$F$4:$F$597,0)),"")</f>
        <v/>
      </c>
      <c r="F22">
        <f>IF(Geral!$A$25="","",COUNTIF(Geral!$A$7:$A$25,"?*"))</f>
        <v/>
      </c>
      <c r="G22">
        <f>IF(Geral!$A$25="","",Geral!$A$25&amp;" · "&amp;Geral!$E$25)</f>
        <v/>
      </c>
    </row>
    <row r="23">
      <c r="D23" s="40">
        <f>IFERROR(INDEX($G$4:$G$597,MATCH(20,$F$4:$F$597,0)),"")</f>
        <v/>
      </c>
      <c r="F23">
        <f>IF(Geral!$A$26="","",COUNTIF(Geral!$A$7:$A$26,"?*"))</f>
        <v/>
      </c>
      <c r="G23">
        <f>IF(Geral!$A$26="","",Geral!$A$26&amp;" · "&amp;Geral!$E$26)</f>
        <v/>
      </c>
    </row>
    <row r="24">
      <c r="D24" s="40">
        <f>IFERROR(INDEX($G$4:$G$597,MATCH(21,$F$4:$F$597,0)),"")</f>
        <v/>
      </c>
      <c r="F24">
        <f>IF(Geral!$A$27="","",COUNTIF(Geral!$A$7:$A$27,"?*"))</f>
        <v/>
      </c>
      <c r="G24">
        <f>IF(Geral!$A$27="","",Geral!$A$27&amp;" · "&amp;Geral!$E$27)</f>
        <v/>
      </c>
    </row>
    <row r="25">
      <c r="D25" s="40">
        <f>IFERROR(INDEX($G$4:$G$597,MATCH(22,$F$4:$F$597,0)),"")</f>
        <v/>
      </c>
      <c r="F25">
        <f>IF(Geral!$A$28="","",COUNTIF(Geral!$A$7:$A$28,"?*"))</f>
        <v/>
      </c>
      <c r="G25">
        <f>IF(Geral!$A$28="","",Geral!$A$28&amp;" · "&amp;Geral!$E$28)</f>
        <v/>
      </c>
    </row>
    <row r="26">
      <c r="D26" s="40">
        <f>IFERROR(INDEX($G$4:$G$597,MATCH(23,$F$4:$F$597,0)),"")</f>
        <v/>
      </c>
      <c r="F26">
        <f>IF(Geral!$A$29="","",COUNTIF(Geral!$A$7:$A$29,"?*"))</f>
        <v/>
      </c>
      <c r="G26">
        <f>IF(Geral!$A$29="","",Geral!$A$29&amp;" · "&amp;Geral!$E$29)</f>
        <v/>
      </c>
    </row>
    <row r="27">
      <c r="D27" s="40">
        <f>IFERROR(INDEX($G$4:$G$597,MATCH(24,$F$4:$F$597,0)),"")</f>
        <v/>
      </c>
      <c r="F27">
        <f>IF(Geral!$A$30="","",COUNTIF(Geral!$A$7:$A$30,"?*"))</f>
        <v/>
      </c>
      <c r="G27">
        <f>IF(Geral!$A$30="","",Geral!$A$30&amp;" · "&amp;Geral!$E$30)</f>
        <v/>
      </c>
    </row>
    <row r="28">
      <c r="D28" s="40">
        <f>IFERROR(INDEX($G$4:$G$597,MATCH(25,$F$4:$F$597,0)),"")</f>
        <v/>
      </c>
      <c r="F28">
        <f>IF(Geral!$A$31="","",COUNTIF(Geral!$A$7:$A$31,"?*"))</f>
        <v/>
      </c>
      <c r="G28">
        <f>IF(Geral!$A$31="","",Geral!$A$31&amp;" · "&amp;Geral!$E$31)</f>
        <v/>
      </c>
    </row>
    <row r="29">
      <c r="D29" s="40">
        <f>IFERROR(INDEX($G$4:$G$597,MATCH(26,$F$4:$F$597,0)),"")</f>
        <v/>
      </c>
      <c r="F29">
        <f>IF(Geral!$A$32="","",COUNTIF(Geral!$A$7:$A$32,"?*"))</f>
        <v/>
      </c>
      <c r="G29">
        <f>IF(Geral!$A$32="","",Geral!$A$32&amp;" · "&amp;Geral!$E$32)</f>
        <v/>
      </c>
    </row>
    <row r="30">
      <c r="D30" s="40">
        <f>IFERROR(INDEX($G$4:$G$597,MATCH(27,$F$4:$F$597,0)),"")</f>
        <v/>
      </c>
      <c r="F30">
        <f>IF(Geral!$A$33="","",COUNTIF(Geral!$A$7:$A$33,"?*"))</f>
        <v/>
      </c>
      <c r="G30">
        <f>IF(Geral!$A$33="","",Geral!$A$33&amp;" · "&amp;Geral!$E$33)</f>
        <v/>
      </c>
    </row>
    <row r="31">
      <c r="D31" s="40">
        <f>IFERROR(INDEX($G$4:$G$597,MATCH(28,$F$4:$F$597,0)),"")</f>
        <v/>
      </c>
      <c r="F31">
        <f>IF(Geral!$A$34="","",COUNTIF(Geral!$A$7:$A$34,"?*"))</f>
        <v/>
      </c>
      <c r="G31">
        <f>IF(Geral!$A$34="","",Geral!$A$34&amp;" · "&amp;Geral!$E$34)</f>
        <v/>
      </c>
    </row>
    <row r="32">
      <c r="D32" s="40">
        <f>IFERROR(INDEX($G$4:$G$597,MATCH(29,$F$4:$F$597,0)),"")</f>
        <v/>
      </c>
      <c r="F32">
        <f>IF(Geral!$A$35="","",COUNTIF(Geral!$A$7:$A$35,"?*"))</f>
        <v/>
      </c>
      <c r="G32">
        <f>IF(Geral!$A$35="","",Geral!$A$35&amp;" · "&amp;Geral!$E$35)</f>
        <v/>
      </c>
    </row>
    <row r="33">
      <c r="D33" s="40">
        <f>IFERROR(INDEX($G$4:$G$597,MATCH(30,$F$4:$F$597,0)),"")</f>
        <v/>
      </c>
      <c r="F33">
        <f>IF(Geral!$A$36="","",COUNTIF(Geral!$A$7:$A$36,"?*"))</f>
        <v/>
      </c>
      <c r="G33">
        <f>IF(Geral!$A$36="","",Geral!$A$36&amp;" · "&amp;Geral!$E$36)</f>
        <v/>
      </c>
    </row>
    <row r="34">
      <c r="D34" s="40">
        <f>IFERROR(INDEX($G$4:$G$597,MATCH(31,$F$4:$F$597,0)),"")</f>
        <v/>
      </c>
      <c r="F34">
        <f>IF(Geral!$A$37="","",COUNTIF(Geral!$A$7:$A$37,"?*"))</f>
        <v/>
      </c>
      <c r="G34">
        <f>IF(Geral!$A$37="","",Geral!$A$37&amp;" · "&amp;Geral!$E$37)</f>
        <v/>
      </c>
    </row>
    <row r="35">
      <c r="D35" s="40">
        <f>IFERROR(INDEX($G$4:$G$597,MATCH(32,$F$4:$F$597,0)),"")</f>
        <v/>
      </c>
      <c r="F35">
        <f>IF(Geral!$A$38="","",COUNTIF(Geral!$A$7:$A$38,"?*"))</f>
        <v/>
      </c>
      <c r="G35">
        <f>IF(Geral!$A$38="","",Geral!$A$38&amp;" · "&amp;Geral!$E$38)</f>
        <v/>
      </c>
    </row>
    <row r="36">
      <c r="D36" s="40">
        <f>IFERROR(INDEX($G$4:$G$597,MATCH(33,$F$4:$F$597,0)),"")</f>
        <v/>
      </c>
      <c r="F36">
        <f>IF(Geral!$A$39="","",COUNTIF(Geral!$A$7:$A$39,"?*"))</f>
        <v/>
      </c>
      <c r="G36">
        <f>IF(Geral!$A$39="","",Geral!$A$39&amp;" · "&amp;Geral!$E$39)</f>
        <v/>
      </c>
    </row>
    <row r="37">
      <c r="D37" s="40">
        <f>IFERROR(INDEX($G$4:$G$597,MATCH(34,$F$4:$F$597,0)),"")</f>
        <v/>
      </c>
      <c r="F37">
        <f>IF(Geral!$A$40="","",COUNTIF(Geral!$A$7:$A$40,"?*"))</f>
        <v/>
      </c>
      <c r="G37">
        <f>IF(Geral!$A$40="","",Geral!$A$40&amp;" · "&amp;Geral!$E$40)</f>
        <v/>
      </c>
    </row>
    <row r="38">
      <c r="D38" s="40">
        <f>IFERROR(INDEX($G$4:$G$597,MATCH(35,$F$4:$F$597,0)),"")</f>
        <v/>
      </c>
      <c r="F38">
        <f>IF(Geral!$A$41="","",COUNTIF(Geral!$A$7:$A$41,"?*"))</f>
        <v/>
      </c>
      <c r="G38">
        <f>IF(Geral!$A$41="","",Geral!$A$41&amp;" · "&amp;Geral!$E$41)</f>
        <v/>
      </c>
    </row>
    <row r="39">
      <c r="D39" s="40">
        <f>IFERROR(INDEX($G$4:$G$597,MATCH(36,$F$4:$F$597,0)),"")</f>
        <v/>
      </c>
      <c r="F39">
        <f>IF(Geral!$A$42="","",COUNTIF(Geral!$A$7:$A$42,"?*"))</f>
        <v/>
      </c>
      <c r="G39">
        <f>IF(Geral!$A$42="","",Geral!$A$42&amp;" · "&amp;Geral!$E$42)</f>
        <v/>
      </c>
    </row>
    <row r="40">
      <c r="D40" s="40">
        <f>IFERROR(INDEX($G$4:$G$597,MATCH(37,$F$4:$F$597,0)),"")</f>
        <v/>
      </c>
      <c r="F40">
        <f>IF(Geral!$A$43="","",COUNTIF(Geral!$A$7:$A$43,"?*"))</f>
        <v/>
      </c>
      <c r="G40">
        <f>IF(Geral!$A$43="","",Geral!$A$43&amp;" · "&amp;Geral!$E$43)</f>
        <v/>
      </c>
    </row>
    <row r="41">
      <c r="D41" s="40">
        <f>IFERROR(INDEX($G$4:$G$597,MATCH(38,$F$4:$F$597,0)),"")</f>
        <v/>
      </c>
      <c r="F41">
        <f>IF(Geral!$A$44="","",COUNTIF(Geral!$A$7:$A$44,"?*"))</f>
        <v/>
      </c>
      <c r="G41">
        <f>IF(Geral!$A$44="","",Geral!$A$44&amp;" · "&amp;Geral!$E$44)</f>
        <v/>
      </c>
    </row>
    <row r="42">
      <c r="D42" s="40">
        <f>IFERROR(INDEX($G$4:$G$597,MATCH(39,$F$4:$F$597,0)),"")</f>
        <v/>
      </c>
      <c r="F42">
        <f>IF(Geral!$A$45="","",COUNTIF(Geral!$A$7:$A$45,"?*"))</f>
        <v/>
      </c>
      <c r="G42">
        <f>IF(Geral!$A$45="","",Geral!$A$45&amp;" · "&amp;Geral!$E$45)</f>
        <v/>
      </c>
    </row>
    <row r="43">
      <c r="D43" s="40">
        <f>IFERROR(INDEX($G$4:$G$597,MATCH(40,$F$4:$F$597,0)),"")</f>
        <v/>
      </c>
      <c r="F43">
        <f>IF(Geral!$A$46="","",COUNTIF(Geral!$A$7:$A$46,"?*"))</f>
        <v/>
      </c>
      <c r="G43">
        <f>IF(Geral!$A$46="","",Geral!$A$46&amp;" · "&amp;Geral!$E$46)</f>
        <v/>
      </c>
    </row>
    <row r="44">
      <c r="D44" s="40">
        <f>IFERROR(INDEX($G$4:$G$597,MATCH(41,$F$4:$F$597,0)),"")</f>
        <v/>
      </c>
      <c r="F44">
        <f>IF(Geral!$A$47="","",COUNTIF(Geral!$A$7:$A$47,"?*"))</f>
        <v/>
      </c>
      <c r="G44">
        <f>IF(Geral!$A$47="","",Geral!$A$47&amp;" · "&amp;Geral!$E$47)</f>
        <v/>
      </c>
    </row>
    <row r="45">
      <c r="D45" s="40">
        <f>IFERROR(INDEX($G$4:$G$597,MATCH(42,$F$4:$F$597,0)),"")</f>
        <v/>
      </c>
      <c r="F45">
        <f>IF(Geral!$A$48="","",COUNTIF(Geral!$A$7:$A$48,"?*"))</f>
        <v/>
      </c>
      <c r="G45">
        <f>IF(Geral!$A$48="","",Geral!$A$48&amp;" · "&amp;Geral!$E$48)</f>
        <v/>
      </c>
    </row>
    <row r="46">
      <c r="D46" s="40">
        <f>IFERROR(INDEX($G$4:$G$597,MATCH(43,$F$4:$F$597,0)),"")</f>
        <v/>
      </c>
      <c r="F46">
        <f>IF(Geral!$A$49="","",COUNTIF(Geral!$A$7:$A$49,"?*"))</f>
        <v/>
      </c>
      <c r="G46">
        <f>IF(Geral!$A$49="","",Geral!$A$49&amp;" · "&amp;Geral!$E$49)</f>
        <v/>
      </c>
    </row>
    <row r="47">
      <c r="D47" s="40">
        <f>IFERROR(INDEX($G$4:$G$597,MATCH(44,$F$4:$F$597,0)),"")</f>
        <v/>
      </c>
      <c r="F47">
        <f>IF(Geral!$A$50="","",COUNTIF(Geral!$A$7:$A$50,"?*"))</f>
        <v/>
      </c>
      <c r="G47">
        <f>IF(Geral!$A$50="","",Geral!$A$50&amp;" · "&amp;Geral!$E$50)</f>
        <v/>
      </c>
    </row>
    <row r="48">
      <c r="D48" s="40">
        <f>IFERROR(INDEX($G$4:$G$597,MATCH(45,$F$4:$F$597,0)),"")</f>
        <v/>
      </c>
      <c r="F48">
        <f>IF(Geral!$A$51="","",COUNTIF(Geral!$A$7:$A$51,"?*"))</f>
        <v/>
      </c>
      <c r="G48">
        <f>IF(Geral!$A$51="","",Geral!$A$51&amp;" · "&amp;Geral!$E$51)</f>
        <v/>
      </c>
    </row>
    <row r="49">
      <c r="D49" s="40">
        <f>IFERROR(INDEX($G$4:$G$597,MATCH(46,$F$4:$F$597,0)),"")</f>
        <v/>
      </c>
      <c r="F49">
        <f>IF(Geral!$A$52="","",COUNTIF(Geral!$A$7:$A$52,"?*"))</f>
        <v/>
      </c>
      <c r="G49">
        <f>IF(Geral!$A$52="","",Geral!$A$52&amp;" · "&amp;Geral!$E$52)</f>
        <v/>
      </c>
    </row>
    <row r="50">
      <c r="D50" s="40">
        <f>IFERROR(INDEX($G$4:$G$597,MATCH(47,$F$4:$F$597,0)),"")</f>
        <v/>
      </c>
      <c r="F50">
        <f>IF(Geral!$A$53="","",COUNTIF(Geral!$A$7:$A$53,"?*"))</f>
        <v/>
      </c>
      <c r="G50">
        <f>IF(Geral!$A$53="","",Geral!$A$53&amp;" · "&amp;Geral!$E$53)</f>
        <v/>
      </c>
    </row>
    <row r="51">
      <c r="D51" s="40">
        <f>IFERROR(INDEX($G$4:$G$597,MATCH(48,$F$4:$F$597,0)),"")</f>
        <v/>
      </c>
      <c r="F51">
        <f>IF(Geral!$A$54="","",COUNTIF(Geral!$A$7:$A$54,"?*"))</f>
        <v/>
      </c>
      <c r="G51">
        <f>IF(Geral!$A$54="","",Geral!$A$54&amp;" · "&amp;Geral!$E$54)</f>
        <v/>
      </c>
    </row>
    <row r="52">
      <c r="D52" s="40">
        <f>IFERROR(INDEX($G$4:$G$597,MATCH(49,$F$4:$F$597,0)),"")</f>
        <v/>
      </c>
      <c r="F52">
        <f>IF(Geral!$A$55="","",COUNTIF(Geral!$A$7:$A$55,"?*"))</f>
        <v/>
      </c>
      <c r="G52">
        <f>IF(Geral!$A$55="","",Geral!$A$55&amp;" · "&amp;Geral!$E$55)</f>
        <v/>
      </c>
    </row>
    <row r="53">
      <c r="D53" s="40">
        <f>IFERROR(INDEX($G$4:$G$597,MATCH(50,$F$4:$F$597,0)),"")</f>
        <v/>
      </c>
      <c r="F53">
        <f>IF(Geral!$A$56="","",COUNTIF(Geral!$A$7:$A$56,"?*"))</f>
        <v/>
      </c>
      <c r="G53">
        <f>IF(Geral!$A$56="","",Geral!$A$56&amp;" · "&amp;Geral!$E$56)</f>
        <v/>
      </c>
    </row>
    <row r="54">
      <c r="D54" s="40">
        <f>IFERROR(INDEX($G$4:$G$597,MATCH(51,$F$4:$F$597,0)),"")</f>
        <v/>
      </c>
      <c r="F54">
        <f>IF(Geral!$A$57="","",COUNTIF(Geral!$A$7:$A$57,"?*"))</f>
        <v/>
      </c>
      <c r="G54">
        <f>IF(Geral!$A$57="","",Geral!$A$57&amp;" · "&amp;Geral!$E$57)</f>
        <v/>
      </c>
    </row>
    <row r="55">
      <c r="D55" s="40">
        <f>IFERROR(INDEX($G$4:$G$597,MATCH(52,$F$4:$F$597,0)),"")</f>
        <v/>
      </c>
      <c r="F55">
        <f>IF(Geral!$A$58="","",COUNTIF(Geral!$A$7:$A$58,"?*"))</f>
        <v/>
      </c>
      <c r="G55">
        <f>IF(Geral!$A$58="","",Geral!$A$58&amp;" · "&amp;Geral!$E$58)</f>
        <v/>
      </c>
    </row>
    <row r="56">
      <c r="D56" s="40">
        <f>IFERROR(INDEX($G$4:$G$597,MATCH(53,$F$4:$F$597,0)),"")</f>
        <v/>
      </c>
      <c r="F56">
        <f>IF(Geral!$A$59="","",COUNTIF(Geral!$A$7:$A$59,"?*"))</f>
        <v/>
      </c>
      <c r="G56">
        <f>IF(Geral!$A$59="","",Geral!$A$59&amp;" · "&amp;Geral!$E$59)</f>
        <v/>
      </c>
    </row>
    <row r="57">
      <c r="D57" s="40">
        <f>IFERROR(INDEX($G$4:$G$597,MATCH(54,$F$4:$F$597,0)),"")</f>
        <v/>
      </c>
      <c r="F57">
        <f>IF(Geral!$A$60="","",COUNTIF(Geral!$A$7:$A$60,"?*"))</f>
        <v/>
      </c>
      <c r="G57">
        <f>IF(Geral!$A$60="","",Geral!$A$60&amp;" · "&amp;Geral!$E$60)</f>
        <v/>
      </c>
    </row>
    <row r="58">
      <c r="D58" s="40">
        <f>IFERROR(INDEX($G$4:$G$597,MATCH(55,$F$4:$F$597,0)),"")</f>
        <v/>
      </c>
      <c r="F58">
        <f>IF(Geral!$A$61="","",COUNTIF(Geral!$A$7:$A$61,"?*"))</f>
        <v/>
      </c>
      <c r="G58">
        <f>IF(Geral!$A$61="","",Geral!$A$61&amp;" · "&amp;Geral!$E$61)</f>
        <v/>
      </c>
    </row>
    <row r="59">
      <c r="D59" s="40">
        <f>IFERROR(INDEX($G$4:$G$597,MATCH(56,$F$4:$F$597,0)),"")</f>
        <v/>
      </c>
      <c r="F59">
        <f>IF(Geral!$A$62="","",COUNTIF(Geral!$A$7:$A$62,"?*"))</f>
        <v/>
      </c>
      <c r="G59">
        <f>IF(Geral!$A$62="","",Geral!$A$62&amp;" · "&amp;Geral!$E$62)</f>
        <v/>
      </c>
    </row>
    <row r="60">
      <c r="D60" s="40">
        <f>IFERROR(INDEX($G$4:$G$597,MATCH(57,$F$4:$F$597,0)),"")</f>
        <v/>
      </c>
      <c r="F60">
        <f>IF(Geral!$A$63="","",COUNTIF(Geral!$A$7:$A$63,"?*"))</f>
        <v/>
      </c>
      <c r="G60">
        <f>IF(Geral!$A$63="","",Geral!$A$63&amp;" · "&amp;Geral!$E$63)</f>
        <v/>
      </c>
    </row>
    <row r="61">
      <c r="D61" s="40">
        <f>IFERROR(INDEX($G$4:$G$597,MATCH(58,$F$4:$F$597,0)),"")</f>
        <v/>
      </c>
      <c r="F61">
        <f>IF(Geral!$A$64="","",COUNTIF(Geral!$A$7:$A$64,"?*"))</f>
        <v/>
      </c>
      <c r="G61">
        <f>IF(Geral!$A$64="","",Geral!$A$64&amp;" · "&amp;Geral!$E$64)</f>
        <v/>
      </c>
    </row>
    <row r="62">
      <c r="D62" s="40">
        <f>IFERROR(INDEX($G$4:$G$597,MATCH(59,$F$4:$F$597,0)),"")</f>
        <v/>
      </c>
      <c r="F62">
        <f>IF(Geral!$A$65="","",COUNTIF(Geral!$A$7:$A$65,"?*"))</f>
        <v/>
      </c>
      <c r="G62">
        <f>IF(Geral!$A$65="","",Geral!$A$65&amp;" · "&amp;Geral!$E$65)</f>
        <v/>
      </c>
    </row>
    <row r="63">
      <c r="D63" s="40">
        <f>IFERROR(INDEX($G$4:$G$597,MATCH(60,$F$4:$F$597,0)),"")</f>
        <v/>
      </c>
      <c r="F63">
        <f>IF(Geral!$A$66="","",COUNTIF(Geral!$A$7:$A$66,"?*"))</f>
        <v/>
      </c>
      <c r="G63">
        <f>IF(Geral!$A$66="","",Geral!$A$66&amp;" · "&amp;Geral!$E$66)</f>
        <v/>
      </c>
    </row>
    <row r="64">
      <c r="D64" s="40">
        <f>IFERROR(INDEX($G$4:$G$597,MATCH(61,$F$4:$F$597,0)),"")</f>
        <v/>
      </c>
      <c r="F64">
        <f>IF(Geral!$A$67="","",COUNTIF(Geral!$A$7:$A$67,"?*"))</f>
        <v/>
      </c>
      <c r="G64">
        <f>IF(Geral!$A$67="","",Geral!$A$67&amp;" · "&amp;Geral!$E$67)</f>
        <v/>
      </c>
    </row>
    <row r="65">
      <c r="D65" s="40">
        <f>IFERROR(INDEX($G$4:$G$597,MATCH(62,$F$4:$F$597,0)),"")</f>
        <v/>
      </c>
      <c r="F65">
        <f>IF(Geral!$A$68="","",COUNTIF(Geral!$A$7:$A$68,"?*"))</f>
        <v/>
      </c>
      <c r="G65">
        <f>IF(Geral!$A$68="","",Geral!$A$68&amp;" · "&amp;Geral!$E$68)</f>
        <v/>
      </c>
    </row>
    <row r="66">
      <c r="D66" s="40">
        <f>IFERROR(INDEX($G$4:$G$597,MATCH(63,$F$4:$F$597,0)),"")</f>
        <v/>
      </c>
      <c r="F66">
        <f>IF(Geral!$A$69="","",COUNTIF(Geral!$A$7:$A$69,"?*"))</f>
        <v/>
      </c>
      <c r="G66">
        <f>IF(Geral!$A$69="","",Geral!$A$69&amp;" · "&amp;Geral!$E$69)</f>
        <v/>
      </c>
    </row>
    <row r="67">
      <c r="D67" s="40">
        <f>IFERROR(INDEX($G$4:$G$597,MATCH(64,$F$4:$F$597,0)),"")</f>
        <v/>
      </c>
      <c r="F67">
        <f>IF(Geral!$A$70="","",COUNTIF(Geral!$A$7:$A$70,"?*"))</f>
        <v/>
      </c>
      <c r="G67">
        <f>IF(Geral!$A$70="","",Geral!$A$70&amp;" · "&amp;Geral!$E$70)</f>
        <v/>
      </c>
    </row>
    <row r="68">
      <c r="D68" s="40">
        <f>IFERROR(INDEX($G$4:$G$597,MATCH(65,$F$4:$F$597,0)),"")</f>
        <v/>
      </c>
      <c r="F68">
        <f>IF(Geral!$A$71="","",COUNTIF(Geral!$A$7:$A$71,"?*"))</f>
        <v/>
      </c>
      <c r="G68">
        <f>IF(Geral!$A$71="","",Geral!$A$71&amp;" · "&amp;Geral!$E$71)</f>
        <v/>
      </c>
    </row>
    <row r="69">
      <c r="D69" s="40">
        <f>IFERROR(INDEX($G$4:$G$597,MATCH(66,$F$4:$F$597,0)),"")</f>
        <v/>
      </c>
      <c r="F69">
        <f>IF(Geral!$A$72="","",COUNTIF(Geral!$A$7:$A$72,"?*"))</f>
        <v/>
      </c>
      <c r="G69">
        <f>IF(Geral!$A$72="","",Geral!$A$72&amp;" · "&amp;Geral!$E$72)</f>
        <v/>
      </c>
    </row>
    <row r="70">
      <c r="D70" s="40">
        <f>IFERROR(INDEX($G$4:$G$597,MATCH(67,$F$4:$F$597,0)),"")</f>
        <v/>
      </c>
      <c r="F70">
        <f>IF(Geral!$A$73="","",COUNTIF(Geral!$A$7:$A$73,"?*"))</f>
        <v/>
      </c>
      <c r="G70">
        <f>IF(Geral!$A$73="","",Geral!$A$73&amp;" · "&amp;Geral!$E$73)</f>
        <v/>
      </c>
    </row>
    <row r="71">
      <c r="D71" s="40">
        <f>IFERROR(INDEX($G$4:$G$597,MATCH(68,$F$4:$F$597,0)),"")</f>
        <v/>
      </c>
      <c r="F71">
        <f>IF(Geral!$A$74="","",COUNTIF(Geral!$A$7:$A$74,"?*"))</f>
        <v/>
      </c>
      <c r="G71">
        <f>IF(Geral!$A$74="","",Geral!$A$74&amp;" · "&amp;Geral!$E$74)</f>
        <v/>
      </c>
    </row>
    <row r="72">
      <c r="D72" s="40">
        <f>IFERROR(INDEX($G$4:$G$597,MATCH(69,$F$4:$F$597,0)),"")</f>
        <v/>
      </c>
      <c r="F72">
        <f>IF(Geral!$A$75="","",COUNTIF(Geral!$A$7:$A$75,"?*"))</f>
        <v/>
      </c>
      <c r="G72">
        <f>IF(Geral!$A$75="","",Geral!$A$75&amp;" · "&amp;Geral!$E$75)</f>
        <v/>
      </c>
    </row>
    <row r="73">
      <c r="D73" s="40">
        <f>IFERROR(INDEX($G$4:$G$597,MATCH(70,$F$4:$F$597,0)),"")</f>
        <v/>
      </c>
      <c r="F73">
        <f>IF(Geral!$A$76="","",COUNTIF(Geral!$A$7:$A$76,"?*"))</f>
        <v/>
      </c>
      <c r="G73">
        <f>IF(Geral!$A$76="","",Geral!$A$76&amp;" · "&amp;Geral!$E$76)</f>
        <v/>
      </c>
    </row>
    <row r="74">
      <c r="D74" s="40">
        <f>IFERROR(INDEX($G$4:$G$597,MATCH(71,$F$4:$F$597,0)),"")</f>
        <v/>
      </c>
      <c r="F74">
        <f>IF(Geral!$A$77="","",COUNTIF(Geral!$A$7:$A$77,"?*"))</f>
        <v/>
      </c>
      <c r="G74">
        <f>IF(Geral!$A$77="","",Geral!$A$77&amp;" · "&amp;Geral!$E$77)</f>
        <v/>
      </c>
    </row>
    <row r="75">
      <c r="D75" s="40">
        <f>IFERROR(INDEX($G$4:$G$597,MATCH(72,$F$4:$F$597,0)),"")</f>
        <v/>
      </c>
      <c r="F75">
        <f>IF(Geral!$A$78="","",COUNTIF(Geral!$A$7:$A$78,"?*"))</f>
        <v/>
      </c>
      <c r="G75">
        <f>IF(Geral!$A$78="","",Geral!$A$78&amp;" · "&amp;Geral!$E$78)</f>
        <v/>
      </c>
    </row>
    <row r="76">
      <c r="D76" s="40">
        <f>IFERROR(INDEX($G$4:$G$597,MATCH(73,$F$4:$F$597,0)),"")</f>
        <v/>
      </c>
      <c r="F76">
        <f>IF(Geral!$A$79="","",COUNTIF(Geral!$A$7:$A$79,"?*"))</f>
        <v/>
      </c>
      <c r="G76">
        <f>IF(Geral!$A$79="","",Geral!$A$79&amp;" · "&amp;Geral!$E$79)</f>
        <v/>
      </c>
    </row>
    <row r="77">
      <c r="D77" s="40">
        <f>IFERROR(INDEX($G$4:$G$597,MATCH(74,$F$4:$F$597,0)),"")</f>
        <v/>
      </c>
      <c r="F77">
        <f>IF(Geral!$A$80="","",COUNTIF(Geral!$A$7:$A$80,"?*"))</f>
        <v/>
      </c>
      <c r="G77">
        <f>IF(Geral!$A$80="","",Geral!$A$80&amp;" · "&amp;Geral!$E$80)</f>
        <v/>
      </c>
    </row>
    <row r="78">
      <c r="D78" s="40">
        <f>IFERROR(INDEX($G$4:$G$597,MATCH(75,$F$4:$F$597,0)),"")</f>
        <v/>
      </c>
      <c r="F78">
        <f>IF(Geral!$A$81="","",COUNTIF(Geral!$A$7:$A$81,"?*"))</f>
        <v/>
      </c>
      <c r="G78">
        <f>IF(Geral!$A$81="","",Geral!$A$81&amp;" · "&amp;Geral!$E$81)</f>
        <v/>
      </c>
    </row>
    <row r="79">
      <c r="D79" s="40">
        <f>IFERROR(INDEX($G$4:$G$597,MATCH(76,$F$4:$F$597,0)),"")</f>
        <v/>
      </c>
      <c r="F79">
        <f>IF(Geral!$A$82="","",COUNTIF(Geral!$A$7:$A$82,"?*"))</f>
        <v/>
      </c>
      <c r="G79">
        <f>IF(Geral!$A$82="","",Geral!$A$82&amp;" · "&amp;Geral!$E$82)</f>
        <v/>
      </c>
    </row>
    <row r="80">
      <c r="D80" s="40">
        <f>IFERROR(INDEX($G$4:$G$597,MATCH(77,$F$4:$F$597,0)),"")</f>
        <v/>
      </c>
      <c r="F80">
        <f>IF(Geral!$A$83="","",COUNTIF(Geral!$A$7:$A$83,"?*"))</f>
        <v/>
      </c>
      <c r="G80">
        <f>IF(Geral!$A$83="","",Geral!$A$83&amp;" · "&amp;Geral!$E$83)</f>
        <v/>
      </c>
    </row>
    <row r="81">
      <c r="D81" s="40">
        <f>IFERROR(INDEX($G$4:$G$597,MATCH(78,$F$4:$F$597,0)),"")</f>
        <v/>
      </c>
      <c r="F81">
        <f>IF(Geral!$A$84="","",COUNTIF(Geral!$A$7:$A$84,"?*"))</f>
        <v/>
      </c>
      <c r="G81">
        <f>IF(Geral!$A$84="","",Geral!$A$84&amp;" · "&amp;Geral!$E$84)</f>
        <v/>
      </c>
    </row>
    <row r="82">
      <c r="D82" s="40">
        <f>IFERROR(INDEX($G$4:$G$597,MATCH(79,$F$4:$F$597,0)),"")</f>
        <v/>
      </c>
      <c r="F82">
        <f>IF(Geral!$A$85="","",COUNTIF(Geral!$A$7:$A$85,"?*"))</f>
        <v/>
      </c>
      <c r="G82">
        <f>IF(Geral!$A$85="","",Geral!$A$85&amp;" · "&amp;Geral!$E$85)</f>
        <v/>
      </c>
    </row>
    <row r="83">
      <c r="D83" s="40">
        <f>IFERROR(INDEX($G$4:$G$597,MATCH(80,$F$4:$F$597,0)),"")</f>
        <v/>
      </c>
      <c r="F83">
        <f>IF(Geral!$A$86="","",COUNTIF(Geral!$A$7:$A$86,"?*"))</f>
        <v/>
      </c>
      <c r="G83">
        <f>IF(Geral!$A$86="","",Geral!$A$86&amp;" · "&amp;Geral!$E$86)</f>
        <v/>
      </c>
    </row>
    <row r="84">
      <c r="D84" s="40">
        <f>IFERROR(INDEX($G$4:$G$597,MATCH(81,$F$4:$F$597,0)),"")</f>
        <v/>
      </c>
      <c r="F84">
        <f>IF(Geral!$A$87="","",COUNTIF(Geral!$A$7:$A$87,"?*"))</f>
        <v/>
      </c>
      <c r="G84">
        <f>IF(Geral!$A$87="","",Geral!$A$87&amp;" · "&amp;Geral!$E$87)</f>
        <v/>
      </c>
    </row>
    <row r="85">
      <c r="D85" s="40">
        <f>IFERROR(INDEX($G$4:$G$597,MATCH(82,$F$4:$F$597,0)),"")</f>
        <v/>
      </c>
      <c r="F85">
        <f>IF(Geral!$A$88="","",COUNTIF(Geral!$A$7:$A$88,"?*"))</f>
        <v/>
      </c>
      <c r="G85">
        <f>IF(Geral!$A$88="","",Geral!$A$88&amp;" · "&amp;Geral!$E$88)</f>
        <v/>
      </c>
    </row>
    <row r="86">
      <c r="D86" s="40">
        <f>IFERROR(INDEX($G$4:$G$597,MATCH(83,$F$4:$F$597,0)),"")</f>
        <v/>
      </c>
      <c r="F86">
        <f>IF(Geral!$A$89="","",COUNTIF(Geral!$A$7:$A$89,"?*"))</f>
        <v/>
      </c>
      <c r="G86">
        <f>IF(Geral!$A$89="","",Geral!$A$89&amp;" · "&amp;Geral!$E$89)</f>
        <v/>
      </c>
    </row>
    <row r="87">
      <c r="D87" s="40">
        <f>IFERROR(INDEX($G$4:$G$597,MATCH(84,$F$4:$F$597,0)),"")</f>
        <v/>
      </c>
      <c r="F87">
        <f>IF(Geral!$A$90="","",COUNTIF(Geral!$A$7:$A$90,"?*"))</f>
        <v/>
      </c>
      <c r="G87">
        <f>IF(Geral!$A$90="","",Geral!$A$90&amp;" · "&amp;Geral!$E$90)</f>
        <v/>
      </c>
    </row>
    <row r="88">
      <c r="D88" s="40">
        <f>IFERROR(INDEX($G$4:$G$597,MATCH(85,$F$4:$F$597,0)),"")</f>
        <v/>
      </c>
      <c r="F88">
        <f>IF(Geral!$A$91="","",COUNTIF(Geral!$A$7:$A$91,"?*"))</f>
        <v/>
      </c>
      <c r="G88">
        <f>IF(Geral!$A$91="","",Geral!$A$91&amp;" · "&amp;Geral!$E$91)</f>
        <v/>
      </c>
    </row>
    <row r="89">
      <c r="D89" s="40">
        <f>IFERROR(INDEX($G$4:$G$597,MATCH(86,$F$4:$F$597,0)),"")</f>
        <v/>
      </c>
      <c r="F89">
        <f>IF(Geral!$A$92="","",COUNTIF(Geral!$A$7:$A$92,"?*"))</f>
        <v/>
      </c>
      <c r="G89">
        <f>IF(Geral!$A$92="","",Geral!$A$92&amp;" · "&amp;Geral!$E$92)</f>
        <v/>
      </c>
    </row>
    <row r="90">
      <c r="D90" s="40">
        <f>IFERROR(INDEX($G$4:$G$597,MATCH(87,$F$4:$F$597,0)),"")</f>
        <v/>
      </c>
      <c r="F90">
        <f>IF(Geral!$A$93="","",COUNTIF(Geral!$A$7:$A$93,"?*"))</f>
        <v/>
      </c>
      <c r="G90">
        <f>IF(Geral!$A$93="","",Geral!$A$93&amp;" · "&amp;Geral!$E$93)</f>
        <v/>
      </c>
    </row>
    <row r="91">
      <c r="D91" s="40">
        <f>IFERROR(INDEX($G$4:$G$597,MATCH(88,$F$4:$F$597,0)),"")</f>
        <v/>
      </c>
      <c r="F91">
        <f>IF(Geral!$A$94="","",COUNTIF(Geral!$A$7:$A$94,"?*"))</f>
        <v/>
      </c>
      <c r="G91">
        <f>IF(Geral!$A$94="","",Geral!$A$94&amp;" · "&amp;Geral!$E$94)</f>
        <v/>
      </c>
    </row>
    <row r="92">
      <c r="D92" s="40">
        <f>IFERROR(INDEX($G$4:$G$597,MATCH(89,$F$4:$F$597,0)),"")</f>
        <v/>
      </c>
      <c r="F92">
        <f>IF(Geral!$A$95="","",COUNTIF(Geral!$A$7:$A$95,"?*"))</f>
        <v/>
      </c>
      <c r="G92">
        <f>IF(Geral!$A$95="","",Geral!$A$95&amp;" · "&amp;Geral!$E$95)</f>
        <v/>
      </c>
    </row>
    <row r="93">
      <c r="D93" s="40">
        <f>IFERROR(INDEX($G$4:$G$597,MATCH(90,$F$4:$F$597,0)),"")</f>
        <v/>
      </c>
      <c r="F93">
        <f>IF(Geral!$A$96="","",COUNTIF(Geral!$A$7:$A$96,"?*"))</f>
        <v/>
      </c>
      <c r="G93">
        <f>IF(Geral!$A$96="","",Geral!$A$96&amp;" · "&amp;Geral!$E$96)</f>
        <v/>
      </c>
    </row>
    <row r="94">
      <c r="D94" s="40">
        <f>IFERROR(INDEX($G$4:$G$597,MATCH(91,$F$4:$F$597,0)),"")</f>
        <v/>
      </c>
      <c r="F94">
        <f>IF(Geral!$A$97="","",COUNTIF(Geral!$A$7:$A$97,"?*"))</f>
        <v/>
      </c>
      <c r="G94">
        <f>IF(Geral!$A$97="","",Geral!$A$97&amp;" · "&amp;Geral!$E$97)</f>
        <v/>
      </c>
    </row>
    <row r="95">
      <c r="D95" s="40">
        <f>IFERROR(INDEX($G$4:$G$597,MATCH(92,$F$4:$F$597,0)),"")</f>
        <v/>
      </c>
      <c r="F95">
        <f>IF(Geral!$A$98="","",COUNTIF(Geral!$A$7:$A$98,"?*"))</f>
        <v/>
      </c>
      <c r="G95">
        <f>IF(Geral!$A$98="","",Geral!$A$98&amp;" · "&amp;Geral!$E$98)</f>
        <v/>
      </c>
    </row>
    <row r="96">
      <c r="D96" s="40">
        <f>IFERROR(INDEX($G$4:$G$597,MATCH(93,$F$4:$F$597,0)),"")</f>
        <v/>
      </c>
      <c r="F96">
        <f>IF(Geral!$A$99="","",COUNTIF(Geral!$A$7:$A$99,"?*"))</f>
        <v/>
      </c>
      <c r="G96">
        <f>IF(Geral!$A$99="","",Geral!$A$99&amp;" · "&amp;Geral!$E$99)</f>
        <v/>
      </c>
    </row>
    <row r="97">
      <c r="D97" s="40">
        <f>IFERROR(INDEX($G$4:$G$597,MATCH(94,$F$4:$F$597,0)),"")</f>
        <v/>
      </c>
      <c r="F97">
        <f>IF(Geral!$A$100="","",COUNTIF(Geral!$A$7:$A$100,"?*"))</f>
        <v/>
      </c>
      <c r="G97">
        <f>IF(Geral!$A$100="","",Geral!$A$100&amp;" · "&amp;Geral!$E$100)</f>
        <v/>
      </c>
    </row>
    <row r="98">
      <c r="D98" s="40">
        <f>IFERROR(INDEX($G$4:$G$597,MATCH(95,$F$4:$F$597,0)),"")</f>
        <v/>
      </c>
      <c r="F98">
        <f>IF(Geral!$A$101="","",COUNTIF(Geral!$A$7:$A$101,"?*"))</f>
        <v/>
      </c>
      <c r="G98">
        <f>IF(Geral!$A$101="","",Geral!$A$101&amp;" · "&amp;Geral!$E$101)</f>
        <v/>
      </c>
    </row>
    <row r="99">
      <c r="D99" s="40">
        <f>IFERROR(INDEX($G$4:$G$597,MATCH(96,$F$4:$F$597,0)),"")</f>
        <v/>
      </c>
      <c r="F99">
        <f>IF(Geral!$A$102="","",COUNTIF(Geral!$A$7:$A$102,"?*"))</f>
        <v/>
      </c>
      <c r="G99">
        <f>IF(Geral!$A$102="","",Geral!$A$102&amp;" · "&amp;Geral!$E$102)</f>
        <v/>
      </c>
    </row>
    <row r="100">
      <c r="D100" s="40">
        <f>IFERROR(INDEX($G$4:$G$597,MATCH(97,$F$4:$F$597,0)),"")</f>
        <v/>
      </c>
      <c r="F100">
        <f>IF(Geral!$A$103="","",COUNTIF(Geral!$A$7:$A$103,"?*"))</f>
        <v/>
      </c>
      <c r="G100">
        <f>IF(Geral!$A$103="","",Geral!$A$103&amp;" · "&amp;Geral!$E$103)</f>
        <v/>
      </c>
    </row>
    <row r="101">
      <c r="D101" s="40">
        <f>IFERROR(INDEX($G$4:$G$597,MATCH(98,$F$4:$F$597,0)),"")</f>
        <v/>
      </c>
      <c r="F101">
        <f>IF(Geral!$A$104="","",COUNTIF(Geral!$A$7:$A$104,"?*"))</f>
        <v/>
      </c>
      <c r="G101">
        <f>IF(Geral!$A$104="","",Geral!$A$104&amp;" · "&amp;Geral!$E$104)</f>
        <v/>
      </c>
    </row>
    <row r="102">
      <c r="D102" s="40">
        <f>IFERROR(INDEX($G$4:$G$597,MATCH(99,$F$4:$F$597,0)),"")</f>
        <v/>
      </c>
      <c r="F102">
        <f>IF(Geral!$A$105="","",COUNTIF(Geral!$A$7:$A$105,"?*"))</f>
        <v/>
      </c>
      <c r="G102">
        <f>IF(Geral!$A$105="","",Geral!$A$105&amp;" · "&amp;Geral!$E$105)</f>
        <v/>
      </c>
    </row>
    <row r="103">
      <c r="D103" s="40">
        <f>IFERROR(INDEX($G$4:$G$597,MATCH(100,$F$4:$F$597,0)),"")</f>
        <v/>
      </c>
      <c r="F103">
        <f>IF(Geral!$A$106="","",COUNTIF(Geral!$A$7:$A$106,"?*"))</f>
        <v/>
      </c>
      <c r="G103">
        <f>IF(Geral!$A$106="","",Geral!$A$106&amp;" · "&amp;Geral!$E$106)</f>
        <v/>
      </c>
    </row>
    <row r="104">
      <c r="D104" s="40">
        <f>IFERROR(INDEX($G$4:$G$597,MATCH(101,$F$4:$F$597,0)),"")</f>
        <v/>
      </c>
      <c r="F104">
        <f>IF(Geral!$A$107="","",COUNTIF(Geral!$A$7:$A$107,"?*"))</f>
        <v/>
      </c>
      <c r="G104">
        <f>IF(Geral!$A$107="","",Geral!$A$107&amp;" · "&amp;Geral!$E$107)</f>
        <v/>
      </c>
    </row>
    <row r="105">
      <c r="D105" s="40">
        <f>IFERROR(INDEX($G$4:$G$597,MATCH(102,$F$4:$F$597,0)),"")</f>
        <v/>
      </c>
      <c r="F105">
        <f>IF(Geral!$A$108="","",COUNTIF(Geral!$A$7:$A$108,"?*"))</f>
        <v/>
      </c>
      <c r="G105">
        <f>IF(Geral!$A$108="","",Geral!$A$108&amp;" · "&amp;Geral!$E$108)</f>
        <v/>
      </c>
    </row>
    <row r="106">
      <c r="D106" s="40">
        <f>IFERROR(INDEX($G$4:$G$597,MATCH(103,$F$4:$F$597,0)),"")</f>
        <v/>
      </c>
      <c r="F106">
        <f>IF(Geral!$A$109="","",COUNTIF(Geral!$A$7:$A$109,"?*"))</f>
        <v/>
      </c>
      <c r="G106">
        <f>IF(Geral!$A$109="","",Geral!$A$109&amp;" · "&amp;Geral!$E$109)</f>
        <v/>
      </c>
    </row>
    <row r="107">
      <c r="D107" s="40">
        <f>IFERROR(INDEX($G$4:$G$597,MATCH(104,$F$4:$F$597,0)),"")</f>
        <v/>
      </c>
      <c r="F107">
        <f>IF(Geral!$A$110="","",COUNTIF(Geral!$A$7:$A$110,"?*"))</f>
        <v/>
      </c>
      <c r="G107">
        <f>IF(Geral!$A$110="","",Geral!$A$110&amp;" · "&amp;Geral!$E$110)</f>
        <v/>
      </c>
    </row>
    <row r="108">
      <c r="D108" s="40">
        <f>IFERROR(INDEX($G$4:$G$597,MATCH(105,$F$4:$F$597,0)),"")</f>
        <v/>
      </c>
      <c r="F108">
        <f>IF(Geral!$A$111="","",COUNTIF(Geral!$A$7:$A$111,"?*"))</f>
        <v/>
      </c>
      <c r="G108">
        <f>IF(Geral!$A$111="","",Geral!$A$111&amp;" · "&amp;Geral!$E$111)</f>
        <v/>
      </c>
    </row>
    <row r="109">
      <c r="D109" s="40">
        <f>IFERROR(INDEX($G$4:$G$597,MATCH(106,$F$4:$F$597,0)),"")</f>
        <v/>
      </c>
      <c r="F109">
        <f>IF(Geral!$A$112="","",COUNTIF(Geral!$A$7:$A$112,"?*"))</f>
        <v/>
      </c>
      <c r="G109">
        <f>IF(Geral!$A$112="","",Geral!$A$112&amp;" · "&amp;Geral!$E$112)</f>
        <v/>
      </c>
    </row>
    <row r="110">
      <c r="D110" s="40">
        <f>IFERROR(INDEX($G$4:$G$597,MATCH(107,$F$4:$F$597,0)),"")</f>
        <v/>
      </c>
      <c r="F110">
        <f>IF(Geral!$A$113="","",COUNTIF(Geral!$A$7:$A$113,"?*"))</f>
        <v/>
      </c>
      <c r="G110">
        <f>IF(Geral!$A$113="","",Geral!$A$113&amp;" · "&amp;Geral!$E$113)</f>
        <v/>
      </c>
    </row>
    <row r="111">
      <c r="D111" s="40">
        <f>IFERROR(INDEX($G$4:$G$597,MATCH(108,$F$4:$F$597,0)),"")</f>
        <v/>
      </c>
      <c r="F111">
        <f>IF(Geral!$A$114="","",COUNTIF(Geral!$A$7:$A$114,"?*"))</f>
        <v/>
      </c>
      <c r="G111">
        <f>IF(Geral!$A$114="","",Geral!$A$114&amp;" · "&amp;Geral!$E$114)</f>
        <v/>
      </c>
    </row>
    <row r="112">
      <c r="D112" s="40">
        <f>IFERROR(INDEX($G$4:$G$597,MATCH(109,$F$4:$F$597,0)),"")</f>
        <v/>
      </c>
      <c r="F112">
        <f>IF(Geral!$A$115="","",COUNTIF(Geral!$A$7:$A$115,"?*"))</f>
        <v/>
      </c>
      <c r="G112">
        <f>IF(Geral!$A$115="","",Geral!$A$115&amp;" · "&amp;Geral!$E$115)</f>
        <v/>
      </c>
    </row>
    <row r="113">
      <c r="D113" s="40">
        <f>IFERROR(INDEX($G$4:$G$597,MATCH(110,$F$4:$F$597,0)),"")</f>
        <v/>
      </c>
      <c r="F113">
        <f>IF(Geral!$A$116="","",COUNTIF(Geral!$A$7:$A$116,"?*"))</f>
        <v/>
      </c>
      <c r="G113">
        <f>IF(Geral!$A$116="","",Geral!$A$116&amp;" · "&amp;Geral!$E$116)</f>
        <v/>
      </c>
    </row>
    <row r="114">
      <c r="D114" s="40">
        <f>IFERROR(INDEX($G$4:$G$597,MATCH(111,$F$4:$F$597,0)),"")</f>
        <v/>
      </c>
      <c r="F114">
        <f>IF(Geral!$A$117="","",COUNTIF(Geral!$A$7:$A$117,"?*"))</f>
        <v/>
      </c>
      <c r="G114">
        <f>IF(Geral!$A$117="","",Geral!$A$117&amp;" · "&amp;Geral!$E$117)</f>
        <v/>
      </c>
    </row>
    <row r="115">
      <c r="D115" s="40">
        <f>IFERROR(INDEX($G$4:$G$597,MATCH(112,$F$4:$F$597,0)),"")</f>
        <v/>
      </c>
      <c r="F115">
        <f>IF(Geral!$A$118="","",COUNTIF(Geral!$A$7:$A$118,"?*"))</f>
        <v/>
      </c>
      <c r="G115">
        <f>IF(Geral!$A$118="","",Geral!$A$118&amp;" · "&amp;Geral!$E$118)</f>
        <v/>
      </c>
    </row>
    <row r="116">
      <c r="D116" s="40">
        <f>IFERROR(INDEX($G$4:$G$597,MATCH(113,$F$4:$F$597,0)),"")</f>
        <v/>
      </c>
      <c r="F116">
        <f>IF(Geral!$A$119="","",COUNTIF(Geral!$A$7:$A$119,"?*"))</f>
        <v/>
      </c>
      <c r="G116">
        <f>IF(Geral!$A$119="","",Geral!$A$119&amp;" · "&amp;Geral!$E$119)</f>
        <v/>
      </c>
    </row>
    <row r="117">
      <c r="D117" s="40">
        <f>IFERROR(INDEX($G$4:$G$597,MATCH(114,$F$4:$F$597,0)),"")</f>
        <v/>
      </c>
      <c r="F117">
        <f>IF(Geral!$A$120="","",COUNTIF(Geral!$A$7:$A$120,"?*"))</f>
        <v/>
      </c>
      <c r="G117">
        <f>IF(Geral!$A$120="","",Geral!$A$120&amp;" · "&amp;Geral!$E$120)</f>
        <v/>
      </c>
    </row>
    <row r="118">
      <c r="D118" s="40">
        <f>IFERROR(INDEX($G$4:$G$597,MATCH(115,$F$4:$F$597,0)),"")</f>
        <v/>
      </c>
      <c r="F118">
        <f>IF(Geral!$A$121="","",COUNTIF(Geral!$A$7:$A$121,"?*"))</f>
        <v/>
      </c>
      <c r="G118">
        <f>IF(Geral!$A$121="","",Geral!$A$121&amp;" · "&amp;Geral!$E$121)</f>
        <v/>
      </c>
    </row>
    <row r="119">
      <c r="D119" s="40">
        <f>IFERROR(INDEX($G$4:$G$597,MATCH(116,$F$4:$F$597,0)),"")</f>
        <v/>
      </c>
      <c r="F119">
        <f>IF(Geral!$A$122="","",COUNTIF(Geral!$A$7:$A$122,"?*"))</f>
        <v/>
      </c>
      <c r="G119">
        <f>IF(Geral!$A$122="","",Geral!$A$122&amp;" · "&amp;Geral!$E$122)</f>
        <v/>
      </c>
    </row>
    <row r="120">
      <c r="D120" s="40">
        <f>IFERROR(INDEX($G$4:$G$597,MATCH(117,$F$4:$F$597,0)),"")</f>
        <v/>
      </c>
      <c r="F120">
        <f>IF(Geral!$A$123="","",COUNTIF(Geral!$A$7:$A$123,"?*"))</f>
        <v/>
      </c>
      <c r="G120">
        <f>IF(Geral!$A$123="","",Geral!$A$123&amp;" · "&amp;Geral!$E$123)</f>
        <v/>
      </c>
    </row>
    <row r="121">
      <c r="D121" s="40">
        <f>IFERROR(INDEX($G$4:$G$597,MATCH(118,$F$4:$F$597,0)),"")</f>
        <v/>
      </c>
      <c r="F121">
        <f>IF(Geral!$A$124="","",COUNTIF(Geral!$A$7:$A$124,"?*"))</f>
        <v/>
      </c>
      <c r="G121">
        <f>IF(Geral!$A$124="","",Geral!$A$124&amp;" · "&amp;Geral!$E$124)</f>
        <v/>
      </c>
    </row>
    <row r="122">
      <c r="D122" s="40">
        <f>IFERROR(INDEX($G$4:$G$597,MATCH(119,$F$4:$F$597,0)),"")</f>
        <v/>
      </c>
      <c r="F122">
        <f>IF(Geral!$A$125="","",COUNTIF(Geral!$A$7:$A$125,"?*"))</f>
        <v/>
      </c>
      <c r="G122">
        <f>IF(Geral!$A$125="","",Geral!$A$125&amp;" · "&amp;Geral!$E$125)</f>
        <v/>
      </c>
    </row>
    <row r="123">
      <c r="D123" s="40">
        <f>IFERROR(INDEX($G$4:$G$597,MATCH(120,$F$4:$F$597,0)),"")</f>
        <v/>
      </c>
      <c r="F123">
        <f>IF(Geral!$A$126="","",COUNTIF(Geral!$A$7:$A$126,"?*"))</f>
        <v/>
      </c>
      <c r="G123">
        <f>IF(Geral!$A$126="","",Geral!$A$126&amp;" · "&amp;Geral!$E$126)</f>
        <v/>
      </c>
    </row>
    <row r="124">
      <c r="D124" s="40">
        <f>IFERROR(INDEX($G$4:$G$597,MATCH(121,$F$4:$F$597,0)),"")</f>
        <v/>
      </c>
      <c r="F124">
        <f>IF(Geral!$A$127="","",COUNTIF(Geral!$A$7:$A$127,"?*"))</f>
        <v/>
      </c>
      <c r="G124">
        <f>IF(Geral!$A$127="","",Geral!$A$127&amp;" · "&amp;Geral!$E$127)</f>
        <v/>
      </c>
    </row>
    <row r="125">
      <c r="D125" s="40">
        <f>IFERROR(INDEX($G$4:$G$597,MATCH(122,$F$4:$F$597,0)),"")</f>
        <v/>
      </c>
      <c r="F125">
        <f>IF(Geral!$A$128="","",COUNTIF(Geral!$A$7:$A$128,"?*"))</f>
        <v/>
      </c>
      <c r="G125">
        <f>IF(Geral!$A$128="","",Geral!$A$128&amp;" · "&amp;Geral!$E$128)</f>
        <v/>
      </c>
    </row>
    <row r="126">
      <c r="D126" s="40">
        <f>IFERROR(INDEX($G$4:$G$597,MATCH(123,$F$4:$F$597,0)),"")</f>
        <v/>
      </c>
      <c r="F126">
        <f>IF(Geral!$A$129="","",COUNTIF(Geral!$A$7:$A$129,"?*"))</f>
        <v/>
      </c>
      <c r="G126">
        <f>IF(Geral!$A$129="","",Geral!$A$129&amp;" · "&amp;Geral!$E$129)</f>
        <v/>
      </c>
    </row>
    <row r="127">
      <c r="D127" s="40">
        <f>IFERROR(INDEX($G$4:$G$597,MATCH(124,$F$4:$F$597,0)),"")</f>
        <v/>
      </c>
      <c r="F127">
        <f>IF(Geral!$A$130="","",COUNTIF(Geral!$A$7:$A$130,"?*"))</f>
        <v/>
      </c>
      <c r="G127">
        <f>IF(Geral!$A$130="","",Geral!$A$130&amp;" · "&amp;Geral!$E$130)</f>
        <v/>
      </c>
    </row>
    <row r="128">
      <c r="D128" s="40">
        <f>IFERROR(INDEX($G$4:$G$597,MATCH(125,$F$4:$F$597,0)),"")</f>
        <v/>
      </c>
      <c r="F128">
        <f>IF(Geral!$A$131="","",COUNTIF(Geral!$A$7:$A$131,"?*"))</f>
        <v/>
      </c>
      <c r="G128">
        <f>IF(Geral!$A$131="","",Geral!$A$131&amp;" · "&amp;Geral!$E$131)</f>
        <v/>
      </c>
    </row>
    <row r="129">
      <c r="D129" s="40">
        <f>IFERROR(INDEX($G$4:$G$597,MATCH(126,$F$4:$F$597,0)),"")</f>
        <v/>
      </c>
      <c r="F129">
        <f>IF(Geral!$A$132="","",COUNTIF(Geral!$A$7:$A$132,"?*"))</f>
        <v/>
      </c>
      <c r="G129">
        <f>IF(Geral!$A$132="","",Geral!$A$132&amp;" · "&amp;Geral!$E$132)</f>
        <v/>
      </c>
    </row>
    <row r="130">
      <c r="D130" s="40">
        <f>IFERROR(INDEX($G$4:$G$597,MATCH(127,$F$4:$F$597,0)),"")</f>
        <v/>
      </c>
      <c r="F130">
        <f>IF(Geral!$A$133="","",COUNTIF(Geral!$A$7:$A$133,"?*"))</f>
        <v/>
      </c>
      <c r="G130">
        <f>IF(Geral!$A$133="","",Geral!$A$133&amp;" · "&amp;Geral!$E$133)</f>
        <v/>
      </c>
    </row>
    <row r="131">
      <c r="D131" s="40">
        <f>IFERROR(INDEX($G$4:$G$597,MATCH(128,$F$4:$F$597,0)),"")</f>
        <v/>
      </c>
      <c r="F131">
        <f>IF(Geral!$A$134="","",COUNTIF(Geral!$A$7:$A$134,"?*"))</f>
        <v/>
      </c>
      <c r="G131">
        <f>IF(Geral!$A$134="","",Geral!$A$134&amp;" · "&amp;Geral!$E$134)</f>
        <v/>
      </c>
    </row>
    <row r="132">
      <c r="D132" s="40">
        <f>IFERROR(INDEX($G$4:$G$597,MATCH(129,$F$4:$F$597,0)),"")</f>
        <v/>
      </c>
      <c r="F132">
        <f>IF(Geral!$A$135="","",COUNTIF(Geral!$A$7:$A$135,"?*"))</f>
        <v/>
      </c>
      <c r="G132">
        <f>IF(Geral!$A$135="","",Geral!$A$135&amp;" · "&amp;Geral!$E$135)</f>
        <v/>
      </c>
    </row>
    <row r="133">
      <c r="D133" s="40">
        <f>IFERROR(INDEX($G$4:$G$597,MATCH(130,$F$4:$F$597,0)),"")</f>
        <v/>
      </c>
      <c r="F133">
        <f>IF(Geral!$A$136="","",COUNTIF(Geral!$A$7:$A$136,"?*"))</f>
        <v/>
      </c>
      <c r="G133">
        <f>IF(Geral!$A$136="","",Geral!$A$136&amp;" · "&amp;Geral!$E$136)</f>
        <v/>
      </c>
    </row>
    <row r="134">
      <c r="D134" s="40">
        <f>IFERROR(INDEX($G$4:$G$597,MATCH(131,$F$4:$F$597,0)),"")</f>
        <v/>
      </c>
      <c r="F134">
        <f>IF(Geral!$A$137="","",COUNTIF(Geral!$A$7:$A$137,"?*"))</f>
        <v/>
      </c>
      <c r="G134">
        <f>IF(Geral!$A$137="","",Geral!$A$137&amp;" · "&amp;Geral!$E$137)</f>
        <v/>
      </c>
    </row>
    <row r="135">
      <c r="D135" s="40">
        <f>IFERROR(INDEX($G$4:$G$597,MATCH(132,$F$4:$F$597,0)),"")</f>
        <v/>
      </c>
      <c r="F135">
        <f>IF(Geral!$A$138="","",COUNTIF(Geral!$A$7:$A$138,"?*"))</f>
        <v/>
      </c>
      <c r="G135">
        <f>IF(Geral!$A$138="","",Geral!$A$138&amp;" · "&amp;Geral!$E$138)</f>
        <v/>
      </c>
    </row>
    <row r="136">
      <c r="D136" s="40">
        <f>IFERROR(INDEX($G$4:$G$597,MATCH(133,$F$4:$F$597,0)),"")</f>
        <v/>
      </c>
      <c r="F136">
        <f>IF(Geral!$A$139="","",COUNTIF(Geral!$A$7:$A$139,"?*"))</f>
        <v/>
      </c>
      <c r="G136">
        <f>IF(Geral!$A$139="","",Geral!$A$139&amp;" · "&amp;Geral!$E$139)</f>
        <v/>
      </c>
    </row>
    <row r="137">
      <c r="D137" s="40">
        <f>IFERROR(INDEX($G$4:$G$597,MATCH(134,$F$4:$F$597,0)),"")</f>
        <v/>
      </c>
      <c r="F137">
        <f>IF(Geral!$A$140="","",COUNTIF(Geral!$A$7:$A$140,"?*"))</f>
        <v/>
      </c>
      <c r="G137">
        <f>IF(Geral!$A$140="","",Geral!$A$140&amp;" · "&amp;Geral!$E$140)</f>
        <v/>
      </c>
    </row>
    <row r="138">
      <c r="D138" s="40">
        <f>IFERROR(INDEX($G$4:$G$597,MATCH(135,$F$4:$F$597,0)),"")</f>
        <v/>
      </c>
      <c r="F138">
        <f>IF(Geral!$A$141="","",COUNTIF(Geral!$A$7:$A$141,"?*"))</f>
        <v/>
      </c>
      <c r="G138">
        <f>IF(Geral!$A$141="","",Geral!$A$141&amp;" · "&amp;Geral!$E$141)</f>
        <v/>
      </c>
    </row>
    <row r="139">
      <c r="D139" s="40">
        <f>IFERROR(INDEX($G$4:$G$597,MATCH(136,$F$4:$F$597,0)),"")</f>
        <v/>
      </c>
      <c r="F139">
        <f>IF(Geral!$A$142="","",COUNTIF(Geral!$A$7:$A$142,"?*"))</f>
        <v/>
      </c>
      <c r="G139">
        <f>IF(Geral!$A$142="","",Geral!$A$142&amp;" · "&amp;Geral!$E$142)</f>
        <v/>
      </c>
    </row>
    <row r="140">
      <c r="D140" s="40">
        <f>IFERROR(INDEX($G$4:$G$597,MATCH(137,$F$4:$F$597,0)),"")</f>
        <v/>
      </c>
      <c r="F140">
        <f>IF(Geral!$A$143="","",COUNTIF(Geral!$A$7:$A$143,"?*"))</f>
        <v/>
      </c>
      <c r="G140">
        <f>IF(Geral!$A$143="","",Geral!$A$143&amp;" · "&amp;Geral!$E$143)</f>
        <v/>
      </c>
    </row>
    <row r="141">
      <c r="D141" s="40">
        <f>IFERROR(INDEX($G$4:$G$597,MATCH(138,$F$4:$F$597,0)),"")</f>
        <v/>
      </c>
      <c r="F141">
        <f>IF(Geral!$A$144="","",COUNTIF(Geral!$A$7:$A$144,"?*"))</f>
        <v/>
      </c>
      <c r="G141">
        <f>IF(Geral!$A$144="","",Geral!$A$144&amp;" · "&amp;Geral!$E$144)</f>
        <v/>
      </c>
    </row>
    <row r="142">
      <c r="D142" s="40">
        <f>IFERROR(INDEX($G$4:$G$597,MATCH(139,$F$4:$F$597,0)),"")</f>
        <v/>
      </c>
      <c r="F142">
        <f>IF(Geral!$A$145="","",COUNTIF(Geral!$A$7:$A$145,"?*"))</f>
        <v/>
      </c>
      <c r="G142">
        <f>IF(Geral!$A$145="","",Geral!$A$145&amp;" · "&amp;Geral!$E$145)</f>
        <v/>
      </c>
    </row>
    <row r="143">
      <c r="D143" s="40">
        <f>IFERROR(INDEX($G$4:$G$597,MATCH(140,$F$4:$F$597,0)),"")</f>
        <v/>
      </c>
      <c r="F143">
        <f>IF(Geral!$A$146="","",COUNTIF(Geral!$A$7:$A$146,"?*"))</f>
        <v/>
      </c>
      <c r="G143">
        <f>IF(Geral!$A$146="","",Geral!$A$146&amp;" · "&amp;Geral!$E$146)</f>
        <v/>
      </c>
    </row>
    <row r="144">
      <c r="D144" s="40">
        <f>IFERROR(INDEX($G$4:$G$597,MATCH(141,$F$4:$F$597,0)),"")</f>
        <v/>
      </c>
      <c r="F144">
        <f>IF(Geral!$A$147="","",COUNTIF(Geral!$A$7:$A$147,"?*"))</f>
        <v/>
      </c>
      <c r="G144">
        <f>IF(Geral!$A$147="","",Geral!$A$147&amp;" · "&amp;Geral!$E$147)</f>
        <v/>
      </c>
    </row>
    <row r="145">
      <c r="D145" s="40">
        <f>IFERROR(INDEX($G$4:$G$597,MATCH(142,$F$4:$F$597,0)),"")</f>
        <v/>
      </c>
      <c r="F145">
        <f>IF(Geral!$A$148="","",COUNTIF(Geral!$A$7:$A$148,"?*"))</f>
        <v/>
      </c>
      <c r="G145">
        <f>IF(Geral!$A$148="","",Geral!$A$148&amp;" · "&amp;Geral!$E$148)</f>
        <v/>
      </c>
    </row>
    <row r="146">
      <c r="D146" s="40">
        <f>IFERROR(INDEX($G$4:$G$597,MATCH(143,$F$4:$F$597,0)),"")</f>
        <v/>
      </c>
      <c r="F146">
        <f>IF(Geral!$A$149="","",COUNTIF(Geral!$A$7:$A$149,"?*"))</f>
        <v/>
      </c>
      <c r="G146">
        <f>IF(Geral!$A$149="","",Geral!$A$149&amp;" · "&amp;Geral!$E$149)</f>
        <v/>
      </c>
    </row>
    <row r="147">
      <c r="D147" s="40">
        <f>IFERROR(INDEX($G$4:$G$597,MATCH(144,$F$4:$F$597,0)),"")</f>
        <v/>
      </c>
      <c r="F147">
        <f>IF(Geral!$A$150="","",COUNTIF(Geral!$A$7:$A$150,"?*"))</f>
        <v/>
      </c>
      <c r="G147">
        <f>IF(Geral!$A$150="","",Geral!$A$150&amp;" · "&amp;Geral!$E$150)</f>
        <v/>
      </c>
    </row>
    <row r="148">
      <c r="D148" s="40">
        <f>IFERROR(INDEX($G$4:$G$597,MATCH(145,$F$4:$F$597,0)),"")</f>
        <v/>
      </c>
      <c r="F148">
        <f>IF(Geral!$A$151="","",COUNTIF(Geral!$A$7:$A$151,"?*"))</f>
        <v/>
      </c>
      <c r="G148">
        <f>IF(Geral!$A$151="","",Geral!$A$151&amp;" · "&amp;Geral!$E$151)</f>
        <v/>
      </c>
    </row>
    <row r="149">
      <c r="D149" s="40">
        <f>IFERROR(INDEX($G$4:$G$597,MATCH(146,$F$4:$F$597,0)),"")</f>
        <v/>
      </c>
      <c r="F149">
        <f>IF(Geral!$A$152="","",COUNTIF(Geral!$A$7:$A$152,"?*"))</f>
        <v/>
      </c>
      <c r="G149">
        <f>IF(Geral!$A$152="","",Geral!$A$152&amp;" · "&amp;Geral!$E$152)</f>
        <v/>
      </c>
    </row>
    <row r="150">
      <c r="D150" s="40">
        <f>IFERROR(INDEX($G$4:$G$597,MATCH(147,$F$4:$F$597,0)),"")</f>
        <v/>
      </c>
      <c r="F150">
        <f>IF(Geral!$A$153="","",COUNTIF(Geral!$A$7:$A$153,"?*"))</f>
        <v/>
      </c>
      <c r="G150">
        <f>IF(Geral!$A$153="","",Geral!$A$153&amp;" · "&amp;Geral!$E$153)</f>
        <v/>
      </c>
    </row>
    <row r="151">
      <c r="D151" s="40">
        <f>IFERROR(INDEX($G$4:$G$597,MATCH(148,$F$4:$F$597,0)),"")</f>
        <v/>
      </c>
      <c r="F151">
        <f>IF(Geral!$A$154="","",COUNTIF(Geral!$A$7:$A$154,"?*"))</f>
        <v/>
      </c>
      <c r="G151">
        <f>IF(Geral!$A$154="","",Geral!$A$154&amp;" · "&amp;Geral!$E$154)</f>
        <v/>
      </c>
    </row>
    <row r="152">
      <c r="D152" s="40">
        <f>IFERROR(INDEX($G$4:$G$597,MATCH(149,$F$4:$F$597,0)),"")</f>
        <v/>
      </c>
      <c r="F152">
        <f>IF(Geral!$A$155="","",COUNTIF(Geral!$A$7:$A$155,"?*"))</f>
        <v/>
      </c>
      <c r="G152">
        <f>IF(Geral!$A$155="","",Geral!$A$155&amp;" · "&amp;Geral!$E$155)</f>
        <v/>
      </c>
    </row>
    <row r="153">
      <c r="D153" s="40">
        <f>IFERROR(INDEX($G$4:$G$597,MATCH(150,$F$4:$F$597,0)),"")</f>
        <v/>
      </c>
      <c r="F153">
        <f>IF(Geral!$A$156="","",COUNTIF(Geral!$A$7:$A$156,"?*"))</f>
        <v/>
      </c>
      <c r="G153">
        <f>IF(Geral!$A$156="","",Geral!$A$156&amp;" · "&amp;Geral!$E$156)</f>
        <v/>
      </c>
    </row>
    <row r="154">
      <c r="D154" s="40">
        <f>IFERROR(INDEX($G$4:$G$597,MATCH(151,$F$4:$F$597,0)),"")</f>
        <v/>
      </c>
      <c r="F154">
        <f>IF(Geral!$A$157="","",COUNTIF(Geral!$A$7:$A$157,"?*"))</f>
        <v/>
      </c>
      <c r="G154">
        <f>IF(Geral!$A$157="","",Geral!$A$157&amp;" · "&amp;Geral!$E$157)</f>
        <v/>
      </c>
    </row>
    <row r="155">
      <c r="D155" s="40">
        <f>IFERROR(INDEX($G$4:$G$597,MATCH(152,$F$4:$F$597,0)),"")</f>
        <v/>
      </c>
      <c r="F155">
        <f>IF(Geral!$A$158="","",COUNTIF(Geral!$A$7:$A$158,"?*"))</f>
        <v/>
      </c>
      <c r="G155">
        <f>IF(Geral!$A$158="","",Geral!$A$158&amp;" · "&amp;Geral!$E$158)</f>
        <v/>
      </c>
    </row>
    <row r="156">
      <c r="D156" s="40">
        <f>IFERROR(INDEX($G$4:$G$597,MATCH(153,$F$4:$F$597,0)),"")</f>
        <v/>
      </c>
      <c r="F156">
        <f>IF(Geral!$A$159="","",COUNTIF(Geral!$A$7:$A$159,"?*"))</f>
        <v/>
      </c>
      <c r="G156">
        <f>IF(Geral!$A$159="","",Geral!$A$159&amp;" · "&amp;Geral!$E$159)</f>
        <v/>
      </c>
    </row>
    <row r="157">
      <c r="D157" s="40">
        <f>IFERROR(INDEX($G$4:$G$597,MATCH(154,$F$4:$F$597,0)),"")</f>
        <v/>
      </c>
      <c r="F157">
        <f>IF(Geral!$A$160="","",COUNTIF(Geral!$A$7:$A$160,"?*"))</f>
        <v/>
      </c>
      <c r="G157">
        <f>IF(Geral!$A$160="","",Geral!$A$160&amp;" · "&amp;Geral!$E$160)</f>
        <v/>
      </c>
    </row>
    <row r="158">
      <c r="D158" s="40">
        <f>IFERROR(INDEX($G$4:$G$597,MATCH(155,$F$4:$F$597,0)),"")</f>
        <v/>
      </c>
      <c r="F158">
        <f>IF(Geral!$A$161="","",COUNTIF(Geral!$A$7:$A$161,"?*"))</f>
        <v/>
      </c>
      <c r="G158">
        <f>IF(Geral!$A$161="","",Geral!$A$161&amp;" · "&amp;Geral!$E$161)</f>
        <v/>
      </c>
    </row>
    <row r="159">
      <c r="D159" s="40">
        <f>IFERROR(INDEX($G$4:$G$597,MATCH(156,$F$4:$F$597,0)),"")</f>
        <v/>
      </c>
      <c r="F159">
        <f>IF(Geral!$A$162="","",COUNTIF(Geral!$A$7:$A$162,"?*"))</f>
        <v/>
      </c>
      <c r="G159">
        <f>IF(Geral!$A$162="","",Geral!$A$162&amp;" · "&amp;Geral!$E$162)</f>
        <v/>
      </c>
    </row>
    <row r="160">
      <c r="D160" s="40">
        <f>IFERROR(INDEX($G$4:$G$597,MATCH(157,$F$4:$F$597,0)),"")</f>
        <v/>
      </c>
      <c r="F160">
        <f>IF(Geral!$A$163="","",COUNTIF(Geral!$A$7:$A$163,"?*"))</f>
        <v/>
      </c>
      <c r="G160">
        <f>IF(Geral!$A$163="","",Geral!$A$163&amp;" · "&amp;Geral!$E$163)</f>
        <v/>
      </c>
    </row>
    <row r="161">
      <c r="D161" s="40">
        <f>IFERROR(INDEX($G$4:$G$597,MATCH(158,$F$4:$F$597,0)),"")</f>
        <v/>
      </c>
      <c r="F161">
        <f>IF(Geral!$A$164="","",COUNTIF(Geral!$A$7:$A$164,"?*"))</f>
        <v/>
      </c>
      <c r="G161">
        <f>IF(Geral!$A$164="","",Geral!$A$164&amp;" · "&amp;Geral!$E$164)</f>
        <v/>
      </c>
    </row>
    <row r="162">
      <c r="D162" s="40">
        <f>IFERROR(INDEX($G$4:$G$597,MATCH(159,$F$4:$F$597,0)),"")</f>
        <v/>
      </c>
      <c r="F162">
        <f>IF(Geral!$A$165="","",COUNTIF(Geral!$A$7:$A$165,"?*"))</f>
        <v/>
      </c>
      <c r="G162">
        <f>IF(Geral!$A$165="","",Geral!$A$165&amp;" · "&amp;Geral!$E$165)</f>
        <v/>
      </c>
    </row>
    <row r="163">
      <c r="D163" s="40">
        <f>IFERROR(INDEX($G$4:$G$597,MATCH(160,$F$4:$F$597,0)),"")</f>
        <v/>
      </c>
      <c r="F163">
        <f>IF(Geral!$A$166="","",COUNTIF(Geral!$A$7:$A$166,"?*"))</f>
        <v/>
      </c>
      <c r="G163">
        <f>IF(Geral!$A$166="","",Geral!$A$166&amp;" · "&amp;Geral!$E$166)</f>
        <v/>
      </c>
    </row>
    <row r="164">
      <c r="D164" s="40">
        <f>IFERROR(INDEX($G$4:$G$597,MATCH(161,$F$4:$F$597,0)),"")</f>
        <v/>
      </c>
      <c r="F164">
        <f>IF(Geral!$A$167="","",COUNTIF(Geral!$A$7:$A$167,"?*"))</f>
        <v/>
      </c>
      <c r="G164">
        <f>IF(Geral!$A$167="","",Geral!$A$167&amp;" · "&amp;Geral!$E$167)</f>
        <v/>
      </c>
    </row>
    <row r="165">
      <c r="D165" s="40">
        <f>IFERROR(INDEX($G$4:$G$597,MATCH(162,$F$4:$F$597,0)),"")</f>
        <v/>
      </c>
      <c r="F165">
        <f>IF(Geral!$A$168="","",COUNTIF(Geral!$A$7:$A$168,"?*"))</f>
        <v/>
      </c>
      <c r="G165">
        <f>IF(Geral!$A$168="","",Geral!$A$168&amp;" · "&amp;Geral!$E$168)</f>
        <v/>
      </c>
    </row>
    <row r="166">
      <c r="D166" s="40">
        <f>IFERROR(INDEX($G$4:$G$597,MATCH(163,$F$4:$F$597,0)),"")</f>
        <v/>
      </c>
      <c r="F166">
        <f>IF(Geral!$A$169="","",COUNTIF(Geral!$A$7:$A$169,"?*"))</f>
        <v/>
      </c>
      <c r="G166">
        <f>IF(Geral!$A$169="","",Geral!$A$169&amp;" · "&amp;Geral!$E$169)</f>
        <v/>
      </c>
    </row>
    <row r="167">
      <c r="D167" s="40">
        <f>IFERROR(INDEX($G$4:$G$597,MATCH(164,$F$4:$F$597,0)),"")</f>
        <v/>
      </c>
      <c r="F167">
        <f>IF(Geral!$A$170="","",COUNTIF(Geral!$A$7:$A$170,"?*"))</f>
        <v/>
      </c>
      <c r="G167">
        <f>IF(Geral!$A$170="","",Geral!$A$170&amp;" · "&amp;Geral!$E$170)</f>
        <v/>
      </c>
    </row>
    <row r="168">
      <c r="D168" s="40">
        <f>IFERROR(INDEX($G$4:$G$597,MATCH(165,$F$4:$F$597,0)),"")</f>
        <v/>
      </c>
      <c r="F168">
        <f>IF(Geral!$A$171="","",COUNTIF(Geral!$A$7:$A$171,"?*"))</f>
        <v/>
      </c>
      <c r="G168">
        <f>IF(Geral!$A$171="","",Geral!$A$171&amp;" · "&amp;Geral!$E$171)</f>
        <v/>
      </c>
    </row>
    <row r="169">
      <c r="D169" s="40">
        <f>IFERROR(INDEX($G$4:$G$597,MATCH(166,$F$4:$F$597,0)),"")</f>
        <v/>
      </c>
      <c r="F169">
        <f>IF(Geral!$A$172="","",COUNTIF(Geral!$A$7:$A$172,"?*"))</f>
        <v/>
      </c>
      <c r="G169">
        <f>IF(Geral!$A$172="","",Geral!$A$172&amp;" · "&amp;Geral!$E$172)</f>
        <v/>
      </c>
    </row>
    <row r="170">
      <c r="D170" s="40">
        <f>IFERROR(INDEX($G$4:$G$597,MATCH(167,$F$4:$F$597,0)),"")</f>
        <v/>
      </c>
      <c r="F170">
        <f>IF(Geral!$A$173="","",COUNTIF(Geral!$A$7:$A$173,"?*"))</f>
        <v/>
      </c>
      <c r="G170">
        <f>IF(Geral!$A$173="","",Geral!$A$173&amp;" · "&amp;Geral!$E$173)</f>
        <v/>
      </c>
    </row>
    <row r="171">
      <c r="D171" s="40">
        <f>IFERROR(INDEX($G$4:$G$597,MATCH(168,$F$4:$F$597,0)),"")</f>
        <v/>
      </c>
      <c r="F171">
        <f>IF(Geral!$A$174="","",COUNTIF(Geral!$A$7:$A$174,"?*"))</f>
        <v/>
      </c>
      <c r="G171">
        <f>IF(Geral!$A$174="","",Geral!$A$174&amp;" · "&amp;Geral!$E$174)</f>
        <v/>
      </c>
    </row>
    <row r="172">
      <c r="D172" s="40">
        <f>IFERROR(INDEX($G$4:$G$597,MATCH(169,$F$4:$F$597,0)),"")</f>
        <v/>
      </c>
      <c r="F172">
        <f>IF(Geral!$A$175="","",COUNTIF(Geral!$A$7:$A$175,"?*"))</f>
        <v/>
      </c>
      <c r="G172">
        <f>IF(Geral!$A$175="","",Geral!$A$175&amp;" · "&amp;Geral!$E$175)</f>
        <v/>
      </c>
    </row>
    <row r="173">
      <c r="D173" s="40">
        <f>IFERROR(INDEX($G$4:$G$597,MATCH(170,$F$4:$F$597,0)),"")</f>
        <v/>
      </c>
      <c r="F173">
        <f>IF(Geral!$A$176="","",COUNTIF(Geral!$A$7:$A$176,"?*"))</f>
        <v/>
      </c>
      <c r="G173">
        <f>IF(Geral!$A$176="","",Geral!$A$176&amp;" · "&amp;Geral!$E$176)</f>
        <v/>
      </c>
    </row>
    <row r="174">
      <c r="D174" s="40">
        <f>IFERROR(INDEX($G$4:$G$597,MATCH(171,$F$4:$F$597,0)),"")</f>
        <v/>
      </c>
      <c r="F174">
        <f>IF(Geral!$A$177="","",COUNTIF(Geral!$A$7:$A$177,"?*"))</f>
        <v/>
      </c>
      <c r="G174">
        <f>IF(Geral!$A$177="","",Geral!$A$177&amp;" · "&amp;Geral!$E$177)</f>
        <v/>
      </c>
    </row>
    <row r="175">
      <c r="D175" s="40">
        <f>IFERROR(INDEX($G$4:$G$597,MATCH(172,$F$4:$F$597,0)),"")</f>
        <v/>
      </c>
      <c r="F175">
        <f>IF(Geral!$A$178="","",COUNTIF(Geral!$A$7:$A$178,"?*"))</f>
        <v/>
      </c>
      <c r="G175">
        <f>IF(Geral!$A$178="","",Geral!$A$178&amp;" · "&amp;Geral!$E$178)</f>
        <v/>
      </c>
    </row>
    <row r="176">
      <c r="D176" s="40">
        <f>IFERROR(INDEX($G$4:$G$597,MATCH(173,$F$4:$F$597,0)),"")</f>
        <v/>
      </c>
      <c r="F176">
        <f>IF(Geral!$A$179="","",COUNTIF(Geral!$A$7:$A$179,"?*"))</f>
        <v/>
      </c>
      <c r="G176">
        <f>IF(Geral!$A$179="","",Geral!$A$179&amp;" · "&amp;Geral!$E$179)</f>
        <v/>
      </c>
    </row>
    <row r="177">
      <c r="D177" s="40">
        <f>IFERROR(INDEX($G$4:$G$597,MATCH(174,$F$4:$F$597,0)),"")</f>
        <v/>
      </c>
      <c r="F177">
        <f>IF(Geral!$A$180="","",COUNTIF(Geral!$A$7:$A$180,"?*"))</f>
        <v/>
      </c>
      <c r="G177">
        <f>IF(Geral!$A$180="","",Geral!$A$180&amp;" · "&amp;Geral!$E$180)</f>
        <v/>
      </c>
    </row>
    <row r="178">
      <c r="D178" s="40">
        <f>IFERROR(INDEX($G$4:$G$597,MATCH(175,$F$4:$F$597,0)),"")</f>
        <v/>
      </c>
      <c r="F178">
        <f>IF(Geral!$A$181="","",COUNTIF(Geral!$A$7:$A$181,"?*"))</f>
        <v/>
      </c>
      <c r="G178">
        <f>IF(Geral!$A$181="","",Geral!$A$181&amp;" · "&amp;Geral!$E$181)</f>
        <v/>
      </c>
    </row>
    <row r="179">
      <c r="D179" s="40">
        <f>IFERROR(INDEX($G$4:$G$597,MATCH(176,$F$4:$F$597,0)),"")</f>
        <v/>
      </c>
      <c r="F179">
        <f>IF(Geral!$A$182="","",COUNTIF(Geral!$A$7:$A$182,"?*"))</f>
        <v/>
      </c>
      <c r="G179">
        <f>IF(Geral!$A$182="","",Geral!$A$182&amp;" · "&amp;Geral!$E$182)</f>
        <v/>
      </c>
    </row>
    <row r="180">
      <c r="D180" s="40">
        <f>IFERROR(INDEX($G$4:$G$597,MATCH(177,$F$4:$F$597,0)),"")</f>
        <v/>
      </c>
      <c r="F180">
        <f>IF(Geral!$A$183="","",COUNTIF(Geral!$A$7:$A$183,"?*"))</f>
        <v/>
      </c>
      <c r="G180">
        <f>IF(Geral!$A$183="","",Geral!$A$183&amp;" · "&amp;Geral!$E$183)</f>
        <v/>
      </c>
    </row>
    <row r="181">
      <c r="D181" s="40">
        <f>IFERROR(INDEX($G$4:$G$597,MATCH(178,$F$4:$F$597,0)),"")</f>
        <v/>
      </c>
      <c r="F181">
        <f>IF(Geral!$A$184="","",COUNTIF(Geral!$A$7:$A$184,"?*"))</f>
        <v/>
      </c>
      <c r="G181">
        <f>IF(Geral!$A$184="","",Geral!$A$184&amp;" · "&amp;Geral!$E$184)</f>
        <v/>
      </c>
    </row>
    <row r="182">
      <c r="D182" s="40">
        <f>IFERROR(INDEX($G$4:$G$597,MATCH(179,$F$4:$F$597,0)),"")</f>
        <v/>
      </c>
      <c r="F182">
        <f>IF(Geral!$A$185="","",COUNTIF(Geral!$A$7:$A$185,"?*"))</f>
        <v/>
      </c>
      <c r="G182">
        <f>IF(Geral!$A$185="","",Geral!$A$185&amp;" · "&amp;Geral!$E$185)</f>
        <v/>
      </c>
    </row>
    <row r="183">
      <c r="D183" s="40">
        <f>IFERROR(INDEX($G$4:$G$597,MATCH(180,$F$4:$F$597,0)),"")</f>
        <v/>
      </c>
      <c r="F183">
        <f>IF(Geral!$A$186="","",COUNTIF(Geral!$A$7:$A$186,"?*"))</f>
        <v/>
      </c>
      <c r="G183">
        <f>IF(Geral!$A$186="","",Geral!$A$186&amp;" · "&amp;Geral!$E$186)</f>
        <v/>
      </c>
    </row>
    <row r="184">
      <c r="D184" s="40">
        <f>IFERROR(INDEX($G$4:$G$597,MATCH(181,$F$4:$F$597,0)),"")</f>
        <v/>
      </c>
      <c r="F184">
        <f>IF(Geral!$A$187="","",COUNTIF(Geral!$A$7:$A$187,"?*"))</f>
        <v/>
      </c>
      <c r="G184">
        <f>IF(Geral!$A$187="","",Geral!$A$187&amp;" · "&amp;Geral!$E$187)</f>
        <v/>
      </c>
    </row>
    <row r="185">
      <c r="D185" s="40">
        <f>IFERROR(INDEX($G$4:$G$597,MATCH(182,$F$4:$F$597,0)),"")</f>
        <v/>
      </c>
      <c r="F185">
        <f>IF(Geral!$A$188="","",COUNTIF(Geral!$A$7:$A$188,"?*"))</f>
        <v/>
      </c>
      <c r="G185">
        <f>IF(Geral!$A$188="","",Geral!$A$188&amp;" · "&amp;Geral!$E$188)</f>
        <v/>
      </c>
    </row>
    <row r="186">
      <c r="D186" s="40">
        <f>IFERROR(INDEX($G$4:$G$597,MATCH(183,$F$4:$F$597,0)),"")</f>
        <v/>
      </c>
      <c r="F186">
        <f>IF(Geral!$A$189="","",COUNTIF(Geral!$A$7:$A$189,"?*"))</f>
        <v/>
      </c>
      <c r="G186">
        <f>IF(Geral!$A$189="","",Geral!$A$189&amp;" · "&amp;Geral!$E$189)</f>
        <v/>
      </c>
    </row>
    <row r="187">
      <c r="D187" s="40">
        <f>IFERROR(INDEX($G$4:$G$597,MATCH(184,$F$4:$F$597,0)),"")</f>
        <v/>
      </c>
      <c r="F187">
        <f>IF(Geral!$A$190="","",COUNTIF(Geral!$A$7:$A$190,"?*"))</f>
        <v/>
      </c>
      <c r="G187">
        <f>IF(Geral!$A$190="","",Geral!$A$190&amp;" · "&amp;Geral!$E$190)</f>
        <v/>
      </c>
    </row>
    <row r="188">
      <c r="D188" s="40">
        <f>IFERROR(INDEX($G$4:$G$597,MATCH(185,$F$4:$F$597,0)),"")</f>
        <v/>
      </c>
      <c r="F188">
        <f>IF(Geral!$A$191="","",COUNTIF(Geral!$A$7:$A$191,"?*"))</f>
        <v/>
      </c>
      <c r="G188">
        <f>IF(Geral!$A$191="","",Geral!$A$191&amp;" · "&amp;Geral!$E$191)</f>
        <v/>
      </c>
    </row>
    <row r="189">
      <c r="D189" s="40">
        <f>IFERROR(INDEX($G$4:$G$597,MATCH(186,$F$4:$F$597,0)),"")</f>
        <v/>
      </c>
      <c r="F189">
        <f>IF(Geral!$A$192="","",COUNTIF(Geral!$A$7:$A$192,"?*"))</f>
        <v/>
      </c>
      <c r="G189">
        <f>IF(Geral!$A$192="","",Geral!$A$192&amp;" · "&amp;Geral!$E$192)</f>
        <v/>
      </c>
    </row>
    <row r="190">
      <c r="D190" s="40">
        <f>IFERROR(INDEX($G$4:$G$597,MATCH(187,$F$4:$F$597,0)),"")</f>
        <v/>
      </c>
      <c r="F190">
        <f>IF(Geral!$A$193="","",COUNTIF(Geral!$A$7:$A$193,"?*"))</f>
        <v/>
      </c>
      <c r="G190">
        <f>IF(Geral!$A$193="","",Geral!$A$193&amp;" · "&amp;Geral!$E$193)</f>
        <v/>
      </c>
    </row>
    <row r="191">
      <c r="D191" s="40">
        <f>IFERROR(INDEX($G$4:$G$597,MATCH(188,$F$4:$F$597,0)),"")</f>
        <v/>
      </c>
      <c r="F191">
        <f>IF(Geral!$A$194="","",COUNTIF(Geral!$A$7:$A$194,"?*"))</f>
        <v/>
      </c>
      <c r="G191">
        <f>IF(Geral!$A$194="","",Geral!$A$194&amp;" · "&amp;Geral!$E$194)</f>
        <v/>
      </c>
    </row>
    <row r="192">
      <c r="D192" s="40">
        <f>IFERROR(INDEX($G$4:$G$597,MATCH(189,$F$4:$F$597,0)),"")</f>
        <v/>
      </c>
      <c r="F192">
        <f>IF(Geral!$A$195="","",COUNTIF(Geral!$A$7:$A$195,"?*"))</f>
        <v/>
      </c>
      <c r="G192">
        <f>IF(Geral!$A$195="","",Geral!$A$195&amp;" · "&amp;Geral!$E$195)</f>
        <v/>
      </c>
    </row>
    <row r="193">
      <c r="D193" s="40">
        <f>IFERROR(INDEX($G$4:$G$597,MATCH(190,$F$4:$F$597,0)),"")</f>
        <v/>
      </c>
      <c r="F193">
        <f>IF(Geral!$A$196="","",COUNTIF(Geral!$A$7:$A$196,"?*"))</f>
        <v/>
      </c>
      <c r="G193">
        <f>IF(Geral!$A$196="","",Geral!$A$196&amp;" · "&amp;Geral!$E$196)</f>
        <v/>
      </c>
    </row>
    <row r="194">
      <c r="D194" s="40">
        <f>IFERROR(INDEX($G$4:$G$597,MATCH(191,$F$4:$F$597,0)),"")</f>
        <v/>
      </c>
      <c r="F194">
        <f>IF(Geral!$A$197="","",COUNTIF(Geral!$A$7:$A$197,"?*"))</f>
        <v/>
      </c>
      <c r="G194">
        <f>IF(Geral!$A$197="","",Geral!$A$197&amp;" · "&amp;Geral!$E$197)</f>
        <v/>
      </c>
    </row>
    <row r="195">
      <c r="D195" s="40">
        <f>IFERROR(INDEX($G$4:$G$597,MATCH(192,$F$4:$F$597,0)),"")</f>
        <v/>
      </c>
      <c r="F195">
        <f>IF(Geral!$A$198="","",COUNTIF(Geral!$A$7:$A$198,"?*"))</f>
        <v/>
      </c>
      <c r="G195">
        <f>IF(Geral!$A$198="","",Geral!$A$198&amp;" · "&amp;Geral!$E$198)</f>
        <v/>
      </c>
    </row>
    <row r="196">
      <c r="D196" s="40">
        <f>IFERROR(INDEX($G$4:$G$597,MATCH(193,$F$4:$F$597,0)),"")</f>
        <v/>
      </c>
      <c r="F196">
        <f>IF(Geral!$A$199="","",COUNTIF(Geral!$A$7:$A$199,"?*"))</f>
        <v/>
      </c>
      <c r="G196">
        <f>IF(Geral!$A$199="","",Geral!$A$199&amp;" · "&amp;Geral!$E$199)</f>
        <v/>
      </c>
    </row>
    <row r="197">
      <c r="D197" s="40">
        <f>IFERROR(INDEX($G$4:$G$597,MATCH(194,$F$4:$F$597,0)),"")</f>
        <v/>
      </c>
      <c r="F197">
        <f>IF(Geral!$A$200="","",COUNTIF(Geral!$A$7:$A$200,"?*"))</f>
        <v/>
      </c>
      <c r="G197">
        <f>IF(Geral!$A$200="","",Geral!$A$200&amp;" · "&amp;Geral!$E$200)</f>
        <v/>
      </c>
    </row>
    <row r="198">
      <c r="D198" s="40">
        <f>IFERROR(INDEX($G$4:$G$597,MATCH(195,$F$4:$F$597,0)),"")</f>
        <v/>
      </c>
      <c r="F198">
        <f>IF(Geral!$A$201="","",COUNTIF(Geral!$A$7:$A$201,"?*"))</f>
        <v/>
      </c>
      <c r="G198">
        <f>IF(Geral!$A$201="","",Geral!$A$201&amp;" · "&amp;Geral!$E$201)</f>
        <v/>
      </c>
    </row>
    <row r="199">
      <c r="D199" s="40">
        <f>IFERROR(INDEX($G$4:$G$597,MATCH(196,$F$4:$F$597,0)),"")</f>
        <v/>
      </c>
      <c r="F199">
        <f>IF(Geral!$A$202="","",COUNTIF(Geral!$A$7:$A$202,"?*"))</f>
        <v/>
      </c>
      <c r="G199">
        <f>IF(Geral!$A$202="","",Geral!$A$202&amp;" · "&amp;Geral!$E$202)</f>
        <v/>
      </c>
    </row>
    <row r="200">
      <c r="D200" s="40">
        <f>IFERROR(INDEX($G$4:$G$597,MATCH(197,$F$4:$F$597,0)),"")</f>
        <v/>
      </c>
      <c r="F200">
        <f>IF(Geral!$A$203="","",COUNTIF(Geral!$A$7:$A$203,"?*"))</f>
        <v/>
      </c>
      <c r="G200">
        <f>IF(Geral!$A$203="","",Geral!$A$203&amp;" · "&amp;Geral!$E$203)</f>
        <v/>
      </c>
    </row>
    <row r="201">
      <c r="D201" s="40">
        <f>IFERROR(INDEX($G$4:$G$597,MATCH(198,$F$4:$F$597,0)),"")</f>
        <v/>
      </c>
      <c r="F201">
        <f>IF(Geral!$A$204="","",COUNTIF(Geral!$A$7:$A$204,"?*"))</f>
        <v/>
      </c>
      <c r="G201">
        <f>IF(Geral!$A$204="","",Geral!$A$204&amp;" · "&amp;Geral!$E$204)</f>
        <v/>
      </c>
    </row>
    <row r="202">
      <c r="D202" s="40">
        <f>IFERROR(INDEX($G$4:$G$597,MATCH(199,$F$4:$F$597,0)),"")</f>
        <v/>
      </c>
      <c r="F202">
        <f>IF(Geral!$A$205="","",COUNTIF(Geral!$A$7:$A$205,"?*"))</f>
        <v/>
      </c>
      <c r="G202">
        <f>IF(Geral!$A$205="","",Geral!$A$205&amp;" · "&amp;Geral!$E$205)</f>
        <v/>
      </c>
    </row>
    <row r="203">
      <c r="D203" s="40">
        <f>IFERROR(INDEX($G$4:$G$597,MATCH(200,$F$4:$F$597,0)),"")</f>
        <v/>
      </c>
      <c r="F203">
        <f>IF(Geral!$A$206="","",COUNTIF(Geral!$A$7:$A$206,"?*"))</f>
        <v/>
      </c>
      <c r="G203">
        <f>IF(Geral!$A$206="","",Geral!$A$206&amp;" · "&amp;Geral!$E$206)</f>
        <v/>
      </c>
    </row>
    <row r="204">
      <c r="D204" s="40">
        <f>IFERROR(INDEX($G$4:$G$597,MATCH(201,$F$4:$F$597,0)),"")</f>
        <v/>
      </c>
      <c r="F204">
        <f>IF(Geral!$A$207="","",COUNTIF(Geral!$A$7:$A$207,"?*"))</f>
        <v/>
      </c>
      <c r="G204">
        <f>IF(Geral!$A$207="","",Geral!$A$207&amp;" · "&amp;Geral!$E$207)</f>
        <v/>
      </c>
    </row>
    <row r="205">
      <c r="D205" s="40">
        <f>IFERROR(INDEX($G$4:$G$597,MATCH(202,$F$4:$F$597,0)),"")</f>
        <v/>
      </c>
      <c r="F205">
        <f>IF(Geral!$A$208="","",COUNTIF(Geral!$A$7:$A$208,"?*"))</f>
        <v/>
      </c>
      <c r="G205">
        <f>IF(Geral!$A$208="","",Geral!$A$208&amp;" · "&amp;Geral!$E$208)</f>
        <v/>
      </c>
    </row>
    <row r="206">
      <c r="D206" s="40">
        <f>IFERROR(INDEX($G$4:$G$597,MATCH(203,$F$4:$F$597,0)),"")</f>
        <v/>
      </c>
      <c r="F206">
        <f>IF(Geral!$A$209="","",COUNTIF(Geral!$A$7:$A$209,"?*"))</f>
        <v/>
      </c>
      <c r="G206">
        <f>IF(Geral!$A$209="","",Geral!$A$209&amp;" · "&amp;Geral!$E$209)</f>
        <v/>
      </c>
    </row>
    <row r="207">
      <c r="D207" s="40">
        <f>IFERROR(INDEX($G$4:$G$597,MATCH(204,$F$4:$F$597,0)),"")</f>
        <v/>
      </c>
      <c r="F207">
        <f>IF(Geral!$A$210="","",COUNTIF(Geral!$A$7:$A$210,"?*"))</f>
        <v/>
      </c>
      <c r="G207">
        <f>IF(Geral!$A$210="","",Geral!$A$210&amp;" · "&amp;Geral!$E$210)</f>
        <v/>
      </c>
    </row>
    <row r="208">
      <c r="D208" s="40">
        <f>IFERROR(INDEX($G$4:$G$597,MATCH(205,$F$4:$F$597,0)),"")</f>
        <v/>
      </c>
      <c r="F208">
        <f>IF(Geral!$A$211="","",COUNTIF(Geral!$A$7:$A$211,"?*"))</f>
        <v/>
      </c>
      <c r="G208">
        <f>IF(Geral!$A$211="","",Geral!$A$211&amp;" · "&amp;Geral!$E$211)</f>
        <v/>
      </c>
    </row>
    <row r="209">
      <c r="D209" s="40">
        <f>IFERROR(INDEX($G$4:$G$597,MATCH(206,$F$4:$F$597,0)),"")</f>
        <v/>
      </c>
      <c r="F209">
        <f>IF(Geral!$A$212="","",COUNTIF(Geral!$A$7:$A$212,"?*"))</f>
        <v/>
      </c>
      <c r="G209">
        <f>IF(Geral!$A$212="","",Geral!$A$212&amp;" · "&amp;Geral!$E$212)</f>
        <v/>
      </c>
    </row>
    <row r="210">
      <c r="D210" s="40">
        <f>IFERROR(INDEX($G$4:$G$597,MATCH(207,$F$4:$F$597,0)),"")</f>
        <v/>
      </c>
      <c r="F210">
        <f>IF(Geral!$A$213="","",COUNTIF(Geral!$A$7:$A$213,"?*"))</f>
        <v/>
      </c>
      <c r="G210">
        <f>IF(Geral!$A$213="","",Geral!$A$213&amp;" · "&amp;Geral!$E$213)</f>
        <v/>
      </c>
    </row>
    <row r="211">
      <c r="D211" s="40">
        <f>IFERROR(INDEX($G$4:$G$597,MATCH(208,$F$4:$F$597,0)),"")</f>
        <v/>
      </c>
      <c r="F211">
        <f>IF(Geral!$A$214="","",COUNTIF(Geral!$A$7:$A$214,"?*"))</f>
        <v/>
      </c>
      <c r="G211">
        <f>IF(Geral!$A$214="","",Geral!$A$214&amp;" · "&amp;Geral!$E$214)</f>
        <v/>
      </c>
    </row>
    <row r="212">
      <c r="D212" s="40">
        <f>IFERROR(INDEX($G$4:$G$597,MATCH(209,$F$4:$F$597,0)),"")</f>
        <v/>
      </c>
      <c r="F212">
        <f>IF(Geral!$A$215="","",COUNTIF(Geral!$A$7:$A$215,"?*"))</f>
        <v/>
      </c>
      <c r="G212">
        <f>IF(Geral!$A$215="","",Geral!$A$215&amp;" · "&amp;Geral!$E$215)</f>
        <v/>
      </c>
    </row>
    <row r="213">
      <c r="D213" s="40">
        <f>IFERROR(INDEX($G$4:$G$597,MATCH(210,$F$4:$F$597,0)),"")</f>
        <v/>
      </c>
      <c r="F213">
        <f>IF(Geral!$A$216="","",COUNTIF(Geral!$A$7:$A$216,"?*"))</f>
        <v/>
      </c>
      <c r="G213">
        <f>IF(Geral!$A$216="","",Geral!$A$216&amp;" · "&amp;Geral!$E$216)</f>
        <v/>
      </c>
    </row>
    <row r="214">
      <c r="D214" s="40">
        <f>IFERROR(INDEX($G$4:$G$597,MATCH(211,$F$4:$F$597,0)),"")</f>
        <v/>
      </c>
      <c r="F214">
        <f>IF(Geral!$A$217="","",COUNTIF(Geral!$A$7:$A$217,"?*"))</f>
        <v/>
      </c>
      <c r="G214">
        <f>IF(Geral!$A$217="","",Geral!$A$217&amp;" · "&amp;Geral!$E$217)</f>
        <v/>
      </c>
    </row>
    <row r="215">
      <c r="D215" s="40">
        <f>IFERROR(INDEX($G$4:$G$597,MATCH(212,$F$4:$F$597,0)),"")</f>
        <v/>
      </c>
      <c r="F215">
        <f>IF(Geral!$A$218="","",COUNTIF(Geral!$A$7:$A$218,"?*"))</f>
        <v/>
      </c>
      <c r="G215">
        <f>IF(Geral!$A$218="","",Geral!$A$218&amp;" · "&amp;Geral!$E$218)</f>
        <v/>
      </c>
    </row>
    <row r="216">
      <c r="D216" s="40">
        <f>IFERROR(INDEX($G$4:$G$597,MATCH(213,$F$4:$F$597,0)),"")</f>
        <v/>
      </c>
      <c r="F216">
        <f>IF(Geral!$A$219="","",COUNTIF(Geral!$A$7:$A$219,"?*"))</f>
        <v/>
      </c>
      <c r="G216">
        <f>IF(Geral!$A$219="","",Geral!$A$219&amp;" · "&amp;Geral!$E$219)</f>
        <v/>
      </c>
    </row>
    <row r="217">
      <c r="D217" s="40">
        <f>IFERROR(INDEX($G$4:$G$597,MATCH(214,$F$4:$F$597,0)),"")</f>
        <v/>
      </c>
      <c r="F217">
        <f>IF(Geral!$A$220="","",COUNTIF(Geral!$A$7:$A$220,"?*"))</f>
        <v/>
      </c>
      <c r="G217">
        <f>IF(Geral!$A$220="","",Geral!$A$220&amp;" · "&amp;Geral!$E$220)</f>
        <v/>
      </c>
    </row>
    <row r="218">
      <c r="D218" s="40">
        <f>IFERROR(INDEX($G$4:$G$597,MATCH(215,$F$4:$F$597,0)),"")</f>
        <v/>
      </c>
      <c r="F218">
        <f>IF(Geral!$A$221="","",COUNTIF(Geral!$A$7:$A$221,"?*"))</f>
        <v/>
      </c>
      <c r="G218">
        <f>IF(Geral!$A$221="","",Geral!$A$221&amp;" · "&amp;Geral!$E$221)</f>
        <v/>
      </c>
    </row>
    <row r="219">
      <c r="D219" s="40">
        <f>IFERROR(INDEX($G$4:$G$597,MATCH(216,$F$4:$F$597,0)),"")</f>
        <v/>
      </c>
      <c r="F219">
        <f>IF(Geral!$A$222="","",COUNTIF(Geral!$A$7:$A$222,"?*"))</f>
        <v/>
      </c>
      <c r="G219">
        <f>IF(Geral!$A$222="","",Geral!$A$222&amp;" · "&amp;Geral!$E$222)</f>
        <v/>
      </c>
    </row>
    <row r="220">
      <c r="D220" s="40">
        <f>IFERROR(INDEX($G$4:$G$597,MATCH(217,$F$4:$F$597,0)),"")</f>
        <v/>
      </c>
      <c r="F220">
        <f>IF(Geral!$A$223="","",COUNTIF(Geral!$A$7:$A$223,"?*"))</f>
        <v/>
      </c>
      <c r="G220">
        <f>IF(Geral!$A$223="","",Geral!$A$223&amp;" · "&amp;Geral!$E$223)</f>
        <v/>
      </c>
    </row>
    <row r="221">
      <c r="D221" s="40">
        <f>IFERROR(INDEX($G$4:$G$597,MATCH(218,$F$4:$F$597,0)),"")</f>
        <v/>
      </c>
      <c r="F221">
        <f>IF(Geral!$A$224="","",COUNTIF(Geral!$A$7:$A$224,"?*"))</f>
        <v/>
      </c>
      <c r="G221">
        <f>IF(Geral!$A$224="","",Geral!$A$224&amp;" · "&amp;Geral!$E$224)</f>
        <v/>
      </c>
    </row>
    <row r="222">
      <c r="D222" s="40">
        <f>IFERROR(INDEX($G$4:$G$597,MATCH(219,$F$4:$F$597,0)),"")</f>
        <v/>
      </c>
      <c r="F222">
        <f>IF(Geral!$A$225="","",COUNTIF(Geral!$A$7:$A$225,"?*"))</f>
        <v/>
      </c>
      <c r="G222">
        <f>IF(Geral!$A$225="","",Geral!$A$225&amp;" · "&amp;Geral!$E$225)</f>
        <v/>
      </c>
    </row>
    <row r="223">
      <c r="D223" s="40">
        <f>IFERROR(INDEX($G$4:$G$597,MATCH(220,$F$4:$F$597,0)),"")</f>
        <v/>
      </c>
      <c r="F223">
        <f>IF(Geral!$A$226="","",COUNTIF(Geral!$A$7:$A$226,"?*"))</f>
        <v/>
      </c>
      <c r="G223">
        <f>IF(Geral!$A$226="","",Geral!$A$226&amp;" · "&amp;Geral!$E$226)</f>
        <v/>
      </c>
    </row>
    <row r="224">
      <c r="D224" s="40">
        <f>IFERROR(INDEX($G$4:$G$597,MATCH(221,$F$4:$F$597,0)),"")</f>
        <v/>
      </c>
      <c r="F224">
        <f>IF(Geral!$A$227="","",COUNTIF(Geral!$A$7:$A$227,"?*"))</f>
        <v/>
      </c>
      <c r="G224">
        <f>IF(Geral!$A$227="","",Geral!$A$227&amp;" · "&amp;Geral!$E$227)</f>
        <v/>
      </c>
    </row>
    <row r="225">
      <c r="D225" s="40">
        <f>IFERROR(INDEX($G$4:$G$597,MATCH(222,$F$4:$F$597,0)),"")</f>
        <v/>
      </c>
      <c r="F225">
        <f>IF(Geral!$A$228="","",COUNTIF(Geral!$A$7:$A$228,"?*"))</f>
        <v/>
      </c>
      <c r="G225">
        <f>IF(Geral!$A$228="","",Geral!$A$228&amp;" · "&amp;Geral!$E$228)</f>
        <v/>
      </c>
    </row>
    <row r="226">
      <c r="D226" s="40">
        <f>IFERROR(INDEX($G$4:$G$597,MATCH(223,$F$4:$F$597,0)),"")</f>
        <v/>
      </c>
      <c r="F226">
        <f>IF(Geral!$A$229="","",COUNTIF(Geral!$A$7:$A$229,"?*"))</f>
        <v/>
      </c>
      <c r="G226">
        <f>IF(Geral!$A$229="","",Geral!$A$229&amp;" · "&amp;Geral!$E$229)</f>
        <v/>
      </c>
    </row>
    <row r="227">
      <c r="D227" s="40">
        <f>IFERROR(INDEX($G$4:$G$597,MATCH(224,$F$4:$F$597,0)),"")</f>
        <v/>
      </c>
      <c r="F227">
        <f>IF(Geral!$A$230="","",COUNTIF(Geral!$A$7:$A$230,"?*"))</f>
        <v/>
      </c>
      <c r="G227">
        <f>IF(Geral!$A$230="","",Geral!$A$230&amp;" · "&amp;Geral!$E$230)</f>
        <v/>
      </c>
    </row>
    <row r="228">
      <c r="D228" s="40">
        <f>IFERROR(INDEX($G$4:$G$597,MATCH(225,$F$4:$F$597,0)),"")</f>
        <v/>
      </c>
      <c r="F228">
        <f>IF(Geral!$A$231="","",COUNTIF(Geral!$A$7:$A$231,"?*"))</f>
        <v/>
      </c>
      <c r="G228">
        <f>IF(Geral!$A$231="","",Geral!$A$231&amp;" · "&amp;Geral!$E$231)</f>
        <v/>
      </c>
    </row>
    <row r="229">
      <c r="D229" s="40">
        <f>IFERROR(INDEX($G$4:$G$597,MATCH(226,$F$4:$F$597,0)),"")</f>
        <v/>
      </c>
      <c r="F229">
        <f>IF(Geral!$A$232="","",COUNTIF(Geral!$A$7:$A$232,"?*"))</f>
        <v/>
      </c>
      <c r="G229">
        <f>IF(Geral!$A$232="","",Geral!$A$232&amp;" · "&amp;Geral!$E$232)</f>
        <v/>
      </c>
    </row>
    <row r="230">
      <c r="D230" s="40">
        <f>IFERROR(INDEX($G$4:$G$597,MATCH(227,$F$4:$F$597,0)),"")</f>
        <v/>
      </c>
      <c r="F230">
        <f>IF(Geral!$A$233="","",COUNTIF(Geral!$A$7:$A$233,"?*"))</f>
        <v/>
      </c>
      <c r="G230">
        <f>IF(Geral!$A$233="","",Geral!$A$233&amp;" · "&amp;Geral!$E$233)</f>
        <v/>
      </c>
    </row>
    <row r="231">
      <c r="D231" s="40">
        <f>IFERROR(INDEX($G$4:$G$597,MATCH(228,$F$4:$F$597,0)),"")</f>
        <v/>
      </c>
      <c r="F231">
        <f>IF(Geral!$A$234="","",COUNTIF(Geral!$A$7:$A$234,"?*"))</f>
        <v/>
      </c>
      <c r="G231">
        <f>IF(Geral!$A$234="","",Geral!$A$234&amp;" · "&amp;Geral!$E$234)</f>
        <v/>
      </c>
    </row>
    <row r="232">
      <c r="D232" s="40">
        <f>IFERROR(INDEX($G$4:$G$597,MATCH(229,$F$4:$F$597,0)),"")</f>
        <v/>
      </c>
      <c r="F232">
        <f>IF(Geral!$A$235="","",COUNTIF(Geral!$A$7:$A$235,"?*"))</f>
        <v/>
      </c>
      <c r="G232">
        <f>IF(Geral!$A$235="","",Geral!$A$235&amp;" · "&amp;Geral!$E$235)</f>
        <v/>
      </c>
    </row>
    <row r="233">
      <c r="D233" s="40">
        <f>IFERROR(INDEX($G$4:$G$597,MATCH(230,$F$4:$F$597,0)),"")</f>
        <v/>
      </c>
      <c r="F233">
        <f>IF(Geral!$A$236="","",COUNTIF(Geral!$A$7:$A$236,"?*"))</f>
        <v/>
      </c>
      <c r="G233">
        <f>IF(Geral!$A$236="","",Geral!$A$236&amp;" · "&amp;Geral!$E$236)</f>
        <v/>
      </c>
    </row>
    <row r="234">
      <c r="D234" s="40">
        <f>IFERROR(INDEX($G$4:$G$597,MATCH(231,$F$4:$F$597,0)),"")</f>
        <v/>
      </c>
      <c r="F234">
        <f>IF(Geral!$A$237="","",COUNTIF(Geral!$A$7:$A$237,"?*"))</f>
        <v/>
      </c>
      <c r="G234">
        <f>IF(Geral!$A$237="","",Geral!$A$237&amp;" · "&amp;Geral!$E$237)</f>
        <v/>
      </c>
    </row>
    <row r="235">
      <c r="D235" s="40">
        <f>IFERROR(INDEX($G$4:$G$597,MATCH(232,$F$4:$F$597,0)),"")</f>
        <v/>
      </c>
      <c r="F235">
        <f>IF(Geral!$A$238="","",COUNTIF(Geral!$A$7:$A$238,"?*"))</f>
        <v/>
      </c>
      <c r="G235">
        <f>IF(Geral!$A$238="","",Geral!$A$238&amp;" · "&amp;Geral!$E$238)</f>
        <v/>
      </c>
    </row>
    <row r="236">
      <c r="D236" s="40">
        <f>IFERROR(INDEX($G$4:$G$597,MATCH(233,$F$4:$F$597,0)),"")</f>
        <v/>
      </c>
      <c r="F236">
        <f>IF(Geral!$A$239="","",COUNTIF(Geral!$A$7:$A$239,"?*"))</f>
        <v/>
      </c>
      <c r="G236">
        <f>IF(Geral!$A$239="","",Geral!$A$239&amp;" · "&amp;Geral!$E$239)</f>
        <v/>
      </c>
    </row>
    <row r="237">
      <c r="D237" s="40">
        <f>IFERROR(INDEX($G$4:$G$597,MATCH(234,$F$4:$F$597,0)),"")</f>
        <v/>
      </c>
      <c r="F237">
        <f>IF(Geral!$A$240="","",COUNTIF(Geral!$A$7:$A$240,"?*"))</f>
        <v/>
      </c>
      <c r="G237">
        <f>IF(Geral!$A$240="","",Geral!$A$240&amp;" · "&amp;Geral!$E$240)</f>
        <v/>
      </c>
    </row>
    <row r="238">
      <c r="D238" s="40">
        <f>IFERROR(INDEX($G$4:$G$597,MATCH(235,$F$4:$F$597,0)),"")</f>
        <v/>
      </c>
      <c r="F238">
        <f>IF(Geral!$A$241="","",COUNTIF(Geral!$A$7:$A$241,"?*"))</f>
        <v/>
      </c>
      <c r="G238">
        <f>IF(Geral!$A$241="","",Geral!$A$241&amp;" · "&amp;Geral!$E$241)</f>
        <v/>
      </c>
    </row>
    <row r="239">
      <c r="D239" s="40">
        <f>IFERROR(INDEX($G$4:$G$597,MATCH(236,$F$4:$F$597,0)),"")</f>
        <v/>
      </c>
      <c r="F239">
        <f>IF(Geral!$A$242="","",COUNTIF(Geral!$A$7:$A$242,"?*"))</f>
        <v/>
      </c>
      <c r="G239">
        <f>IF(Geral!$A$242="","",Geral!$A$242&amp;" · "&amp;Geral!$E$242)</f>
        <v/>
      </c>
    </row>
    <row r="240">
      <c r="D240" s="40">
        <f>IFERROR(INDEX($G$4:$G$597,MATCH(237,$F$4:$F$597,0)),"")</f>
        <v/>
      </c>
      <c r="F240">
        <f>IF(Geral!$A$243="","",COUNTIF(Geral!$A$7:$A$243,"?*"))</f>
        <v/>
      </c>
      <c r="G240">
        <f>IF(Geral!$A$243="","",Geral!$A$243&amp;" · "&amp;Geral!$E$243)</f>
        <v/>
      </c>
    </row>
    <row r="241">
      <c r="D241" s="40">
        <f>IFERROR(INDEX($G$4:$G$597,MATCH(238,$F$4:$F$597,0)),"")</f>
        <v/>
      </c>
      <c r="F241">
        <f>IF(Geral!$A$244="","",COUNTIF(Geral!$A$7:$A$244,"?*"))</f>
        <v/>
      </c>
      <c r="G241">
        <f>IF(Geral!$A$244="","",Geral!$A$244&amp;" · "&amp;Geral!$E$244)</f>
        <v/>
      </c>
    </row>
    <row r="242">
      <c r="D242" s="40">
        <f>IFERROR(INDEX($G$4:$G$597,MATCH(239,$F$4:$F$597,0)),"")</f>
        <v/>
      </c>
      <c r="F242">
        <f>IF(Geral!$A$245="","",COUNTIF(Geral!$A$7:$A$245,"?*"))</f>
        <v/>
      </c>
      <c r="G242">
        <f>IF(Geral!$A$245="","",Geral!$A$245&amp;" · "&amp;Geral!$E$245)</f>
        <v/>
      </c>
    </row>
    <row r="243">
      <c r="D243" s="40">
        <f>IFERROR(INDEX($G$4:$G$597,MATCH(240,$F$4:$F$597,0)),"")</f>
        <v/>
      </c>
      <c r="F243">
        <f>IF(Geral!$A$246="","",COUNTIF(Geral!$A$7:$A$246,"?*"))</f>
        <v/>
      </c>
      <c r="G243">
        <f>IF(Geral!$A$246="","",Geral!$A$246&amp;" · "&amp;Geral!$E$246)</f>
        <v/>
      </c>
    </row>
    <row r="244">
      <c r="D244" s="40">
        <f>IFERROR(INDEX($G$4:$G$597,MATCH(241,$F$4:$F$597,0)),"")</f>
        <v/>
      </c>
      <c r="F244">
        <f>IF(Geral!$A$247="","",COUNTIF(Geral!$A$7:$A$247,"?*"))</f>
        <v/>
      </c>
      <c r="G244">
        <f>IF(Geral!$A$247="","",Geral!$A$247&amp;" · "&amp;Geral!$E$247)</f>
        <v/>
      </c>
    </row>
    <row r="245">
      <c r="D245" s="40">
        <f>IFERROR(INDEX($G$4:$G$597,MATCH(242,$F$4:$F$597,0)),"")</f>
        <v/>
      </c>
      <c r="F245">
        <f>IF(Geral!$A$248="","",COUNTIF(Geral!$A$7:$A$248,"?*"))</f>
        <v/>
      </c>
      <c r="G245">
        <f>IF(Geral!$A$248="","",Geral!$A$248&amp;" · "&amp;Geral!$E$248)</f>
        <v/>
      </c>
    </row>
    <row r="246">
      <c r="D246" s="40">
        <f>IFERROR(INDEX($G$4:$G$597,MATCH(243,$F$4:$F$597,0)),"")</f>
        <v/>
      </c>
      <c r="F246">
        <f>IF(Geral!$A$249="","",COUNTIF(Geral!$A$7:$A$249,"?*"))</f>
        <v/>
      </c>
      <c r="G246">
        <f>IF(Geral!$A$249="","",Geral!$A$249&amp;" · "&amp;Geral!$E$249)</f>
        <v/>
      </c>
    </row>
    <row r="247">
      <c r="D247" s="40">
        <f>IFERROR(INDEX($G$4:$G$597,MATCH(244,$F$4:$F$597,0)),"")</f>
        <v/>
      </c>
      <c r="F247">
        <f>IF(Geral!$A$250="","",COUNTIF(Geral!$A$7:$A$250,"?*"))</f>
        <v/>
      </c>
      <c r="G247">
        <f>IF(Geral!$A$250="","",Geral!$A$250&amp;" · "&amp;Geral!$E$250)</f>
        <v/>
      </c>
    </row>
    <row r="248">
      <c r="D248" s="40">
        <f>IFERROR(INDEX($G$4:$G$597,MATCH(245,$F$4:$F$597,0)),"")</f>
        <v/>
      </c>
      <c r="F248">
        <f>IF(Geral!$A$251="","",COUNTIF(Geral!$A$7:$A$251,"?*"))</f>
        <v/>
      </c>
      <c r="G248">
        <f>IF(Geral!$A$251="","",Geral!$A$251&amp;" · "&amp;Geral!$E$251)</f>
        <v/>
      </c>
    </row>
    <row r="249">
      <c r="D249" s="40">
        <f>IFERROR(INDEX($G$4:$G$597,MATCH(246,$F$4:$F$597,0)),"")</f>
        <v/>
      </c>
      <c r="F249">
        <f>IF(Geral!$A$252="","",COUNTIF(Geral!$A$7:$A$252,"?*"))</f>
        <v/>
      </c>
      <c r="G249">
        <f>IF(Geral!$A$252="","",Geral!$A$252&amp;" · "&amp;Geral!$E$252)</f>
        <v/>
      </c>
    </row>
    <row r="250">
      <c r="D250" s="40">
        <f>IFERROR(INDEX($G$4:$G$597,MATCH(247,$F$4:$F$597,0)),"")</f>
        <v/>
      </c>
      <c r="F250">
        <f>IF(Geral!$A$253="","",COUNTIF(Geral!$A$7:$A$253,"?*"))</f>
        <v/>
      </c>
      <c r="G250">
        <f>IF(Geral!$A$253="","",Geral!$A$253&amp;" · "&amp;Geral!$E$253)</f>
        <v/>
      </c>
    </row>
    <row r="251">
      <c r="D251" s="40">
        <f>IFERROR(INDEX($G$4:$G$597,MATCH(248,$F$4:$F$597,0)),"")</f>
        <v/>
      </c>
      <c r="F251">
        <f>IF(Geral!$A$254="","",COUNTIF(Geral!$A$7:$A$254,"?*"))</f>
        <v/>
      </c>
      <c r="G251">
        <f>IF(Geral!$A$254="","",Geral!$A$254&amp;" · "&amp;Geral!$E$254)</f>
        <v/>
      </c>
    </row>
    <row r="252">
      <c r="D252" s="40">
        <f>IFERROR(INDEX($G$4:$G$597,MATCH(249,$F$4:$F$597,0)),"")</f>
        <v/>
      </c>
      <c r="F252">
        <f>IF(Geral!$A$255="","",COUNTIF(Geral!$A$7:$A$255,"?*"))</f>
        <v/>
      </c>
      <c r="G252">
        <f>IF(Geral!$A$255="","",Geral!$A$255&amp;" · "&amp;Geral!$E$255)</f>
        <v/>
      </c>
    </row>
    <row r="253">
      <c r="D253" s="40">
        <f>IFERROR(INDEX($G$4:$G$597,MATCH(250,$F$4:$F$597,0)),"")</f>
        <v/>
      </c>
      <c r="F253">
        <f>IF(Geral!$A$256="","",COUNTIF(Geral!$A$7:$A$256,"?*"))</f>
        <v/>
      </c>
      <c r="G253">
        <f>IF(Geral!$A$256="","",Geral!$A$256&amp;" · "&amp;Geral!$E$256)</f>
        <v/>
      </c>
    </row>
    <row r="254">
      <c r="D254" s="40">
        <f>IFERROR(INDEX($G$4:$G$597,MATCH(251,$F$4:$F$597,0)),"")</f>
        <v/>
      </c>
      <c r="F254">
        <f>IF(Geral!$A$257="","",COUNTIF(Geral!$A$7:$A$257,"?*"))</f>
        <v/>
      </c>
      <c r="G254">
        <f>IF(Geral!$A$257="","",Geral!$A$257&amp;" · "&amp;Geral!$E$257)</f>
        <v/>
      </c>
    </row>
    <row r="255">
      <c r="D255" s="40">
        <f>IFERROR(INDEX($G$4:$G$597,MATCH(252,$F$4:$F$597,0)),"")</f>
        <v/>
      </c>
      <c r="F255">
        <f>IF(Geral!$A$258="","",COUNTIF(Geral!$A$7:$A$258,"?*"))</f>
        <v/>
      </c>
      <c r="G255">
        <f>IF(Geral!$A$258="","",Geral!$A$258&amp;" · "&amp;Geral!$E$258)</f>
        <v/>
      </c>
    </row>
    <row r="256">
      <c r="D256" s="40">
        <f>IFERROR(INDEX($G$4:$G$597,MATCH(253,$F$4:$F$597,0)),"")</f>
        <v/>
      </c>
      <c r="F256">
        <f>IF(Geral!$A$259="","",COUNTIF(Geral!$A$7:$A$259,"?*"))</f>
        <v/>
      </c>
      <c r="G256">
        <f>IF(Geral!$A$259="","",Geral!$A$259&amp;" · "&amp;Geral!$E$259)</f>
        <v/>
      </c>
    </row>
    <row r="257">
      <c r="D257" s="40">
        <f>IFERROR(INDEX($G$4:$G$597,MATCH(254,$F$4:$F$597,0)),"")</f>
        <v/>
      </c>
      <c r="F257">
        <f>IF(Geral!$A$260="","",COUNTIF(Geral!$A$7:$A$260,"?*"))</f>
        <v/>
      </c>
      <c r="G257">
        <f>IF(Geral!$A$260="","",Geral!$A$260&amp;" · "&amp;Geral!$E$260)</f>
        <v/>
      </c>
    </row>
    <row r="258">
      <c r="D258" s="40">
        <f>IFERROR(INDEX($G$4:$G$597,MATCH(255,$F$4:$F$597,0)),"")</f>
        <v/>
      </c>
      <c r="F258">
        <f>IF(Geral!$A$261="","",COUNTIF(Geral!$A$7:$A$261,"?*"))</f>
        <v/>
      </c>
      <c r="G258">
        <f>IF(Geral!$A$261="","",Geral!$A$261&amp;" · "&amp;Geral!$E$261)</f>
        <v/>
      </c>
    </row>
    <row r="259">
      <c r="D259" s="40">
        <f>IFERROR(INDEX($G$4:$G$597,MATCH(256,$F$4:$F$597,0)),"")</f>
        <v/>
      </c>
      <c r="F259">
        <f>IF(Geral!$A$262="","",COUNTIF(Geral!$A$7:$A$262,"?*"))</f>
        <v/>
      </c>
      <c r="G259">
        <f>IF(Geral!$A$262="","",Geral!$A$262&amp;" · "&amp;Geral!$E$262)</f>
        <v/>
      </c>
    </row>
    <row r="260">
      <c r="D260" s="40">
        <f>IFERROR(INDEX($G$4:$G$597,MATCH(257,$F$4:$F$597,0)),"")</f>
        <v/>
      </c>
      <c r="F260">
        <f>IF(Geral!$A$263="","",COUNTIF(Geral!$A$7:$A$263,"?*"))</f>
        <v/>
      </c>
      <c r="G260">
        <f>IF(Geral!$A$263="","",Geral!$A$263&amp;" · "&amp;Geral!$E$263)</f>
        <v/>
      </c>
    </row>
    <row r="261">
      <c r="D261" s="40">
        <f>IFERROR(INDEX($G$4:$G$597,MATCH(258,$F$4:$F$597,0)),"")</f>
        <v/>
      </c>
      <c r="F261">
        <f>IF(Geral!$A$264="","",COUNTIF(Geral!$A$7:$A$264,"?*"))</f>
        <v/>
      </c>
      <c r="G261">
        <f>IF(Geral!$A$264="","",Geral!$A$264&amp;" · "&amp;Geral!$E$264)</f>
        <v/>
      </c>
    </row>
    <row r="262">
      <c r="D262" s="40">
        <f>IFERROR(INDEX($G$4:$G$597,MATCH(259,$F$4:$F$597,0)),"")</f>
        <v/>
      </c>
      <c r="F262">
        <f>IF(Geral!$A$265="","",COUNTIF(Geral!$A$7:$A$265,"?*"))</f>
        <v/>
      </c>
      <c r="G262">
        <f>IF(Geral!$A$265="","",Geral!$A$265&amp;" · "&amp;Geral!$E$265)</f>
        <v/>
      </c>
    </row>
    <row r="263">
      <c r="D263" s="40">
        <f>IFERROR(INDEX($G$4:$G$597,MATCH(260,$F$4:$F$597,0)),"")</f>
        <v/>
      </c>
      <c r="F263">
        <f>IF(Geral!$A$266="","",COUNTIF(Geral!$A$7:$A$266,"?*"))</f>
        <v/>
      </c>
      <c r="G263">
        <f>IF(Geral!$A$266="","",Geral!$A$266&amp;" · "&amp;Geral!$E$266)</f>
        <v/>
      </c>
    </row>
    <row r="264">
      <c r="D264" s="40">
        <f>IFERROR(INDEX($G$4:$G$597,MATCH(261,$F$4:$F$597,0)),"")</f>
        <v/>
      </c>
      <c r="F264">
        <f>IF(Geral!$A$267="","",COUNTIF(Geral!$A$7:$A$267,"?*"))</f>
        <v/>
      </c>
      <c r="G264">
        <f>IF(Geral!$A$267="","",Geral!$A$267&amp;" · "&amp;Geral!$E$267)</f>
        <v/>
      </c>
    </row>
    <row r="265">
      <c r="D265" s="40">
        <f>IFERROR(INDEX($G$4:$G$597,MATCH(262,$F$4:$F$597,0)),"")</f>
        <v/>
      </c>
      <c r="F265">
        <f>IF(Geral!$A$268="","",COUNTIF(Geral!$A$7:$A$268,"?*"))</f>
        <v/>
      </c>
      <c r="G265">
        <f>IF(Geral!$A$268="","",Geral!$A$268&amp;" · "&amp;Geral!$E$268)</f>
        <v/>
      </c>
    </row>
    <row r="266">
      <c r="D266" s="40">
        <f>IFERROR(INDEX($G$4:$G$597,MATCH(263,$F$4:$F$597,0)),"")</f>
        <v/>
      </c>
      <c r="F266">
        <f>IF(Geral!$A$269="","",COUNTIF(Geral!$A$7:$A$269,"?*"))</f>
        <v/>
      </c>
      <c r="G266">
        <f>IF(Geral!$A$269="","",Geral!$A$269&amp;" · "&amp;Geral!$E$269)</f>
        <v/>
      </c>
    </row>
    <row r="267">
      <c r="D267" s="40">
        <f>IFERROR(INDEX($G$4:$G$597,MATCH(264,$F$4:$F$597,0)),"")</f>
        <v/>
      </c>
      <c r="F267">
        <f>IF(Geral!$A$270="","",COUNTIF(Geral!$A$7:$A$270,"?*"))</f>
        <v/>
      </c>
      <c r="G267">
        <f>IF(Geral!$A$270="","",Geral!$A$270&amp;" · "&amp;Geral!$E$270)</f>
        <v/>
      </c>
    </row>
    <row r="268">
      <c r="D268" s="40">
        <f>IFERROR(INDEX($G$4:$G$597,MATCH(265,$F$4:$F$597,0)),"")</f>
        <v/>
      </c>
      <c r="F268">
        <f>IF(Geral!$A$271="","",COUNTIF(Geral!$A$7:$A$271,"?*"))</f>
        <v/>
      </c>
      <c r="G268">
        <f>IF(Geral!$A$271="","",Geral!$A$271&amp;" · "&amp;Geral!$E$271)</f>
        <v/>
      </c>
    </row>
    <row r="269">
      <c r="D269" s="40">
        <f>IFERROR(INDEX($G$4:$G$597,MATCH(266,$F$4:$F$597,0)),"")</f>
        <v/>
      </c>
      <c r="F269">
        <f>IF(Geral!$A$272="","",COUNTIF(Geral!$A$7:$A$272,"?*"))</f>
        <v/>
      </c>
      <c r="G269">
        <f>IF(Geral!$A$272="","",Geral!$A$272&amp;" · "&amp;Geral!$E$272)</f>
        <v/>
      </c>
    </row>
    <row r="270">
      <c r="D270" s="40">
        <f>IFERROR(INDEX($G$4:$G$597,MATCH(267,$F$4:$F$597,0)),"")</f>
        <v/>
      </c>
      <c r="F270">
        <f>IF(Geral!$A$273="","",COUNTIF(Geral!$A$7:$A$273,"?*"))</f>
        <v/>
      </c>
      <c r="G270">
        <f>IF(Geral!$A$273="","",Geral!$A$273&amp;" · "&amp;Geral!$E$273)</f>
        <v/>
      </c>
    </row>
    <row r="271">
      <c r="D271" s="40">
        <f>IFERROR(INDEX($G$4:$G$597,MATCH(268,$F$4:$F$597,0)),"")</f>
        <v/>
      </c>
      <c r="F271">
        <f>IF(Geral!$A$274="","",COUNTIF(Geral!$A$7:$A$274,"?*"))</f>
        <v/>
      </c>
      <c r="G271">
        <f>IF(Geral!$A$274="","",Geral!$A$274&amp;" · "&amp;Geral!$E$274)</f>
        <v/>
      </c>
    </row>
    <row r="272">
      <c r="D272" s="40">
        <f>IFERROR(INDEX($G$4:$G$597,MATCH(269,$F$4:$F$597,0)),"")</f>
        <v/>
      </c>
      <c r="F272">
        <f>IF(Geral!$A$275="","",COUNTIF(Geral!$A$7:$A$275,"?*"))</f>
        <v/>
      </c>
      <c r="G272">
        <f>IF(Geral!$A$275="","",Geral!$A$275&amp;" · "&amp;Geral!$E$275)</f>
        <v/>
      </c>
    </row>
    <row r="273">
      <c r="D273" s="40">
        <f>IFERROR(INDEX($G$4:$G$597,MATCH(270,$F$4:$F$597,0)),"")</f>
        <v/>
      </c>
      <c r="F273">
        <f>IF(Geral!$A$276="","",COUNTIF(Geral!$A$7:$A$276,"?*"))</f>
        <v/>
      </c>
      <c r="G273">
        <f>IF(Geral!$A$276="","",Geral!$A$276&amp;" · "&amp;Geral!$E$276)</f>
        <v/>
      </c>
    </row>
    <row r="274">
      <c r="D274" s="40">
        <f>IFERROR(INDEX($G$4:$G$597,MATCH(271,$F$4:$F$597,0)),"")</f>
        <v/>
      </c>
      <c r="F274">
        <f>IF(Geral!$A$277="","",COUNTIF(Geral!$A$7:$A$277,"?*"))</f>
        <v/>
      </c>
      <c r="G274">
        <f>IF(Geral!$A$277="","",Geral!$A$277&amp;" · "&amp;Geral!$E$277)</f>
        <v/>
      </c>
    </row>
    <row r="275">
      <c r="D275" s="40">
        <f>IFERROR(INDEX($G$4:$G$597,MATCH(272,$F$4:$F$597,0)),"")</f>
        <v/>
      </c>
      <c r="F275">
        <f>IF(Geral!$A$278="","",COUNTIF(Geral!$A$7:$A$278,"?*"))</f>
        <v/>
      </c>
      <c r="G275">
        <f>IF(Geral!$A$278="","",Geral!$A$278&amp;" · "&amp;Geral!$E$278)</f>
        <v/>
      </c>
    </row>
    <row r="276">
      <c r="D276" s="40">
        <f>IFERROR(INDEX($G$4:$G$597,MATCH(273,$F$4:$F$597,0)),"")</f>
        <v/>
      </c>
      <c r="F276">
        <f>IF(Geral!$A$279="","",COUNTIF(Geral!$A$7:$A$279,"?*"))</f>
        <v/>
      </c>
      <c r="G276">
        <f>IF(Geral!$A$279="","",Geral!$A$279&amp;" · "&amp;Geral!$E$279)</f>
        <v/>
      </c>
    </row>
    <row r="277">
      <c r="D277" s="40">
        <f>IFERROR(INDEX($G$4:$G$597,MATCH(274,$F$4:$F$597,0)),"")</f>
        <v/>
      </c>
      <c r="F277">
        <f>IF(Geral!$A$280="","",COUNTIF(Geral!$A$7:$A$280,"?*"))</f>
        <v/>
      </c>
      <c r="G277">
        <f>IF(Geral!$A$280="","",Geral!$A$280&amp;" · "&amp;Geral!$E$280)</f>
        <v/>
      </c>
    </row>
    <row r="278">
      <c r="D278" s="40">
        <f>IFERROR(INDEX($G$4:$G$597,MATCH(275,$F$4:$F$597,0)),"")</f>
        <v/>
      </c>
      <c r="F278">
        <f>IF(Geral!$A$281="","",COUNTIF(Geral!$A$7:$A$281,"?*"))</f>
        <v/>
      </c>
      <c r="G278">
        <f>IF(Geral!$A$281="","",Geral!$A$281&amp;" · "&amp;Geral!$E$281)</f>
        <v/>
      </c>
    </row>
    <row r="279">
      <c r="D279" s="40">
        <f>IFERROR(INDEX($G$4:$G$597,MATCH(276,$F$4:$F$597,0)),"")</f>
        <v/>
      </c>
      <c r="F279">
        <f>IF(Geral!$A$282="","",COUNTIF(Geral!$A$7:$A$282,"?*"))</f>
        <v/>
      </c>
      <c r="G279">
        <f>IF(Geral!$A$282="","",Geral!$A$282&amp;" · "&amp;Geral!$E$282)</f>
        <v/>
      </c>
    </row>
    <row r="280">
      <c r="D280" s="40">
        <f>IFERROR(INDEX($G$4:$G$597,MATCH(277,$F$4:$F$597,0)),"")</f>
        <v/>
      </c>
      <c r="F280">
        <f>IF(Geral!$A$283="","",COUNTIF(Geral!$A$7:$A$283,"?*"))</f>
        <v/>
      </c>
      <c r="G280">
        <f>IF(Geral!$A$283="","",Geral!$A$283&amp;" · "&amp;Geral!$E$283)</f>
        <v/>
      </c>
    </row>
    <row r="281">
      <c r="D281" s="40">
        <f>IFERROR(INDEX($G$4:$G$597,MATCH(278,$F$4:$F$597,0)),"")</f>
        <v/>
      </c>
      <c r="F281">
        <f>IF(Geral!$A$284="","",COUNTIF(Geral!$A$7:$A$284,"?*"))</f>
        <v/>
      </c>
      <c r="G281">
        <f>IF(Geral!$A$284="","",Geral!$A$284&amp;" · "&amp;Geral!$E$284)</f>
        <v/>
      </c>
    </row>
    <row r="282">
      <c r="D282" s="40">
        <f>IFERROR(INDEX($G$4:$G$597,MATCH(279,$F$4:$F$597,0)),"")</f>
        <v/>
      </c>
      <c r="F282">
        <f>IF(Geral!$A$285="","",COUNTIF(Geral!$A$7:$A$285,"?*"))</f>
        <v/>
      </c>
      <c r="G282">
        <f>IF(Geral!$A$285="","",Geral!$A$285&amp;" · "&amp;Geral!$E$285)</f>
        <v/>
      </c>
    </row>
    <row r="283">
      <c r="D283" s="40">
        <f>IFERROR(INDEX($G$4:$G$597,MATCH(280,$F$4:$F$597,0)),"")</f>
        <v/>
      </c>
      <c r="F283">
        <f>IF(Geral!$A$286="","",COUNTIF(Geral!$A$7:$A$286,"?*"))</f>
        <v/>
      </c>
      <c r="G283">
        <f>IF(Geral!$A$286="","",Geral!$A$286&amp;" · "&amp;Geral!$E$286)</f>
        <v/>
      </c>
    </row>
    <row r="284">
      <c r="D284" s="40">
        <f>IFERROR(INDEX($G$4:$G$597,MATCH(281,$F$4:$F$597,0)),"")</f>
        <v/>
      </c>
      <c r="F284">
        <f>IF(Geral!$A$287="","",COUNTIF(Geral!$A$7:$A$287,"?*"))</f>
        <v/>
      </c>
      <c r="G284">
        <f>IF(Geral!$A$287="","",Geral!$A$287&amp;" · "&amp;Geral!$E$287)</f>
        <v/>
      </c>
    </row>
    <row r="285">
      <c r="D285" s="40">
        <f>IFERROR(INDEX($G$4:$G$597,MATCH(282,$F$4:$F$597,0)),"")</f>
        <v/>
      </c>
      <c r="F285">
        <f>IF(Geral!$A$288="","",COUNTIF(Geral!$A$7:$A$288,"?*"))</f>
        <v/>
      </c>
      <c r="G285">
        <f>IF(Geral!$A$288="","",Geral!$A$288&amp;" · "&amp;Geral!$E$288)</f>
        <v/>
      </c>
    </row>
    <row r="286">
      <c r="D286" s="40">
        <f>IFERROR(INDEX($G$4:$G$597,MATCH(283,$F$4:$F$597,0)),"")</f>
        <v/>
      </c>
      <c r="F286">
        <f>IF(Geral!$A$289="","",COUNTIF(Geral!$A$7:$A$289,"?*"))</f>
        <v/>
      </c>
      <c r="G286">
        <f>IF(Geral!$A$289="","",Geral!$A$289&amp;" · "&amp;Geral!$E$289)</f>
        <v/>
      </c>
    </row>
    <row r="287">
      <c r="D287" s="40">
        <f>IFERROR(INDEX($G$4:$G$597,MATCH(284,$F$4:$F$597,0)),"")</f>
        <v/>
      </c>
      <c r="F287">
        <f>IF(Geral!$A$290="","",COUNTIF(Geral!$A$7:$A$290,"?*"))</f>
        <v/>
      </c>
      <c r="G287">
        <f>IF(Geral!$A$290="","",Geral!$A$290&amp;" · "&amp;Geral!$E$290)</f>
        <v/>
      </c>
    </row>
    <row r="288">
      <c r="D288" s="40">
        <f>IFERROR(INDEX($G$4:$G$597,MATCH(285,$F$4:$F$597,0)),"")</f>
        <v/>
      </c>
      <c r="F288">
        <f>IF(Geral!$A$291="","",COUNTIF(Geral!$A$7:$A$291,"?*"))</f>
        <v/>
      </c>
      <c r="G288">
        <f>IF(Geral!$A$291="","",Geral!$A$291&amp;" · "&amp;Geral!$E$291)</f>
        <v/>
      </c>
    </row>
    <row r="289">
      <c r="D289" s="40">
        <f>IFERROR(INDEX($G$4:$G$597,MATCH(286,$F$4:$F$597,0)),"")</f>
        <v/>
      </c>
      <c r="F289">
        <f>IF(Geral!$A$292="","",COUNTIF(Geral!$A$7:$A$292,"?*"))</f>
        <v/>
      </c>
      <c r="G289">
        <f>IF(Geral!$A$292="","",Geral!$A$292&amp;" · "&amp;Geral!$E$292)</f>
        <v/>
      </c>
    </row>
    <row r="290">
      <c r="D290" s="40">
        <f>IFERROR(INDEX($G$4:$G$597,MATCH(287,$F$4:$F$597,0)),"")</f>
        <v/>
      </c>
      <c r="F290">
        <f>IF(Geral!$A$293="","",COUNTIF(Geral!$A$7:$A$293,"?*"))</f>
        <v/>
      </c>
      <c r="G290">
        <f>IF(Geral!$A$293="","",Geral!$A$293&amp;" · "&amp;Geral!$E$293)</f>
        <v/>
      </c>
    </row>
    <row r="291">
      <c r="D291" s="40">
        <f>IFERROR(INDEX($G$4:$G$597,MATCH(288,$F$4:$F$597,0)),"")</f>
        <v/>
      </c>
      <c r="F291">
        <f>IF(Geral!$A$294="","",COUNTIF(Geral!$A$7:$A$294,"?*"))</f>
        <v/>
      </c>
      <c r="G291">
        <f>IF(Geral!$A$294="","",Geral!$A$294&amp;" · "&amp;Geral!$E$294)</f>
        <v/>
      </c>
    </row>
    <row r="292">
      <c r="D292" s="40">
        <f>IFERROR(INDEX($G$4:$G$597,MATCH(289,$F$4:$F$597,0)),"")</f>
        <v/>
      </c>
      <c r="F292">
        <f>IF(Geral!$A$295="","",COUNTIF(Geral!$A$7:$A$295,"?*"))</f>
        <v/>
      </c>
      <c r="G292">
        <f>IF(Geral!$A$295="","",Geral!$A$295&amp;" · "&amp;Geral!$E$295)</f>
        <v/>
      </c>
    </row>
    <row r="293">
      <c r="D293" s="40">
        <f>IFERROR(INDEX($G$4:$G$597,MATCH(290,$F$4:$F$597,0)),"")</f>
        <v/>
      </c>
      <c r="F293">
        <f>IF(Geral!$A$296="","",COUNTIF(Geral!$A$7:$A$296,"?*"))</f>
        <v/>
      </c>
      <c r="G293">
        <f>IF(Geral!$A$296="","",Geral!$A$296&amp;" · "&amp;Geral!$E$296)</f>
        <v/>
      </c>
    </row>
    <row r="294">
      <c r="D294" s="40">
        <f>IFERROR(INDEX($G$4:$G$597,MATCH(291,$F$4:$F$597,0)),"")</f>
        <v/>
      </c>
      <c r="F294">
        <f>IF(Geral!$A$297="","",COUNTIF(Geral!$A$7:$A$297,"?*"))</f>
        <v/>
      </c>
      <c r="G294">
        <f>IF(Geral!$A$297="","",Geral!$A$297&amp;" · "&amp;Geral!$E$297)</f>
        <v/>
      </c>
    </row>
    <row r="295">
      <c r="D295" s="40">
        <f>IFERROR(INDEX($G$4:$G$597,MATCH(292,$F$4:$F$597,0)),"")</f>
        <v/>
      </c>
      <c r="F295">
        <f>IF(Geral!$A$298="","",COUNTIF(Geral!$A$7:$A$298,"?*"))</f>
        <v/>
      </c>
      <c r="G295">
        <f>IF(Geral!$A$298="","",Geral!$A$298&amp;" · "&amp;Geral!$E$298)</f>
        <v/>
      </c>
    </row>
    <row r="296">
      <c r="D296" s="40">
        <f>IFERROR(INDEX($G$4:$G$597,MATCH(293,$F$4:$F$597,0)),"")</f>
        <v/>
      </c>
      <c r="F296">
        <f>IF(Geral!$A$299="","",COUNTIF(Geral!$A$7:$A$299,"?*"))</f>
        <v/>
      </c>
      <c r="G296">
        <f>IF(Geral!$A$299="","",Geral!$A$299&amp;" · "&amp;Geral!$E$299)</f>
        <v/>
      </c>
    </row>
    <row r="297">
      <c r="D297" s="40">
        <f>IFERROR(INDEX($G$4:$G$597,MATCH(294,$F$4:$F$597,0)),"")</f>
        <v/>
      </c>
      <c r="F297">
        <f>IF(Geral!$A$300="","",COUNTIF(Geral!$A$7:$A$300,"?*"))</f>
        <v/>
      </c>
      <c r="G297">
        <f>IF(Geral!$A$300="","",Geral!$A$300&amp;" · "&amp;Geral!$E$300)</f>
        <v/>
      </c>
    </row>
    <row r="298">
      <c r="D298" s="40">
        <f>IFERROR(INDEX($G$4:$G$597,MATCH(295,$F$4:$F$597,0)),"")</f>
        <v/>
      </c>
      <c r="F298">
        <f>IF(Geral!$A$301="","",COUNTIF(Geral!$A$7:$A$301,"?*"))</f>
        <v/>
      </c>
      <c r="G298">
        <f>IF(Geral!$A$301="","",Geral!$A$301&amp;" · "&amp;Geral!$E$301)</f>
        <v/>
      </c>
    </row>
    <row r="299">
      <c r="D299" s="40">
        <f>IFERROR(INDEX($G$4:$G$597,MATCH(296,$F$4:$F$597,0)),"")</f>
        <v/>
      </c>
      <c r="F299">
        <f>IF(Geral!$A$302="","",COUNTIF(Geral!$A$7:$A$302,"?*"))</f>
        <v/>
      </c>
      <c r="G299">
        <f>IF(Geral!$A$302="","",Geral!$A$302&amp;" · "&amp;Geral!$E$302)</f>
        <v/>
      </c>
    </row>
    <row r="300">
      <c r="D300" s="40">
        <f>IFERROR(INDEX($G$4:$G$597,MATCH(297,$F$4:$F$597,0)),"")</f>
        <v/>
      </c>
      <c r="F300">
        <f>IF(Geral!$A$303="","",COUNTIF(Geral!$A$7:$A$303,"?*"))</f>
        <v/>
      </c>
      <c r="G300">
        <f>IF(Geral!$A$303="","",Geral!$A$303&amp;" · "&amp;Geral!$E$303)</f>
        <v/>
      </c>
    </row>
    <row r="301">
      <c r="D301" s="40">
        <f>IFERROR(INDEX($G$4:$G$597,MATCH(298,$F$4:$F$597,0)),"")</f>
        <v/>
      </c>
      <c r="F301">
        <f>IF(Geral!$A$304="","",COUNTIF(Geral!$A$7:$A$304,"?*"))</f>
        <v/>
      </c>
      <c r="G301">
        <f>IF(Geral!$A$304="","",Geral!$A$304&amp;" · "&amp;Geral!$E$304)</f>
        <v/>
      </c>
    </row>
    <row r="302">
      <c r="D302" s="40">
        <f>IFERROR(INDEX($G$4:$G$597,MATCH(299,$F$4:$F$597,0)),"")</f>
        <v/>
      </c>
      <c r="F302">
        <f>IF(Geral!$A$305="","",COUNTIF(Geral!$A$7:$A$305,"?*"))</f>
        <v/>
      </c>
      <c r="G302">
        <f>IF(Geral!$A$305="","",Geral!$A$305&amp;" · "&amp;Geral!$E$305)</f>
        <v/>
      </c>
    </row>
    <row r="303">
      <c r="D303" s="40">
        <f>IFERROR(INDEX($G$4:$G$597,MATCH(300,$F$4:$F$597,0)),"")</f>
        <v/>
      </c>
      <c r="F303">
        <f>IF(Geral!$A$306="","",COUNTIF(Geral!$A$7:$A$306,"?*"))</f>
        <v/>
      </c>
      <c r="G303">
        <f>IF(Geral!$A$306="","",Geral!$A$306&amp;" · "&amp;Geral!$E$306)</f>
        <v/>
      </c>
    </row>
    <row r="304">
      <c r="D304" s="40">
        <f>IFERROR(INDEX($G$4:$G$597,MATCH(301,$F$4:$F$597,0)),"")</f>
        <v/>
      </c>
      <c r="F304">
        <f>IF(Geral!$A$307="","",COUNTIF(Geral!$A$7:$A$307,"?*"))</f>
        <v/>
      </c>
      <c r="G304">
        <f>IF(Geral!$A$307="","",Geral!$A$307&amp;" · "&amp;Geral!$E$307)</f>
        <v/>
      </c>
    </row>
    <row r="305">
      <c r="D305" s="40">
        <f>IFERROR(INDEX($G$4:$G$597,MATCH(302,$F$4:$F$597,0)),"")</f>
        <v/>
      </c>
      <c r="F305">
        <f>IF(Geral!$A$308="","",COUNTIF(Geral!$A$7:$A$308,"?*"))</f>
        <v/>
      </c>
      <c r="G305">
        <f>IF(Geral!$A$308="","",Geral!$A$308&amp;" · "&amp;Geral!$E$308)</f>
        <v/>
      </c>
    </row>
    <row r="306">
      <c r="D306" s="40">
        <f>IFERROR(INDEX($G$4:$G$597,MATCH(303,$F$4:$F$597,0)),"")</f>
        <v/>
      </c>
      <c r="F306">
        <f>IF(Geral!$A$309="","",COUNTIF(Geral!$A$7:$A$309,"?*"))</f>
        <v/>
      </c>
      <c r="G306">
        <f>IF(Geral!$A$309="","",Geral!$A$309&amp;" · "&amp;Geral!$E$309)</f>
        <v/>
      </c>
    </row>
    <row r="307">
      <c r="D307" s="40">
        <f>IFERROR(INDEX($G$4:$G$597,MATCH(304,$F$4:$F$597,0)),"")</f>
        <v/>
      </c>
      <c r="F307">
        <f>IF(Geral!$A$310="","",COUNTIF(Geral!$A$7:$A$310,"?*"))</f>
        <v/>
      </c>
      <c r="G307">
        <f>IF(Geral!$A$310="","",Geral!$A$310&amp;" · "&amp;Geral!$E$310)</f>
        <v/>
      </c>
    </row>
    <row r="308">
      <c r="D308" s="40">
        <f>IFERROR(INDEX($G$4:$G$597,MATCH(305,$F$4:$F$597,0)),"")</f>
        <v/>
      </c>
      <c r="F308">
        <f>IF(Geral!$A$311="","",COUNTIF(Geral!$A$7:$A$311,"?*"))</f>
        <v/>
      </c>
      <c r="G308">
        <f>IF(Geral!$A$311="","",Geral!$A$311&amp;" · "&amp;Geral!$E$311)</f>
        <v/>
      </c>
    </row>
    <row r="309">
      <c r="D309" s="40">
        <f>IFERROR(INDEX($G$4:$G$597,MATCH(306,$F$4:$F$597,0)),"")</f>
        <v/>
      </c>
      <c r="F309">
        <f>IF(Geral!$A$312="","",COUNTIF(Geral!$A$7:$A$312,"?*"))</f>
        <v/>
      </c>
      <c r="G309">
        <f>IF(Geral!$A$312="","",Geral!$A$312&amp;" · "&amp;Geral!$E$312)</f>
        <v/>
      </c>
    </row>
    <row r="310">
      <c r="D310" s="40">
        <f>IFERROR(INDEX($G$4:$G$597,MATCH(307,$F$4:$F$597,0)),"")</f>
        <v/>
      </c>
      <c r="F310">
        <f>IF(Geral!$A$313="","",COUNTIF(Geral!$A$7:$A$313,"?*"))</f>
        <v/>
      </c>
      <c r="G310">
        <f>IF(Geral!$A$313="","",Geral!$A$313&amp;" · "&amp;Geral!$E$313)</f>
        <v/>
      </c>
    </row>
    <row r="311">
      <c r="D311" s="40">
        <f>IFERROR(INDEX($G$4:$G$597,MATCH(308,$F$4:$F$597,0)),"")</f>
        <v/>
      </c>
      <c r="F311">
        <f>IF(Geral!$A$314="","",COUNTIF(Geral!$A$7:$A$314,"?*"))</f>
        <v/>
      </c>
      <c r="G311">
        <f>IF(Geral!$A$314="","",Geral!$A$314&amp;" · "&amp;Geral!$E$314)</f>
        <v/>
      </c>
    </row>
    <row r="312">
      <c r="D312" s="40">
        <f>IFERROR(INDEX($G$4:$G$597,MATCH(309,$F$4:$F$597,0)),"")</f>
        <v/>
      </c>
      <c r="F312">
        <f>IF(Geral!$A$315="","",COUNTIF(Geral!$A$7:$A$315,"?*"))</f>
        <v/>
      </c>
      <c r="G312">
        <f>IF(Geral!$A$315="","",Geral!$A$315&amp;" · "&amp;Geral!$E$315)</f>
        <v/>
      </c>
    </row>
    <row r="313">
      <c r="D313" s="40">
        <f>IFERROR(INDEX($G$4:$G$597,MATCH(310,$F$4:$F$597,0)),"")</f>
        <v/>
      </c>
      <c r="F313">
        <f>IF(Geral!$A$316="","",COUNTIF(Geral!$A$7:$A$316,"?*"))</f>
        <v/>
      </c>
      <c r="G313">
        <f>IF(Geral!$A$316="","",Geral!$A$316&amp;" · "&amp;Geral!$E$316)</f>
        <v/>
      </c>
    </row>
    <row r="314">
      <c r="D314" s="40">
        <f>IFERROR(INDEX($G$4:$G$597,MATCH(311,$F$4:$F$597,0)),"")</f>
        <v/>
      </c>
      <c r="F314">
        <f>IF(Geral!$A$317="","",COUNTIF(Geral!$A$7:$A$317,"?*"))</f>
        <v/>
      </c>
      <c r="G314">
        <f>IF(Geral!$A$317="","",Geral!$A$317&amp;" · "&amp;Geral!$E$317)</f>
        <v/>
      </c>
    </row>
    <row r="315">
      <c r="D315" s="40">
        <f>IFERROR(INDEX($G$4:$G$597,MATCH(312,$F$4:$F$597,0)),"")</f>
        <v/>
      </c>
      <c r="F315">
        <f>IF(Geral!$A$318="","",COUNTIF(Geral!$A$7:$A$318,"?*"))</f>
        <v/>
      </c>
      <c r="G315">
        <f>IF(Geral!$A$318="","",Geral!$A$318&amp;" · "&amp;Geral!$E$318)</f>
        <v/>
      </c>
    </row>
    <row r="316">
      <c r="D316" s="40">
        <f>IFERROR(INDEX($G$4:$G$597,MATCH(313,$F$4:$F$597,0)),"")</f>
        <v/>
      </c>
      <c r="F316">
        <f>IF(Geral!$A$319="","",COUNTIF(Geral!$A$7:$A$319,"?*"))</f>
        <v/>
      </c>
      <c r="G316">
        <f>IF(Geral!$A$319="","",Geral!$A$319&amp;" · "&amp;Geral!$E$319)</f>
        <v/>
      </c>
    </row>
    <row r="317">
      <c r="D317" s="40">
        <f>IFERROR(INDEX($G$4:$G$597,MATCH(314,$F$4:$F$597,0)),"")</f>
        <v/>
      </c>
      <c r="F317">
        <f>IF(Geral!$A$320="","",COUNTIF(Geral!$A$7:$A$320,"?*"))</f>
        <v/>
      </c>
      <c r="G317">
        <f>IF(Geral!$A$320="","",Geral!$A$320&amp;" · "&amp;Geral!$E$320)</f>
        <v/>
      </c>
    </row>
    <row r="318">
      <c r="D318" s="40">
        <f>IFERROR(INDEX($G$4:$G$597,MATCH(315,$F$4:$F$597,0)),"")</f>
        <v/>
      </c>
      <c r="F318">
        <f>IF(Geral!$A$321="","",COUNTIF(Geral!$A$7:$A$321,"?*"))</f>
        <v/>
      </c>
      <c r="G318">
        <f>IF(Geral!$A$321="","",Geral!$A$321&amp;" · "&amp;Geral!$E$321)</f>
        <v/>
      </c>
    </row>
    <row r="319">
      <c r="D319" s="40">
        <f>IFERROR(INDEX($G$4:$G$597,MATCH(316,$F$4:$F$597,0)),"")</f>
        <v/>
      </c>
      <c r="F319">
        <f>IF(Geral!$A$322="","",COUNTIF(Geral!$A$7:$A$322,"?*"))</f>
        <v/>
      </c>
      <c r="G319">
        <f>IF(Geral!$A$322="","",Geral!$A$322&amp;" · "&amp;Geral!$E$322)</f>
        <v/>
      </c>
    </row>
    <row r="320">
      <c r="D320" s="40">
        <f>IFERROR(INDEX($G$4:$G$597,MATCH(317,$F$4:$F$597,0)),"")</f>
        <v/>
      </c>
      <c r="F320">
        <f>IF(Geral!$A$323="","",COUNTIF(Geral!$A$7:$A$323,"?*"))</f>
        <v/>
      </c>
      <c r="G320">
        <f>IF(Geral!$A$323="","",Geral!$A$323&amp;" · "&amp;Geral!$E$323)</f>
        <v/>
      </c>
    </row>
    <row r="321">
      <c r="D321" s="40">
        <f>IFERROR(INDEX($G$4:$G$597,MATCH(318,$F$4:$F$597,0)),"")</f>
        <v/>
      </c>
      <c r="F321">
        <f>IF(Geral!$A$324="","",COUNTIF(Geral!$A$7:$A$324,"?*"))</f>
        <v/>
      </c>
      <c r="G321">
        <f>IF(Geral!$A$324="","",Geral!$A$324&amp;" · "&amp;Geral!$E$324)</f>
        <v/>
      </c>
    </row>
    <row r="322">
      <c r="D322" s="40">
        <f>IFERROR(INDEX($G$4:$G$597,MATCH(319,$F$4:$F$597,0)),"")</f>
        <v/>
      </c>
      <c r="F322">
        <f>IF(Geral!$A$325="","",COUNTIF(Geral!$A$7:$A$325,"?*"))</f>
        <v/>
      </c>
      <c r="G322">
        <f>IF(Geral!$A$325="","",Geral!$A$325&amp;" · "&amp;Geral!$E$325)</f>
        <v/>
      </c>
    </row>
    <row r="323">
      <c r="D323" s="40">
        <f>IFERROR(INDEX($G$4:$G$597,MATCH(320,$F$4:$F$597,0)),"")</f>
        <v/>
      </c>
      <c r="F323">
        <f>IF(Geral!$A$326="","",COUNTIF(Geral!$A$7:$A$326,"?*"))</f>
        <v/>
      </c>
      <c r="G323">
        <f>IF(Geral!$A$326="","",Geral!$A$326&amp;" · "&amp;Geral!$E$326)</f>
        <v/>
      </c>
    </row>
    <row r="324">
      <c r="D324" s="40">
        <f>IFERROR(INDEX($G$4:$G$597,MATCH(321,$F$4:$F$597,0)),"")</f>
        <v/>
      </c>
      <c r="F324">
        <f>IF(Geral!$A$327="","",COUNTIF(Geral!$A$7:$A$327,"?*"))</f>
        <v/>
      </c>
      <c r="G324">
        <f>IF(Geral!$A$327="","",Geral!$A$327&amp;" · "&amp;Geral!$E$327)</f>
        <v/>
      </c>
    </row>
    <row r="325">
      <c r="D325" s="40">
        <f>IFERROR(INDEX($G$4:$G$597,MATCH(322,$F$4:$F$597,0)),"")</f>
        <v/>
      </c>
      <c r="F325">
        <f>IF(Geral!$A$328="","",COUNTIF(Geral!$A$7:$A$328,"?*"))</f>
        <v/>
      </c>
      <c r="G325">
        <f>IF(Geral!$A$328="","",Geral!$A$328&amp;" · "&amp;Geral!$E$328)</f>
        <v/>
      </c>
    </row>
    <row r="326">
      <c r="D326" s="40">
        <f>IFERROR(INDEX($G$4:$G$597,MATCH(323,$F$4:$F$597,0)),"")</f>
        <v/>
      </c>
      <c r="F326">
        <f>IF(Geral!$A$329="","",COUNTIF(Geral!$A$7:$A$329,"?*"))</f>
        <v/>
      </c>
      <c r="G326">
        <f>IF(Geral!$A$329="","",Geral!$A$329&amp;" · "&amp;Geral!$E$329)</f>
        <v/>
      </c>
    </row>
    <row r="327">
      <c r="D327" s="40">
        <f>IFERROR(INDEX($G$4:$G$597,MATCH(324,$F$4:$F$597,0)),"")</f>
        <v/>
      </c>
      <c r="F327">
        <f>IF(Geral!$A$330="","",COUNTIF(Geral!$A$7:$A$330,"?*"))</f>
        <v/>
      </c>
      <c r="G327">
        <f>IF(Geral!$A$330="","",Geral!$A$330&amp;" · "&amp;Geral!$E$330)</f>
        <v/>
      </c>
    </row>
    <row r="328">
      <c r="D328" s="40">
        <f>IFERROR(INDEX($G$4:$G$597,MATCH(325,$F$4:$F$597,0)),"")</f>
        <v/>
      </c>
      <c r="F328">
        <f>IF(Geral!$A$331="","",COUNTIF(Geral!$A$7:$A$331,"?*"))</f>
        <v/>
      </c>
      <c r="G328">
        <f>IF(Geral!$A$331="","",Geral!$A$331&amp;" · "&amp;Geral!$E$331)</f>
        <v/>
      </c>
    </row>
    <row r="329">
      <c r="D329" s="40">
        <f>IFERROR(INDEX($G$4:$G$597,MATCH(326,$F$4:$F$597,0)),"")</f>
        <v/>
      </c>
      <c r="F329">
        <f>IF(Geral!$A$332="","",COUNTIF(Geral!$A$7:$A$332,"?*"))</f>
        <v/>
      </c>
      <c r="G329">
        <f>IF(Geral!$A$332="","",Geral!$A$332&amp;" · "&amp;Geral!$E$332)</f>
        <v/>
      </c>
    </row>
    <row r="330">
      <c r="D330" s="40">
        <f>IFERROR(INDEX($G$4:$G$597,MATCH(327,$F$4:$F$597,0)),"")</f>
        <v/>
      </c>
      <c r="F330">
        <f>IF(Geral!$A$333="","",COUNTIF(Geral!$A$7:$A$333,"?*"))</f>
        <v/>
      </c>
      <c r="G330">
        <f>IF(Geral!$A$333="","",Geral!$A$333&amp;" · "&amp;Geral!$E$333)</f>
        <v/>
      </c>
    </row>
    <row r="331">
      <c r="D331" s="40">
        <f>IFERROR(INDEX($G$4:$G$597,MATCH(328,$F$4:$F$597,0)),"")</f>
        <v/>
      </c>
      <c r="F331">
        <f>IF(Geral!$A$334="","",COUNTIF(Geral!$A$7:$A$334,"?*"))</f>
        <v/>
      </c>
      <c r="G331">
        <f>IF(Geral!$A$334="","",Geral!$A$334&amp;" · "&amp;Geral!$E$334)</f>
        <v/>
      </c>
    </row>
    <row r="332">
      <c r="D332" s="40">
        <f>IFERROR(INDEX($G$4:$G$597,MATCH(329,$F$4:$F$597,0)),"")</f>
        <v/>
      </c>
      <c r="F332">
        <f>IF(Geral!$A$335="","",COUNTIF(Geral!$A$7:$A$335,"?*"))</f>
        <v/>
      </c>
      <c r="G332">
        <f>IF(Geral!$A$335="","",Geral!$A$335&amp;" · "&amp;Geral!$E$335)</f>
        <v/>
      </c>
    </row>
    <row r="333">
      <c r="D333" s="40">
        <f>IFERROR(INDEX($G$4:$G$597,MATCH(330,$F$4:$F$597,0)),"")</f>
        <v/>
      </c>
      <c r="F333">
        <f>IF(Geral!$A$336="","",COUNTIF(Geral!$A$7:$A$336,"?*"))</f>
        <v/>
      </c>
      <c r="G333">
        <f>IF(Geral!$A$336="","",Geral!$A$336&amp;" · "&amp;Geral!$E$336)</f>
        <v/>
      </c>
    </row>
    <row r="334">
      <c r="D334" s="40">
        <f>IFERROR(INDEX($G$4:$G$597,MATCH(331,$F$4:$F$597,0)),"")</f>
        <v/>
      </c>
      <c r="F334">
        <f>IF(Geral!$A$337="","",COUNTIF(Geral!$A$7:$A$337,"?*"))</f>
        <v/>
      </c>
      <c r="G334">
        <f>IF(Geral!$A$337="","",Geral!$A$337&amp;" · "&amp;Geral!$E$337)</f>
        <v/>
      </c>
    </row>
    <row r="335">
      <c r="D335" s="40">
        <f>IFERROR(INDEX($G$4:$G$597,MATCH(332,$F$4:$F$597,0)),"")</f>
        <v/>
      </c>
      <c r="F335">
        <f>IF(Geral!$A$338="","",COUNTIF(Geral!$A$7:$A$338,"?*"))</f>
        <v/>
      </c>
      <c r="G335">
        <f>IF(Geral!$A$338="","",Geral!$A$338&amp;" · "&amp;Geral!$E$338)</f>
        <v/>
      </c>
    </row>
    <row r="336">
      <c r="D336" s="40">
        <f>IFERROR(INDEX($G$4:$G$597,MATCH(333,$F$4:$F$597,0)),"")</f>
        <v/>
      </c>
      <c r="F336">
        <f>IF(Geral!$A$339="","",COUNTIF(Geral!$A$7:$A$339,"?*"))</f>
        <v/>
      </c>
      <c r="G336">
        <f>IF(Geral!$A$339="","",Geral!$A$339&amp;" · "&amp;Geral!$E$339)</f>
        <v/>
      </c>
    </row>
    <row r="337">
      <c r="D337" s="40">
        <f>IFERROR(INDEX($G$4:$G$597,MATCH(334,$F$4:$F$597,0)),"")</f>
        <v/>
      </c>
      <c r="F337">
        <f>IF(Geral!$A$340="","",COUNTIF(Geral!$A$7:$A$340,"?*"))</f>
        <v/>
      </c>
      <c r="G337">
        <f>IF(Geral!$A$340="","",Geral!$A$340&amp;" · "&amp;Geral!$E$340)</f>
        <v/>
      </c>
    </row>
    <row r="338">
      <c r="D338" s="40">
        <f>IFERROR(INDEX($G$4:$G$597,MATCH(335,$F$4:$F$597,0)),"")</f>
        <v/>
      </c>
      <c r="F338">
        <f>IF(Geral!$A$341="","",COUNTIF(Geral!$A$7:$A$341,"?*"))</f>
        <v/>
      </c>
      <c r="G338">
        <f>IF(Geral!$A$341="","",Geral!$A$341&amp;" · "&amp;Geral!$E$341)</f>
        <v/>
      </c>
    </row>
    <row r="339">
      <c r="D339" s="40">
        <f>IFERROR(INDEX($G$4:$G$597,MATCH(336,$F$4:$F$597,0)),"")</f>
        <v/>
      </c>
      <c r="F339">
        <f>IF(Geral!$A$342="","",COUNTIF(Geral!$A$7:$A$342,"?*"))</f>
        <v/>
      </c>
      <c r="G339">
        <f>IF(Geral!$A$342="","",Geral!$A$342&amp;" · "&amp;Geral!$E$342)</f>
        <v/>
      </c>
    </row>
    <row r="340">
      <c r="D340" s="40">
        <f>IFERROR(INDEX($G$4:$G$597,MATCH(337,$F$4:$F$597,0)),"")</f>
        <v/>
      </c>
      <c r="F340">
        <f>IF(Geral!$A$343="","",COUNTIF(Geral!$A$7:$A$343,"?*"))</f>
        <v/>
      </c>
      <c r="G340">
        <f>IF(Geral!$A$343="","",Geral!$A$343&amp;" · "&amp;Geral!$E$343)</f>
        <v/>
      </c>
    </row>
    <row r="341">
      <c r="D341" s="40">
        <f>IFERROR(INDEX($G$4:$G$597,MATCH(338,$F$4:$F$597,0)),"")</f>
        <v/>
      </c>
      <c r="F341">
        <f>IF(Geral!$A$344="","",COUNTIF(Geral!$A$7:$A$344,"?*"))</f>
        <v/>
      </c>
      <c r="G341">
        <f>IF(Geral!$A$344="","",Geral!$A$344&amp;" · "&amp;Geral!$E$344)</f>
        <v/>
      </c>
    </row>
    <row r="342">
      <c r="D342" s="40">
        <f>IFERROR(INDEX($G$4:$G$597,MATCH(339,$F$4:$F$597,0)),"")</f>
        <v/>
      </c>
      <c r="F342">
        <f>IF(Geral!$A$345="","",COUNTIF(Geral!$A$7:$A$345,"?*"))</f>
        <v/>
      </c>
      <c r="G342">
        <f>IF(Geral!$A$345="","",Geral!$A$345&amp;" · "&amp;Geral!$E$345)</f>
        <v/>
      </c>
    </row>
    <row r="343">
      <c r="D343" s="40">
        <f>IFERROR(INDEX($G$4:$G$597,MATCH(340,$F$4:$F$597,0)),"")</f>
        <v/>
      </c>
      <c r="F343">
        <f>IF(Geral!$A$346="","",COUNTIF(Geral!$A$7:$A$346,"?*"))</f>
        <v/>
      </c>
      <c r="G343">
        <f>IF(Geral!$A$346="","",Geral!$A$346&amp;" · "&amp;Geral!$E$346)</f>
        <v/>
      </c>
    </row>
    <row r="344">
      <c r="D344" s="40">
        <f>IFERROR(INDEX($G$4:$G$597,MATCH(341,$F$4:$F$597,0)),"")</f>
        <v/>
      </c>
      <c r="F344">
        <f>IF(Geral!$A$347="","",COUNTIF(Geral!$A$7:$A$347,"?*"))</f>
        <v/>
      </c>
      <c r="G344">
        <f>IF(Geral!$A$347="","",Geral!$A$347&amp;" · "&amp;Geral!$E$347)</f>
        <v/>
      </c>
    </row>
    <row r="345">
      <c r="D345" s="40">
        <f>IFERROR(INDEX($G$4:$G$597,MATCH(342,$F$4:$F$597,0)),"")</f>
        <v/>
      </c>
      <c r="F345">
        <f>IF(Geral!$A$348="","",COUNTIF(Geral!$A$7:$A$348,"?*"))</f>
        <v/>
      </c>
      <c r="G345">
        <f>IF(Geral!$A$348="","",Geral!$A$348&amp;" · "&amp;Geral!$E$348)</f>
        <v/>
      </c>
    </row>
    <row r="346">
      <c r="D346" s="40">
        <f>IFERROR(INDEX($G$4:$G$597,MATCH(343,$F$4:$F$597,0)),"")</f>
        <v/>
      </c>
      <c r="F346">
        <f>IF(Geral!$A$349="","",COUNTIF(Geral!$A$7:$A$349,"?*"))</f>
        <v/>
      </c>
      <c r="G346">
        <f>IF(Geral!$A$349="","",Geral!$A$349&amp;" · "&amp;Geral!$E$349)</f>
        <v/>
      </c>
    </row>
    <row r="347">
      <c r="D347" s="40">
        <f>IFERROR(INDEX($G$4:$G$597,MATCH(344,$F$4:$F$597,0)),"")</f>
        <v/>
      </c>
      <c r="F347">
        <f>IF(Geral!$A$350="","",COUNTIF(Geral!$A$7:$A$350,"?*"))</f>
        <v/>
      </c>
      <c r="G347">
        <f>IF(Geral!$A$350="","",Geral!$A$350&amp;" · "&amp;Geral!$E$350)</f>
        <v/>
      </c>
    </row>
    <row r="348">
      <c r="D348" s="40">
        <f>IFERROR(INDEX($G$4:$G$597,MATCH(345,$F$4:$F$597,0)),"")</f>
        <v/>
      </c>
      <c r="F348">
        <f>IF(Geral!$A$351="","",COUNTIF(Geral!$A$7:$A$351,"?*"))</f>
        <v/>
      </c>
      <c r="G348">
        <f>IF(Geral!$A$351="","",Geral!$A$351&amp;" · "&amp;Geral!$E$351)</f>
        <v/>
      </c>
    </row>
    <row r="349">
      <c r="D349" s="40">
        <f>IFERROR(INDEX($G$4:$G$597,MATCH(346,$F$4:$F$597,0)),"")</f>
        <v/>
      </c>
      <c r="F349">
        <f>IF(Geral!$A$352="","",COUNTIF(Geral!$A$7:$A$352,"?*"))</f>
        <v/>
      </c>
      <c r="G349">
        <f>IF(Geral!$A$352="","",Geral!$A$352&amp;" · "&amp;Geral!$E$352)</f>
        <v/>
      </c>
    </row>
    <row r="350">
      <c r="D350" s="40">
        <f>IFERROR(INDEX($G$4:$G$597,MATCH(347,$F$4:$F$597,0)),"")</f>
        <v/>
      </c>
      <c r="F350">
        <f>IF(Geral!$A$353="","",COUNTIF(Geral!$A$7:$A$353,"?*"))</f>
        <v/>
      </c>
      <c r="G350">
        <f>IF(Geral!$A$353="","",Geral!$A$353&amp;" · "&amp;Geral!$E$353)</f>
        <v/>
      </c>
    </row>
    <row r="351">
      <c r="D351" s="40">
        <f>IFERROR(INDEX($G$4:$G$597,MATCH(348,$F$4:$F$597,0)),"")</f>
        <v/>
      </c>
      <c r="F351">
        <f>IF(Geral!$A$354="","",COUNTIF(Geral!$A$7:$A$354,"?*"))</f>
        <v/>
      </c>
      <c r="G351">
        <f>IF(Geral!$A$354="","",Geral!$A$354&amp;" · "&amp;Geral!$E$354)</f>
        <v/>
      </c>
    </row>
    <row r="352">
      <c r="D352" s="40">
        <f>IFERROR(INDEX($G$4:$G$597,MATCH(349,$F$4:$F$597,0)),"")</f>
        <v/>
      </c>
      <c r="F352">
        <f>IF(Geral!$A$355="","",COUNTIF(Geral!$A$7:$A$355,"?*"))</f>
        <v/>
      </c>
      <c r="G352">
        <f>IF(Geral!$A$355="","",Geral!$A$355&amp;" · "&amp;Geral!$E$355)</f>
        <v/>
      </c>
    </row>
    <row r="353">
      <c r="D353" s="40">
        <f>IFERROR(INDEX($G$4:$G$597,MATCH(350,$F$4:$F$597,0)),"")</f>
        <v/>
      </c>
      <c r="F353">
        <f>IF(Geral!$A$356="","",COUNTIF(Geral!$A$7:$A$356,"?*"))</f>
        <v/>
      </c>
      <c r="G353">
        <f>IF(Geral!$A$356="","",Geral!$A$356&amp;" · "&amp;Geral!$E$356)</f>
        <v/>
      </c>
    </row>
    <row r="354">
      <c r="D354" s="40">
        <f>IFERROR(INDEX($G$4:$G$597,MATCH(351,$F$4:$F$597,0)),"")</f>
        <v/>
      </c>
      <c r="F354">
        <f>IF(Geral!$A$357="","",COUNTIF(Geral!$A$7:$A$357,"?*"))</f>
        <v/>
      </c>
      <c r="G354">
        <f>IF(Geral!$A$357="","",Geral!$A$357&amp;" · "&amp;Geral!$E$357)</f>
        <v/>
      </c>
    </row>
    <row r="355">
      <c r="D355" s="40">
        <f>IFERROR(INDEX($G$4:$G$597,MATCH(352,$F$4:$F$597,0)),"")</f>
        <v/>
      </c>
      <c r="F355">
        <f>IF(Geral!$A$358="","",COUNTIF(Geral!$A$7:$A$358,"?*"))</f>
        <v/>
      </c>
      <c r="G355">
        <f>IF(Geral!$A$358="","",Geral!$A$358&amp;" · "&amp;Geral!$E$358)</f>
        <v/>
      </c>
    </row>
    <row r="356">
      <c r="D356" s="40">
        <f>IFERROR(INDEX($G$4:$G$597,MATCH(353,$F$4:$F$597,0)),"")</f>
        <v/>
      </c>
      <c r="F356">
        <f>IF(Geral!$A$359="","",COUNTIF(Geral!$A$7:$A$359,"?*"))</f>
        <v/>
      </c>
      <c r="G356">
        <f>IF(Geral!$A$359="","",Geral!$A$359&amp;" · "&amp;Geral!$E$359)</f>
        <v/>
      </c>
    </row>
    <row r="357">
      <c r="D357" s="40">
        <f>IFERROR(INDEX($G$4:$G$597,MATCH(354,$F$4:$F$597,0)),"")</f>
        <v/>
      </c>
      <c r="F357">
        <f>IF(Geral!$A$360="","",COUNTIF(Geral!$A$7:$A$360,"?*"))</f>
        <v/>
      </c>
      <c r="G357">
        <f>IF(Geral!$A$360="","",Geral!$A$360&amp;" · "&amp;Geral!$E$360)</f>
        <v/>
      </c>
    </row>
    <row r="358">
      <c r="D358" s="40">
        <f>IFERROR(INDEX($G$4:$G$597,MATCH(355,$F$4:$F$597,0)),"")</f>
        <v/>
      </c>
      <c r="F358">
        <f>IF(Geral!$A$361="","",COUNTIF(Geral!$A$7:$A$361,"?*"))</f>
        <v/>
      </c>
      <c r="G358">
        <f>IF(Geral!$A$361="","",Geral!$A$361&amp;" · "&amp;Geral!$E$361)</f>
        <v/>
      </c>
    </row>
    <row r="359">
      <c r="D359" s="40">
        <f>IFERROR(INDEX($G$4:$G$597,MATCH(356,$F$4:$F$597,0)),"")</f>
        <v/>
      </c>
      <c r="F359">
        <f>IF(Geral!$A$362="","",COUNTIF(Geral!$A$7:$A$362,"?*"))</f>
        <v/>
      </c>
      <c r="G359">
        <f>IF(Geral!$A$362="","",Geral!$A$362&amp;" · "&amp;Geral!$E$362)</f>
        <v/>
      </c>
    </row>
    <row r="360">
      <c r="D360" s="40">
        <f>IFERROR(INDEX($G$4:$G$597,MATCH(357,$F$4:$F$597,0)),"")</f>
        <v/>
      </c>
      <c r="F360">
        <f>IF(Geral!$A$363="","",COUNTIF(Geral!$A$7:$A$363,"?*"))</f>
        <v/>
      </c>
      <c r="G360">
        <f>IF(Geral!$A$363="","",Geral!$A$363&amp;" · "&amp;Geral!$E$363)</f>
        <v/>
      </c>
    </row>
    <row r="361">
      <c r="D361" s="40">
        <f>IFERROR(INDEX($G$4:$G$597,MATCH(358,$F$4:$F$597,0)),"")</f>
        <v/>
      </c>
      <c r="F361">
        <f>IF(Geral!$A$364="","",COUNTIF(Geral!$A$7:$A$364,"?*"))</f>
        <v/>
      </c>
      <c r="G361">
        <f>IF(Geral!$A$364="","",Geral!$A$364&amp;" · "&amp;Geral!$E$364)</f>
        <v/>
      </c>
    </row>
    <row r="362">
      <c r="D362" s="40">
        <f>IFERROR(INDEX($G$4:$G$597,MATCH(359,$F$4:$F$597,0)),"")</f>
        <v/>
      </c>
      <c r="F362">
        <f>IF(Geral!$A$365="","",COUNTIF(Geral!$A$7:$A$365,"?*"))</f>
        <v/>
      </c>
      <c r="G362">
        <f>IF(Geral!$A$365="","",Geral!$A$365&amp;" · "&amp;Geral!$E$365)</f>
        <v/>
      </c>
    </row>
    <row r="363">
      <c r="D363" s="40">
        <f>IFERROR(INDEX($G$4:$G$597,MATCH(360,$F$4:$F$597,0)),"")</f>
        <v/>
      </c>
      <c r="F363">
        <f>IF(Geral!$A$366="","",COUNTIF(Geral!$A$7:$A$366,"?*"))</f>
        <v/>
      </c>
      <c r="G363">
        <f>IF(Geral!$A$366="","",Geral!$A$366&amp;" · "&amp;Geral!$E$366)</f>
        <v/>
      </c>
    </row>
    <row r="364">
      <c r="D364" s="40">
        <f>IFERROR(INDEX($G$4:$G$597,MATCH(361,$F$4:$F$597,0)),"")</f>
        <v/>
      </c>
      <c r="F364">
        <f>IF(Geral!$A$367="","",COUNTIF(Geral!$A$7:$A$367,"?*"))</f>
        <v/>
      </c>
      <c r="G364">
        <f>IF(Geral!$A$367="","",Geral!$A$367&amp;" · "&amp;Geral!$E$367)</f>
        <v/>
      </c>
    </row>
    <row r="365">
      <c r="D365" s="40">
        <f>IFERROR(INDEX($G$4:$G$597,MATCH(362,$F$4:$F$597,0)),"")</f>
        <v/>
      </c>
      <c r="F365">
        <f>IF(Geral!$A$368="","",COUNTIF(Geral!$A$7:$A$368,"?*"))</f>
        <v/>
      </c>
      <c r="G365">
        <f>IF(Geral!$A$368="","",Geral!$A$368&amp;" · "&amp;Geral!$E$368)</f>
        <v/>
      </c>
    </row>
    <row r="366">
      <c r="D366" s="40">
        <f>IFERROR(INDEX($G$4:$G$597,MATCH(363,$F$4:$F$597,0)),"")</f>
        <v/>
      </c>
      <c r="F366">
        <f>IF(Geral!$A$369="","",COUNTIF(Geral!$A$7:$A$369,"?*"))</f>
        <v/>
      </c>
      <c r="G366">
        <f>IF(Geral!$A$369="","",Geral!$A$369&amp;" · "&amp;Geral!$E$369)</f>
        <v/>
      </c>
    </row>
    <row r="367">
      <c r="D367" s="40">
        <f>IFERROR(INDEX($G$4:$G$597,MATCH(364,$F$4:$F$597,0)),"")</f>
        <v/>
      </c>
      <c r="F367">
        <f>IF(Geral!$A$370="","",COUNTIF(Geral!$A$7:$A$370,"?*"))</f>
        <v/>
      </c>
      <c r="G367">
        <f>IF(Geral!$A$370="","",Geral!$A$370&amp;" · "&amp;Geral!$E$370)</f>
        <v/>
      </c>
    </row>
    <row r="368">
      <c r="D368" s="40">
        <f>IFERROR(INDEX($G$4:$G$597,MATCH(365,$F$4:$F$597,0)),"")</f>
        <v/>
      </c>
      <c r="F368">
        <f>IF(Geral!$A$371="","",COUNTIF(Geral!$A$7:$A$371,"?*"))</f>
        <v/>
      </c>
      <c r="G368">
        <f>IF(Geral!$A$371="","",Geral!$A$371&amp;" · "&amp;Geral!$E$371)</f>
        <v/>
      </c>
    </row>
    <row r="369">
      <c r="D369" s="40">
        <f>IFERROR(INDEX($G$4:$G$597,MATCH(366,$F$4:$F$597,0)),"")</f>
        <v/>
      </c>
      <c r="F369">
        <f>IF(Geral!$A$372="","",COUNTIF(Geral!$A$7:$A$372,"?*"))</f>
        <v/>
      </c>
      <c r="G369">
        <f>IF(Geral!$A$372="","",Geral!$A$372&amp;" · "&amp;Geral!$E$372)</f>
        <v/>
      </c>
    </row>
    <row r="370">
      <c r="D370" s="40">
        <f>IFERROR(INDEX($G$4:$G$597,MATCH(367,$F$4:$F$597,0)),"")</f>
        <v/>
      </c>
      <c r="F370">
        <f>IF(Geral!$A$373="","",COUNTIF(Geral!$A$7:$A$373,"?*"))</f>
        <v/>
      </c>
      <c r="G370">
        <f>IF(Geral!$A$373="","",Geral!$A$373&amp;" · "&amp;Geral!$E$373)</f>
        <v/>
      </c>
    </row>
    <row r="371">
      <c r="D371" s="40">
        <f>IFERROR(INDEX($G$4:$G$597,MATCH(368,$F$4:$F$597,0)),"")</f>
        <v/>
      </c>
      <c r="F371">
        <f>IF(Geral!$A$374="","",COUNTIF(Geral!$A$7:$A$374,"?*"))</f>
        <v/>
      </c>
      <c r="G371">
        <f>IF(Geral!$A$374="","",Geral!$A$374&amp;" · "&amp;Geral!$E$374)</f>
        <v/>
      </c>
    </row>
    <row r="372">
      <c r="D372" s="40">
        <f>IFERROR(INDEX($G$4:$G$597,MATCH(369,$F$4:$F$597,0)),"")</f>
        <v/>
      </c>
      <c r="F372">
        <f>IF(Geral!$A$375="","",COUNTIF(Geral!$A$7:$A$375,"?*"))</f>
        <v/>
      </c>
      <c r="G372">
        <f>IF(Geral!$A$375="","",Geral!$A$375&amp;" · "&amp;Geral!$E$375)</f>
        <v/>
      </c>
    </row>
    <row r="373">
      <c r="D373" s="40">
        <f>IFERROR(INDEX($G$4:$G$597,MATCH(370,$F$4:$F$597,0)),"")</f>
        <v/>
      </c>
      <c r="F373">
        <f>IF(Geral!$A$376="","",COUNTIF(Geral!$A$7:$A$376,"?*"))</f>
        <v/>
      </c>
      <c r="G373">
        <f>IF(Geral!$A$376="","",Geral!$A$376&amp;" · "&amp;Geral!$E$376)</f>
        <v/>
      </c>
    </row>
    <row r="374">
      <c r="D374" s="40">
        <f>IFERROR(INDEX($G$4:$G$597,MATCH(371,$F$4:$F$597,0)),"")</f>
        <v/>
      </c>
      <c r="F374">
        <f>IF(Geral!$A$377="","",COUNTIF(Geral!$A$7:$A$377,"?*"))</f>
        <v/>
      </c>
      <c r="G374">
        <f>IF(Geral!$A$377="","",Geral!$A$377&amp;" · "&amp;Geral!$E$377)</f>
        <v/>
      </c>
    </row>
    <row r="375">
      <c r="D375" s="40">
        <f>IFERROR(INDEX($G$4:$G$597,MATCH(372,$F$4:$F$597,0)),"")</f>
        <v/>
      </c>
      <c r="F375">
        <f>IF(Geral!$A$378="","",COUNTIF(Geral!$A$7:$A$378,"?*"))</f>
        <v/>
      </c>
      <c r="G375">
        <f>IF(Geral!$A$378="","",Geral!$A$378&amp;" · "&amp;Geral!$E$378)</f>
        <v/>
      </c>
    </row>
    <row r="376">
      <c r="D376" s="40">
        <f>IFERROR(INDEX($G$4:$G$597,MATCH(373,$F$4:$F$597,0)),"")</f>
        <v/>
      </c>
      <c r="F376">
        <f>IF(Geral!$A$379="","",COUNTIF(Geral!$A$7:$A$379,"?*"))</f>
        <v/>
      </c>
      <c r="G376">
        <f>IF(Geral!$A$379="","",Geral!$A$379&amp;" · "&amp;Geral!$E$379)</f>
        <v/>
      </c>
    </row>
    <row r="377">
      <c r="D377" s="40">
        <f>IFERROR(INDEX($G$4:$G$597,MATCH(374,$F$4:$F$597,0)),"")</f>
        <v/>
      </c>
      <c r="F377">
        <f>IF(Geral!$A$380="","",COUNTIF(Geral!$A$7:$A$380,"?*"))</f>
        <v/>
      </c>
      <c r="G377">
        <f>IF(Geral!$A$380="","",Geral!$A$380&amp;" · "&amp;Geral!$E$380)</f>
        <v/>
      </c>
    </row>
    <row r="378">
      <c r="D378" s="40">
        <f>IFERROR(INDEX($G$4:$G$597,MATCH(375,$F$4:$F$597,0)),"")</f>
        <v/>
      </c>
      <c r="F378">
        <f>IF(Geral!$A$381="","",COUNTIF(Geral!$A$7:$A$381,"?*"))</f>
        <v/>
      </c>
      <c r="G378">
        <f>IF(Geral!$A$381="","",Geral!$A$381&amp;" · "&amp;Geral!$E$381)</f>
        <v/>
      </c>
    </row>
    <row r="379">
      <c r="D379" s="40">
        <f>IFERROR(INDEX($G$4:$G$597,MATCH(376,$F$4:$F$597,0)),"")</f>
        <v/>
      </c>
      <c r="F379">
        <f>IF(Geral!$A$382="","",COUNTIF(Geral!$A$7:$A$382,"?*"))</f>
        <v/>
      </c>
      <c r="G379">
        <f>IF(Geral!$A$382="","",Geral!$A$382&amp;" · "&amp;Geral!$E$382)</f>
        <v/>
      </c>
    </row>
    <row r="380">
      <c r="D380" s="40">
        <f>IFERROR(INDEX($G$4:$G$597,MATCH(377,$F$4:$F$597,0)),"")</f>
        <v/>
      </c>
      <c r="F380">
        <f>IF(Geral!$A$383="","",COUNTIF(Geral!$A$7:$A$383,"?*"))</f>
        <v/>
      </c>
      <c r="G380">
        <f>IF(Geral!$A$383="","",Geral!$A$383&amp;" · "&amp;Geral!$E$383)</f>
        <v/>
      </c>
    </row>
    <row r="381">
      <c r="D381" s="40">
        <f>IFERROR(INDEX($G$4:$G$597,MATCH(378,$F$4:$F$597,0)),"")</f>
        <v/>
      </c>
      <c r="F381">
        <f>IF(Geral!$A$384="","",COUNTIF(Geral!$A$7:$A$384,"?*"))</f>
        <v/>
      </c>
      <c r="G381">
        <f>IF(Geral!$A$384="","",Geral!$A$384&amp;" · "&amp;Geral!$E$384)</f>
        <v/>
      </c>
    </row>
    <row r="382">
      <c r="D382" s="40">
        <f>IFERROR(INDEX($G$4:$G$597,MATCH(379,$F$4:$F$597,0)),"")</f>
        <v/>
      </c>
      <c r="F382">
        <f>IF(Geral!$A$385="","",COUNTIF(Geral!$A$7:$A$385,"?*"))</f>
        <v/>
      </c>
      <c r="G382">
        <f>IF(Geral!$A$385="","",Geral!$A$385&amp;" · "&amp;Geral!$E$385)</f>
        <v/>
      </c>
    </row>
    <row r="383">
      <c r="D383" s="40">
        <f>IFERROR(INDEX($G$4:$G$597,MATCH(380,$F$4:$F$597,0)),"")</f>
        <v/>
      </c>
      <c r="F383">
        <f>IF(Geral!$A$386="","",COUNTIF(Geral!$A$7:$A$386,"?*"))</f>
        <v/>
      </c>
      <c r="G383">
        <f>IF(Geral!$A$386="","",Geral!$A$386&amp;" · "&amp;Geral!$E$386)</f>
        <v/>
      </c>
    </row>
    <row r="384">
      <c r="D384" s="40">
        <f>IFERROR(INDEX($G$4:$G$597,MATCH(381,$F$4:$F$597,0)),"")</f>
        <v/>
      </c>
      <c r="F384">
        <f>IF(Geral!$A$387="","",COUNTIF(Geral!$A$7:$A$387,"?*"))</f>
        <v/>
      </c>
      <c r="G384">
        <f>IF(Geral!$A$387="","",Geral!$A$387&amp;" · "&amp;Geral!$E$387)</f>
        <v/>
      </c>
    </row>
    <row r="385">
      <c r="D385" s="40">
        <f>IFERROR(INDEX($G$4:$G$597,MATCH(382,$F$4:$F$597,0)),"")</f>
        <v/>
      </c>
      <c r="F385">
        <f>IF(Geral!$A$388="","",COUNTIF(Geral!$A$7:$A$388,"?*"))</f>
        <v/>
      </c>
      <c r="G385">
        <f>IF(Geral!$A$388="","",Geral!$A$388&amp;" · "&amp;Geral!$E$388)</f>
        <v/>
      </c>
    </row>
    <row r="386">
      <c r="D386" s="40">
        <f>IFERROR(INDEX($G$4:$G$597,MATCH(383,$F$4:$F$597,0)),"")</f>
        <v/>
      </c>
      <c r="F386">
        <f>IF(Geral!$A$389="","",COUNTIF(Geral!$A$7:$A$389,"?*"))</f>
        <v/>
      </c>
      <c r="G386">
        <f>IF(Geral!$A$389="","",Geral!$A$389&amp;" · "&amp;Geral!$E$389)</f>
        <v/>
      </c>
    </row>
    <row r="387">
      <c r="D387" s="40">
        <f>IFERROR(INDEX($G$4:$G$597,MATCH(384,$F$4:$F$597,0)),"")</f>
        <v/>
      </c>
      <c r="F387">
        <f>IF(Geral!$A$390="","",COUNTIF(Geral!$A$7:$A$390,"?*"))</f>
        <v/>
      </c>
      <c r="G387">
        <f>IF(Geral!$A$390="","",Geral!$A$390&amp;" · "&amp;Geral!$E$390)</f>
        <v/>
      </c>
    </row>
    <row r="388">
      <c r="D388" s="40">
        <f>IFERROR(INDEX($G$4:$G$597,MATCH(385,$F$4:$F$597,0)),"")</f>
        <v/>
      </c>
      <c r="F388">
        <f>IF(Geral!$A$391="","",COUNTIF(Geral!$A$7:$A$391,"?*"))</f>
        <v/>
      </c>
      <c r="G388">
        <f>IF(Geral!$A$391="","",Geral!$A$391&amp;" · "&amp;Geral!$E$391)</f>
        <v/>
      </c>
    </row>
    <row r="389">
      <c r="D389" s="40">
        <f>IFERROR(INDEX($G$4:$G$597,MATCH(386,$F$4:$F$597,0)),"")</f>
        <v/>
      </c>
      <c r="F389">
        <f>IF(Geral!$A$392="","",COUNTIF(Geral!$A$7:$A$392,"?*"))</f>
        <v/>
      </c>
      <c r="G389">
        <f>IF(Geral!$A$392="","",Geral!$A$392&amp;" · "&amp;Geral!$E$392)</f>
        <v/>
      </c>
    </row>
    <row r="390">
      <c r="D390" s="40">
        <f>IFERROR(INDEX($G$4:$G$597,MATCH(387,$F$4:$F$597,0)),"")</f>
        <v/>
      </c>
      <c r="F390">
        <f>IF(Geral!$A$393="","",COUNTIF(Geral!$A$7:$A$393,"?*"))</f>
        <v/>
      </c>
      <c r="G390">
        <f>IF(Geral!$A$393="","",Geral!$A$393&amp;" · "&amp;Geral!$E$393)</f>
        <v/>
      </c>
    </row>
    <row r="391">
      <c r="D391" s="40">
        <f>IFERROR(INDEX($G$4:$G$597,MATCH(388,$F$4:$F$597,0)),"")</f>
        <v/>
      </c>
      <c r="F391">
        <f>IF(Geral!$A$394="","",COUNTIF(Geral!$A$7:$A$394,"?*"))</f>
        <v/>
      </c>
      <c r="G391">
        <f>IF(Geral!$A$394="","",Geral!$A$394&amp;" · "&amp;Geral!$E$394)</f>
        <v/>
      </c>
    </row>
    <row r="392">
      <c r="D392" s="40">
        <f>IFERROR(INDEX($G$4:$G$597,MATCH(389,$F$4:$F$597,0)),"")</f>
        <v/>
      </c>
      <c r="F392">
        <f>IF(Geral!$A$395="","",COUNTIF(Geral!$A$7:$A$395,"?*"))</f>
        <v/>
      </c>
      <c r="G392">
        <f>IF(Geral!$A$395="","",Geral!$A$395&amp;" · "&amp;Geral!$E$395)</f>
        <v/>
      </c>
    </row>
    <row r="393">
      <c r="D393" s="40">
        <f>IFERROR(INDEX($G$4:$G$597,MATCH(390,$F$4:$F$597,0)),"")</f>
        <v/>
      </c>
      <c r="F393">
        <f>IF(Geral!$A$396="","",COUNTIF(Geral!$A$7:$A$396,"?*"))</f>
        <v/>
      </c>
      <c r="G393">
        <f>IF(Geral!$A$396="","",Geral!$A$396&amp;" · "&amp;Geral!$E$396)</f>
        <v/>
      </c>
    </row>
    <row r="394">
      <c r="D394" s="40">
        <f>IFERROR(INDEX($G$4:$G$597,MATCH(391,$F$4:$F$597,0)),"")</f>
        <v/>
      </c>
      <c r="F394">
        <f>IF(Geral!$A$397="","",COUNTIF(Geral!$A$7:$A$397,"?*"))</f>
        <v/>
      </c>
      <c r="G394">
        <f>IF(Geral!$A$397="","",Geral!$A$397&amp;" · "&amp;Geral!$E$397)</f>
        <v/>
      </c>
    </row>
    <row r="395">
      <c r="D395" s="40">
        <f>IFERROR(INDEX($G$4:$G$597,MATCH(392,$F$4:$F$597,0)),"")</f>
        <v/>
      </c>
      <c r="F395">
        <f>IF(Geral!$A$398="","",COUNTIF(Geral!$A$7:$A$398,"?*"))</f>
        <v/>
      </c>
      <c r="G395">
        <f>IF(Geral!$A$398="","",Geral!$A$398&amp;" · "&amp;Geral!$E$398)</f>
        <v/>
      </c>
    </row>
    <row r="396">
      <c r="D396" s="40">
        <f>IFERROR(INDEX($G$4:$G$597,MATCH(393,$F$4:$F$597,0)),"")</f>
        <v/>
      </c>
      <c r="F396">
        <f>IF(Geral!$A$399="","",COUNTIF(Geral!$A$7:$A$399,"?*"))</f>
        <v/>
      </c>
      <c r="G396">
        <f>IF(Geral!$A$399="","",Geral!$A$399&amp;" · "&amp;Geral!$E$399)</f>
        <v/>
      </c>
    </row>
    <row r="397">
      <c r="D397" s="40">
        <f>IFERROR(INDEX($G$4:$G$597,MATCH(394,$F$4:$F$597,0)),"")</f>
        <v/>
      </c>
      <c r="F397">
        <f>IF(Geral!$A$400="","",COUNTIF(Geral!$A$7:$A$400,"?*"))</f>
        <v/>
      </c>
      <c r="G397">
        <f>IF(Geral!$A$400="","",Geral!$A$400&amp;" · "&amp;Geral!$E$400)</f>
        <v/>
      </c>
    </row>
    <row r="398">
      <c r="D398" s="40">
        <f>IFERROR(INDEX($G$4:$G$597,MATCH(395,$F$4:$F$597,0)),"")</f>
        <v/>
      </c>
      <c r="F398">
        <f>IF(Geral!$A$401="","",COUNTIF(Geral!$A$7:$A$401,"?*"))</f>
        <v/>
      </c>
      <c r="G398">
        <f>IF(Geral!$A$401="","",Geral!$A$401&amp;" · "&amp;Geral!$E$401)</f>
        <v/>
      </c>
    </row>
    <row r="399">
      <c r="D399" s="40">
        <f>IFERROR(INDEX($G$4:$G$597,MATCH(396,$F$4:$F$597,0)),"")</f>
        <v/>
      </c>
      <c r="F399">
        <f>IF(Geral!$A$402="","",COUNTIF(Geral!$A$7:$A$402,"?*"))</f>
        <v/>
      </c>
      <c r="G399">
        <f>IF(Geral!$A$402="","",Geral!$A$402&amp;" · "&amp;Geral!$E$402)</f>
        <v/>
      </c>
    </row>
    <row r="400">
      <c r="D400" s="40">
        <f>IFERROR(INDEX($G$4:$G$597,MATCH(397,$F$4:$F$597,0)),"")</f>
        <v/>
      </c>
      <c r="F400">
        <f>IF(Geral!$A$403="","",COUNTIF(Geral!$A$7:$A$403,"?*"))</f>
        <v/>
      </c>
      <c r="G400">
        <f>IF(Geral!$A$403="","",Geral!$A$403&amp;" · "&amp;Geral!$E$403)</f>
        <v/>
      </c>
    </row>
    <row r="401">
      <c r="D401" s="40">
        <f>IFERROR(INDEX($G$4:$G$597,MATCH(398,$F$4:$F$597,0)),"")</f>
        <v/>
      </c>
      <c r="F401">
        <f>IF(Geral!$A$404="","",COUNTIF(Geral!$A$7:$A$404,"?*"))</f>
        <v/>
      </c>
      <c r="G401">
        <f>IF(Geral!$A$404="","",Geral!$A$404&amp;" · "&amp;Geral!$E$404)</f>
        <v/>
      </c>
    </row>
    <row r="402">
      <c r="D402" s="40">
        <f>IFERROR(INDEX($G$4:$G$597,MATCH(399,$F$4:$F$597,0)),"")</f>
        <v/>
      </c>
      <c r="F402">
        <f>IF(Geral!$A$405="","",COUNTIF(Geral!$A$7:$A$405,"?*"))</f>
        <v/>
      </c>
      <c r="G402">
        <f>IF(Geral!$A$405="","",Geral!$A$405&amp;" · "&amp;Geral!$E$405)</f>
        <v/>
      </c>
    </row>
    <row r="403">
      <c r="D403" s="40">
        <f>IFERROR(INDEX($G$4:$G$597,MATCH(400,$F$4:$F$597,0)),"")</f>
        <v/>
      </c>
      <c r="F403">
        <f>IF(Geral!$A$406="","",COUNTIF(Geral!$A$7:$A$406,"?*"))</f>
        <v/>
      </c>
      <c r="G403">
        <f>IF(Geral!$A$406="","",Geral!$A$406&amp;" · "&amp;Geral!$E$406)</f>
        <v/>
      </c>
    </row>
    <row r="404">
      <c r="D404" s="40">
        <f>IFERROR(INDEX($G$4:$G$597,MATCH(401,$F$4:$F$597,0)),"")</f>
        <v/>
      </c>
      <c r="F404">
        <f>IF(Geral!$A$407="","",COUNTIF(Geral!$A$7:$A$407,"?*"))</f>
        <v/>
      </c>
      <c r="G404">
        <f>IF(Geral!$A$407="","",Geral!$A$407&amp;" · "&amp;Geral!$E$407)</f>
        <v/>
      </c>
    </row>
    <row r="405">
      <c r="D405" s="40">
        <f>IFERROR(INDEX($G$4:$G$597,MATCH(402,$F$4:$F$597,0)),"")</f>
        <v/>
      </c>
      <c r="F405">
        <f>IF(Geral!$A$408="","",COUNTIF(Geral!$A$7:$A$408,"?*"))</f>
        <v/>
      </c>
      <c r="G405">
        <f>IF(Geral!$A$408="","",Geral!$A$408&amp;" · "&amp;Geral!$E$408)</f>
        <v/>
      </c>
    </row>
    <row r="406">
      <c r="D406" s="40">
        <f>IFERROR(INDEX($G$4:$G$597,MATCH(403,$F$4:$F$597,0)),"")</f>
        <v/>
      </c>
      <c r="F406">
        <f>IF(Geral!$A$409="","",COUNTIF(Geral!$A$7:$A$409,"?*"))</f>
        <v/>
      </c>
      <c r="G406">
        <f>IF(Geral!$A$409="","",Geral!$A$409&amp;" · "&amp;Geral!$E$409)</f>
        <v/>
      </c>
    </row>
    <row r="407">
      <c r="D407" s="40">
        <f>IFERROR(INDEX($G$4:$G$597,MATCH(404,$F$4:$F$597,0)),"")</f>
        <v/>
      </c>
      <c r="F407">
        <f>IF(Geral!$A$410="","",COUNTIF(Geral!$A$7:$A$410,"?*"))</f>
        <v/>
      </c>
      <c r="G407">
        <f>IF(Geral!$A$410="","",Geral!$A$410&amp;" · "&amp;Geral!$E$410)</f>
        <v/>
      </c>
    </row>
    <row r="408">
      <c r="D408" s="40">
        <f>IFERROR(INDEX($G$4:$G$597,MATCH(405,$F$4:$F$597,0)),"")</f>
        <v/>
      </c>
      <c r="F408">
        <f>IF(Geral!$A$411="","",COUNTIF(Geral!$A$7:$A$411,"?*"))</f>
        <v/>
      </c>
      <c r="G408">
        <f>IF(Geral!$A$411="","",Geral!$A$411&amp;" · "&amp;Geral!$E$411)</f>
        <v/>
      </c>
    </row>
    <row r="409">
      <c r="D409" s="40">
        <f>IFERROR(INDEX($G$4:$G$597,MATCH(406,$F$4:$F$597,0)),"")</f>
        <v/>
      </c>
      <c r="F409">
        <f>IF(Geral!$A$412="","",COUNTIF(Geral!$A$7:$A$412,"?*"))</f>
        <v/>
      </c>
      <c r="G409">
        <f>IF(Geral!$A$412="","",Geral!$A$412&amp;" · "&amp;Geral!$E$412)</f>
        <v/>
      </c>
    </row>
    <row r="410">
      <c r="D410" s="40">
        <f>IFERROR(INDEX($G$4:$G$597,MATCH(407,$F$4:$F$597,0)),"")</f>
        <v/>
      </c>
      <c r="F410">
        <f>IF(Geral!$A$413="","",COUNTIF(Geral!$A$7:$A$413,"?*"))</f>
        <v/>
      </c>
      <c r="G410">
        <f>IF(Geral!$A$413="","",Geral!$A$413&amp;" · "&amp;Geral!$E$413)</f>
        <v/>
      </c>
    </row>
    <row r="411">
      <c r="D411" s="40">
        <f>IFERROR(INDEX($G$4:$G$597,MATCH(408,$F$4:$F$597,0)),"")</f>
        <v/>
      </c>
      <c r="F411">
        <f>IF(Geral!$A$414="","",COUNTIF(Geral!$A$7:$A$414,"?*"))</f>
        <v/>
      </c>
      <c r="G411">
        <f>IF(Geral!$A$414="","",Geral!$A$414&amp;" · "&amp;Geral!$E$414)</f>
        <v/>
      </c>
    </row>
    <row r="412">
      <c r="D412" s="40">
        <f>IFERROR(INDEX($G$4:$G$597,MATCH(409,$F$4:$F$597,0)),"")</f>
        <v/>
      </c>
      <c r="F412">
        <f>IF(Geral!$A$415="","",COUNTIF(Geral!$A$7:$A$415,"?*"))</f>
        <v/>
      </c>
      <c r="G412">
        <f>IF(Geral!$A$415="","",Geral!$A$415&amp;" · "&amp;Geral!$E$415)</f>
        <v/>
      </c>
    </row>
    <row r="413">
      <c r="D413" s="40">
        <f>IFERROR(INDEX($G$4:$G$597,MATCH(410,$F$4:$F$597,0)),"")</f>
        <v/>
      </c>
      <c r="F413">
        <f>IF(Geral!$A$416="","",COUNTIF(Geral!$A$7:$A$416,"?*"))</f>
        <v/>
      </c>
      <c r="G413">
        <f>IF(Geral!$A$416="","",Geral!$A$416&amp;" · "&amp;Geral!$E$416)</f>
        <v/>
      </c>
    </row>
    <row r="414">
      <c r="D414" s="40">
        <f>IFERROR(INDEX($G$4:$G$597,MATCH(411,$F$4:$F$597,0)),"")</f>
        <v/>
      </c>
      <c r="F414">
        <f>IF(Geral!$A$417="","",COUNTIF(Geral!$A$7:$A$417,"?*"))</f>
        <v/>
      </c>
      <c r="G414">
        <f>IF(Geral!$A$417="","",Geral!$A$417&amp;" · "&amp;Geral!$E$417)</f>
        <v/>
      </c>
    </row>
    <row r="415">
      <c r="D415" s="40">
        <f>IFERROR(INDEX($G$4:$G$597,MATCH(412,$F$4:$F$597,0)),"")</f>
        <v/>
      </c>
      <c r="F415">
        <f>IF(Geral!$A$418="","",COUNTIF(Geral!$A$7:$A$418,"?*"))</f>
        <v/>
      </c>
      <c r="G415">
        <f>IF(Geral!$A$418="","",Geral!$A$418&amp;" · "&amp;Geral!$E$418)</f>
        <v/>
      </c>
    </row>
    <row r="416">
      <c r="D416" s="40">
        <f>IFERROR(INDEX($G$4:$G$597,MATCH(413,$F$4:$F$597,0)),"")</f>
        <v/>
      </c>
      <c r="F416">
        <f>IF(Geral!$A$419="","",COUNTIF(Geral!$A$7:$A$419,"?*"))</f>
        <v/>
      </c>
      <c r="G416">
        <f>IF(Geral!$A$419="","",Geral!$A$419&amp;" · "&amp;Geral!$E$419)</f>
        <v/>
      </c>
    </row>
    <row r="417">
      <c r="D417" s="40">
        <f>IFERROR(INDEX($G$4:$G$597,MATCH(414,$F$4:$F$597,0)),"")</f>
        <v/>
      </c>
      <c r="F417">
        <f>IF(Geral!$A$420="","",COUNTIF(Geral!$A$7:$A$420,"?*"))</f>
        <v/>
      </c>
      <c r="G417">
        <f>IF(Geral!$A$420="","",Geral!$A$420&amp;" · "&amp;Geral!$E$420)</f>
        <v/>
      </c>
    </row>
    <row r="418">
      <c r="D418" s="40">
        <f>IFERROR(INDEX($G$4:$G$597,MATCH(415,$F$4:$F$597,0)),"")</f>
        <v/>
      </c>
      <c r="F418">
        <f>IF(Geral!$A$421="","",COUNTIF(Geral!$A$7:$A$421,"?*"))</f>
        <v/>
      </c>
      <c r="G418">
        <f>IF(Geral!$A$421="","",Geral!$A$421&amp;" · "&amp;Geral!$E$421)</f>
        <v/>
      </c>
    </row>
    <row r="419">
      <c r="D419" s="40">
        <f>IFERROR(INDEX($G$4:$G$597,MATCH(416,$F$4:$F$597,0)),"")</f>
        <v/>
      </c>
      <c r="F419">
        <f>IF(Geral!$A$422="","",COUNTIF(Geral!$A$7:$A$422,"?*"))</f>
        <v/>
      </c>
      <c r="G419">
        <f>IF(Geral!$A$422="","",Geral!$A$422&amp;" · "&amp;Geral!$E$422)</f>
        <v/>
      </c>
    </row>
    <row r="420">
      <c r="D420" s="40">
        <f>IFERROR(INDEX($G$4:$G$597,MATCH(417,$F$4:$F$597,0)),"")</f>
        <v/>
      </c>
      <c r="F420">
        <f>IF(Geral!$A$423="","",COUNTIF(Geral!$A$7:$A$423,"?*"))</f>
        <v/>
      </c>
      <c r="G420">
        <f>IF(Geral!$A$423="","",Geral!$A$423&amp;" · "&amp;Geral!$E$423)</f>
        <v/>
      </c>
    </row>
    <row r="421">
      <c r="D421" s="40">
        <f>IFERROR(INDEX($G$4:$G$597,MATCH(418,$F$4:$F$597,0)),"")</f>
        <v/>
      </c>
      <c r="F421">
        <f>IF(Geral!$A$424="","",COUNTIF(Geral!$A$7:$A$424,"?*"))</f>
        <v/>
      </c>
      <c r="G421">
        <f>IF(Geral!$A$424="","",Geral!$A$424&amp;" · "&amp;Geral!$E$424)</f>
        <v/>
      </c>
    </row>
    <row r="422">
      <c r="D422" s="40">
        <f>IFERROR(INDEX($G$4:$G$597,MATCH(419,$F$4:$F$597,0)),"")</f>
        <v/>
      </c>
      <c r="F422">
        <f>IF(Geral!$A$425="","",COUNTIF(Geral!$A$7:$A$425,"?*"))</f>
        <v/>
      </c>
      <c r="G422">
        <f>IF(Geral!$A$425="","",Geral!$A$425&amp;" · "&amp;Geral!$E$425)</f>
        <v/>
      </c>
    </row>
    <row r="423">
      <c r="D423" s="40">
        <f>IFERROR(INDEX($G$4:$G$597,MATCH(420,$F$4:$F$597,0)),"")</f>
        <v/>
      </c>
      <c r="F423">
        <f>IF(Geral!$A$426="","",COUNTIF(Geral!$A$7:$A$426,"?*"))</f>
        <v/>
      </c>
      <c r="G423">
        <f>IF(Geral!$A$426="","",Geral!$A$426&amp;" · "&amp;Geral!$E$426)</f>
        <v/>
      </c>
    </row>
    <row r="424">
      <c r="D424" s="40">
        <f>IFERROR(INDEX($G$4:$G$597,MATCH(421,$F$4:$F$597,0)),"")</f>
        <v/>
      </c>
      <c r="F424">
        <f>IF(Geral!$A$427="","",COUNTIF(Geral!$A$7:$A$427,"?*"))</f>
        <v/>
      </c>
      <c r="G424">
        <f>IF(Geral!$A$427="","",Geral!$A$427&amp;" · "&amp;Geral!$E$427)</f>
        <v/>
      </c>
    </row>
    <row r="425">
      <c r="D425" s="40">
        <f>IFERROR(INDEX($G$4:$G$597,MATCH(422,$F$4:$F$597,0)),"")</f>
        <v/>
      </c>
      <c r="F425">
        <f>IF(Geral!$A$428="","",COUNTIF(Geral!$A$7:$A$428,"?*"))</f>
        <v/>
      </c>
      <c r="G425">
        <f>IF(Geral!$A$428="","",Geral!$A$428&amp;" · "&amp;Geral!$E$428)</f>
        <v/>
      </c>
    </row>
    <row r="426">
      <c r="D426" s="40">
        <f>IFERROR(INDEX($G$4:$G$597,MATCH(423,$F$4:$F$597,0)),"")</f>
        <v/>
      </c>
      <c r="F426">
        <f>IF(Geral!$A$429="","",COUNTIF(Geral!$A$7:$A$429,"?*"))</f>
        <v/>
      </c>
      <c r="G426">
        <f>IF(Geral!$A$429="","",Geral!$A$429&amp;" · "&amp;Geral!$E$429)</f>
        <v/>
      </c>
    </row>
    <row r="427">
      <c r="D427" s="40">
        <f>IFERROR(INDEX($G$4:$G$597,MATCH(424,$F$4:$F$597,0)),"")</f>
        <v/>
      </c>
      <c r="F427">
        <f>IF(Geral!$A$430="","",COUNTIF(Geral!$A$7:$A$430,"?*"))</f>
        <v/>
      </c>
      <c r="G427">
        <f>IF(Geral!$A$430="","",Geral!$A$430&amp;" · "&amp;Geral!$E$430)</f>
        <v/>
      </c>
    </row>
    <row r="428">
      <c r="D428" s="40">
        <f>IFERROR(INDEX($G$4:$G$597,MATCH(425,$F$4:$F$597,0)),"")</f>
        <v/>
      </c>
      <c r="F428">
        <f>IF(Geral!$A$431="","",COUNTIF(Geral!$A$7:$A$431,"?*"))</f>
        <v/>
      </c>
      <c r="G428">
        <f>IF(Geral!$A$431="","",Geral!$A$431&amp;" · "&amp;Geral!$E$431)</f>
        <v/>
      </c>
    </row>
    <row r="429">
      <c r="D429" s="40">
        <f>IFERROR(INDEX($G$4:$G$597,MATCH(426,$F$4:$F$597,0)),"")</f>
        <v/>
      </c>
      <c r="F429">
        <f>IF(Geral!$A$432="","",COUNTIF(Geral!$A$7:$A$432,"?*"))</f>
        <v/>
      </c>
      <c r="G429">
        <f>IF(Geral!$A$432="","",Geral!$A$432&amp;" · "&amp;Geral!$E$432)</f>
        <v/>
      </c>
    </row>
    <row r="430">
      <c r="D430" s="40">
        <f>IFERROR(INDEX($G$4:$G$597,MATCH(427,$F$4:$F$597,0)),"")</f>
        <v/>
      </c>
      <c r="F430">
        <f>IF(Geral!$A$433="","",COUNTIF(Geral!$A$7:$A$433,"?*"))</f>
        <v/>
      </c>
      <c r="G430">
        <f>IF(Geral!$A$433="","",Geral!$A$433&amp;" · "&amp;Geral!$E$433)</f>
        <v/>
      </c>
    </row>
    <row r="431">
      <c r="D431" s="40">
        <f>IFERROR(INDEX($G$4:$G$597,MATCH(428,$F$4:$F$597,0)),"")</f>
        <v/>
      </c>
      <c r="F431">
        <f>IF(Geral!$A$434="","",COUNTIF(Geral!$A$7:$A$434,"?*"))</f>
        <v/>
      </c>
      <c r="G431">
        <f>IF(Geral!$A$434="","",Geral!$A$434&amp;" · "&amp;Geral!$E$434)</f>
        <v/>
      </c>
    </row>
    <row r="432">
      <c r="D432" s="40">
        <f>IFERROR(INDEX($G$4:$G$597,MATCH(429,$F$4:$F$597,0)),"")</f>
        <v/>
      </c>
      <c r="F432">
        <f>IF(Geral!$A$435="","",COUNTIF(Geral!$A$7:$A$435,"?*"))</f>
        <v/>
      </c>
      <c r="G432">
        <f>IF(Geral!$A$435="","",Geral!$A$435&amp;" · "&amp;Geral!$E$435)</f>
        <v/>
      </c>
    </row>
    <row r="433">
      <c r="D433" s="40">
        <f>IFERROR(INDEX($G$4:$G$597,MATCH(430,$F$4:$F$597,0)),"")</f>
        <v/>
      </c>
      <c r="F433">
        <f>IF(Geral!$A$436="","",COUNTIF(Geral!$A$7:$A$436,"?*"))</f>
        <v/>
      </c>
      <c r="G433">
        <f>IF(Geral!$A$436="","",Geral!$A$436&amp;" · "&amp;Geral!$E$436)</f>
        <v/>
      </c>
    </row>
    <row r="434">
      <c r="D434" s="40">
        <f>IFERROR(INDEX($G$4:$G$597,MATCH(431,$F$4:$F$597,0)),"")</f>
        <v/>
      </c>
      <c r="F434">
        <f>IF(Geral!$A$437="","",COUNTIF(Geral!$A$7:$A$437,"?*"))</f>
        <v/>
      </c>
      <c r="G434">
        <f>IF(Geral!$A$437="","",Geral!$A$437&amp;" · "&amp;Geral!$E$437)</f>
        <v/>
      </c>
    </row>
    <row r="435">
      <c r="D435" s="40">
        <f>IFERROR(INDEX($G$4:$G$597,MATCH(432,$F$4:$F$597,0)),"")</f>
        <v/>
      </c>
      <c r="F435">
        <f>IF(Geral!$A$438="","",COUNTIF(Geral!$A$7:$A$438,"?*"))</f>
        <v/>
      </c>
      <c r="G435">
        <f>IF(Geral!$A$438="","",Geral!$A$438&amp;" · "&amp;Geral!$E$438)</f>
        <v/>
      </c>
    </row>
    <row r="436">
      <c r="D436" s="40">
        <f>IFERROR(INDEX($G$4:$G$597,MATCH(433,$F$4:$F$597,0)),"")</f>
        <v/>
      </c>
      <c r="F436">
        <f>IF(Geral!$A$439="","",COUNTIF(Geral!$A$7:$A$439,"?*"))</f>
        <v/>
      </c>
      <c r="G436">
        <f>IF(Geral!$A$439="","",Geral!$A$439&amp;" · "&amp;Geral!$E$439)</f>
        <v/>
      </c>
    </row>
    <row r="437">
      <c r="D437" s="40">
        <f>IFERROR(INDEX($G$4:$G$597,MATCH(434,$F$4:$F$597,0)),"")</f>
        <v/>
      </c>
      <c r="F437">
        <f>IF(Geral!$A$440="","",COUNTIF(Geral!$A$7:$A$440,"?*"))</f>
        <v/>
      </c>
      <c r="G437">
        <f>IF(Geral!$A$440="","",Geral!$A$440&amp;" · "&amp;Geral!$E$440)</f>
        <v/>
      </c>
    </row>
    <row r="438">
      <c r="D438" s="40">
        <f>IFERROR(INDEX($G$4:$G$597,MATCH(435,$F$4:$F$597,0)),"")</f>
        <v/>
      </c>
      <c r="F438">
        <f>IF(Geral!$A$441="","",COUNTIF(Geral!$A$7:$A$441,"?*"))</f>
        <v/>
      </c>
      <c r="G438">
        <f>IF(Geral!$A$441="","",Geral!$A$441&amp;" · "&amp;Geral!$E$441)</f>
        <v/>
      </c>
    </row>
    <row r="439">
      <c r="D439" s="40">
        <f>IFERROR(INDEX($G$4:$G$597,MATCH(436,$F$4:$F$597,0)),"")</f>
        <v/>
      </c>
      <c r="F439">
        <f>IF(Geral!$A$442="","",COUNTIF(Geral!$A$7:$A$442,"?*"))</f>
        <v/>
      </c>
      <c r="G439">
        <f>IF(Geral!$A$442="","",Geral!$A$442&amp;" · "&amp;Geral!$E$442)</f>
        <v/>
      </c>
    </row>
    <row r="440">
      <c r="D440" s="40">
        <f>IFERROR(INDEX($G$4:$G$597,MATCH(437,$F$4:$F$597,0)),"")</f>
        <v/>
      </c>
      <c r="F440">
        <f>IF(Geral!$A$443="","",COUNTIF(Geral!$A$7:$A$443,"?*"))</f>
        <v/>
      </c>
      <c r="G440">
        <f>IF(Geral!$A$443="","",Geral!$A$443&amp;" · "&amp;Geral!$E$443)</f>
        <v/>
      </c>
    </row>
    <row r="441">
      <c r="D441" s="40">
        <f>IFERROR(INDEX($G$4:$G$597,MATCH(438,$F$4:$F$597,0)),"")</f>
        <v/>
      </c>
      <c r="F441">
        <f>IF(Geral!$A$444="","",COUNTIF(Geral!$A$7:$A$444,"?*"))</f>
        <v/>
      </c>
      <c r="G441">
        <f>IF(Geral!$A$444="","",Geral!$A$444&amp;" · "&amp;Geral!$E$444)</f>
        <v/>
      </c>
    </row>
    <row r="442">
      <c r="D442" s="40">
        <f>IFERROR(INDEX($G$4:$G$597,MATCH(439,$F$4:$F$597,0)),"")</f>
        <v/>
      </c>
      <c r="F442">
        <f>IF(Geral!$A$445="","",COUNTIF(Geral!$A$7:$A$445,"?*"))</f>
        <v/>
      </c>
      <c r="G442">
        <f>IF(Geral!$A$445="","",Geral!$A$445&amp;" · "&amp;Geral!$E$445)</f>
        <v/>
      </c>
    </row>
    <row r="443">
      <c r="D443" s="40">
        <f>IFERROR(INDEX($G$4:$G$597,MATCH(440,$F$4:$F$597,0)),"")</f>
        <v/>
      </c>
      <c r="F443">
        <f>IF(Geral!$A$446="","",COUNTIF(Geral!$A$7:$A$446,"?*"))</f>
        <v/>
      </c>
      <c r="G443">
        <f>IF(Geral!$A$446="","",Geral!$A$446&amp;" · "&amp;Geral!$E$446)</f>
        <v/>
      </c>
    </row>
    <row r="444">
      <c r="D444" s="40">
        <f>IFERROR(INDEX($G$4:$G$597,MATCH(441,$F$4:$F$597,0)),"")</f>
        <v/>
      </c>
      <c r="F444">
        <f>IF(Geral!$A$447="","",COUNTIF(Geral!$A$7:$A$447,"?*"))</f>
        <v/>
      </c>
      <c r="G444">
        <f>IF(Geral!$A$447="","",Geral!$A$447&amp;" · "&amp;Geral!$E$447)</f>
        <v/>
      </c>
    </row>
    <row r="445">
      <c r="D445" s="40">
        <f>IFERROR(INDEX($G$4:$G$597,MATCH(442,$F$4:$F$597,0)),"")</f>
        <v/>
      </c>
      <c r="F445">
        <f>IF(Geral!$A$448="","",COUNTIF(Geral!$A$7:$A$448,"?*"))</f>
        <v/>
      </c>
      <c r="G445">
        <f>IF(Geral!$A$448="","",Geral!$A$448&amp;" · "&amp;Geral!$E$448)</f>
        <v/>
      </c>
    </row>
    <row r="446">
      <c r="D446" s="40">
        <f>IFERROR(INDEX($G$4:$G$597,MATCH(443,$F$4:$F$597,0)),"")</f>
        <v/>
      </c>
      <c r="F446">
        <f>IF(Geral!$A$449="","",COUNTIF(Geral!$A$7:$A$449,"?*"))</f>
        <v/>
      </c>
      <c r="G446">
        <f>IF(Geral!$A$449="","",Geral!$A$449&amp;" · "&amp;Geral!$E$449)</f>
        <v/>
      </c>
    </row>
    <row r="447">
      <c r="D447" s="40">
        <f>IFERROR(INDEX($G$4:$G$597,MATCH(444,$F$4:$F$597,0)),"")</f>
        <v/>
      </c>
      <c r="F447">
        <f>IF(Geral!$A$450="","",COUNTIF(Geral!$A$7:$A$450,"?*"))</f>
        <v/>
      </c>
      <c r="G447">
        <f>IF(Geral!$A$450="","",Geral!$A$450&amp;" · "&amp;Geral!$E$450)</f>
        <v/>
      </c>
    </row>
    <row r="448">
      <c r="D448" s="40">
        <f>IFERROR(INDEX($G$4:$G$597,MATCH(445,$F$4:$F$597,0)),"")</f>
        <v/>
      </c>
      <c r="F448">
        <f>IF(Geral!$A$451="","",COUNTIF(Geral!$A$7:$A$451,"?*"))</f>
        <v/>
      </c>
      <c r="G448">
        <f>IF(Geral!$A$451="","",Geral!$A$451&amp;" · "&amp;Geral!$E$451)</f>
        <v/>
      </c>
    </row>
    <row r="449">
      <c r="D449" s="40">
        <f>IFERROR(INDEX($G$4:$G$597,MATCH(446,$F$4:$F$597,0)),"")</f>
        <v/>
      </c>
      <c r="F449">
        <f>IF(Geral!$A$452="","",COUNTIF(Geral!$A$7:$A$452,"?*"))</f>
        <v/>
      </c>
      <c r="G449">
        <f>IF(Geral!$A$452="","",Geral!$A$452&amp;" · "&amp;Geral!$E$452)</f>
        <v/>
      </c>
    </row>
    <row r="450">
      <c r="D450" s="40">
        <f>IFERROR(INDEX($G$4:$G$597,MATCH(447,$F$4:$F$597,0)),"")</f>
        <v/>
      </c>
      <c r="F450">
        <f>IF(Geral!$A$453="","",COUNTIF(Geral!$A$7:$A$453,"?*"))</f>
        <v/>
      </c>
      <c r="G450">
        <f>IF(Geral!$A$453="","",Geral!$A$453&amp;" · "&amp;Geral!$E$453)</f>
        <v/>
      </c>
    </row>
    <row r="451">
      <c r="D451" s="40">
        <f>IFERROR(INDEX($G$4:$G$597,MATCH(448,$F$4:$F$597,0)),"")</f>
        <v/>
      </c>
      <c r="F451">
        <f>IF(Geral!$A$454="","",COUNTIF(Geral!$A$7:$A$454,"?*"))</f>
        <v/>
      </c>
      <c r="G451">
        <f>IF(Geral!$A$454="","",Geral!$A$454&amp;" · "&amp;Geral!$E$454)</f>
        <v/>
      </c>
    </row>
    <row r="452">
      <c r="D452" s="40">
        <f>IFERROR(INDEX($G$4:$G$597,MATCH(449,$F$4:$F$597,0)),"")</f>
        <v/>
      </c>
      <c r="F452">
        <f>IF(Geral!$A$455="","",COUNTIF(Geral!$A$7:$A$455,"?*"))</f>
        <v/>
      </c>
      <c r="G452">
        <f>IF(Geral!$A$455="","",Geral!$A$455&amp;" · "&amp;Geral!$E$455)</f>
        <v/>
      </c>
    </row>
    <row r="453">
      <c r="D453" s="40">
        <f>IFERROR(INDEX($G$4:$G$597,MATCH(450,$F$4:$F$597,0)),"")</f>
        <v/>
      </c>
      <c r="F453">
        <f>IF(Geral!$A$456="","",COUNTIF(Geral!$A$7:$A$456,"?*"))</f>
        <v/>
      </c>
      <c r="G453">
        <f>IF(Geral!$A$456="","",Geral!$A$456&amp;" · "&amp;Geral!$E$456)</f>
        <v/>
      </c>
    </row>
    <row r="454">
      <c r="D454" s="40">
        <f>IFERROR(INDEX($G$4:$G$597,MATCH(451,$F$4:$F$597,0)),"")</f>
        <v/>
      </c>
      <c r="F454">
        <f>IF(Geral!$A$457="","",COUNTIF(Geral!$A$7:$A$457,"?*"))</f>
        <v/>
      </c>
      <c r="G454">
        <f>IF(Geral!$A$457="","",Geral!$A$457&amp;" · "&amp;Geral!$E$457)</f>
        <v/>
      </c>
    </row>
    <row r="455">
      <c r="D455" s="40">
        <f>IFERROR(INDEX($G$4:$G$597,MATCH(452,$F$4:$F$597,0)),"")</f>
        <v/>
      </c>
      <c r="F455">
        <f>IF(Geral!$A$458="","",COUNTIF(Geral!$A$7:$A$458,"?*"))</f>
        <v/>
      </c>
      <c r="G455">
        <f>IF(Geral!$A$458="","",Geral!$A$458&amp;" · "&amp;Geral!$E$458)</f>
        <v/>
      </c>
    </row>
    <row r="456">
      <c r="D456" s="40">
        <f>IFERROR(INDEX($G$4:$G$597,MATCH(453,$F$4:$F$597,0)),"")</f>
        <v/>
      </c>
      <c r="F456">
        <f>IF(Geral!$A$459="","",COUNTIF(Geral!$A$7:$A$459,"?*"))</f>
        <v/>
      </c>
      <c r="G456">
        <f>IF(Geral!$A$459="","",Geral!$A$459&amp;" · "&amp;Geral!$E$459)</f>
        <v/>
      </c>
    </row>
    <row r="457">
      <c r="D457" s="40">
        <f>IFERROR(INDEX($G$4:$G$597,MATCH(454,$F$4:$F$597,0)),"")</f>
        <v/>
      </c>
      <c r="F457">
        <f>IF(Geral!$A$460="","",COUNTIF(Geral!$A$7:$A$460,"?*"))</f>
        <v/>
      </c>
      <c r="G457">
        <f>IF(Geral!$A$460="","",Geral!$A$460&amp;" · "&amp;Geral!$E$460)</f>
        <v/>
      </c>
    </row>
    <row r="458">
      <c r="D458" s="40">
        <f>IFERROR(INDEX($G$4:$G$597,MATCH(455,$F$4:$F$597,0)),"")</f>
        <v/>
      </c>
      <c r="F458">
        <f>IF(Geral!$A$461="","",COUNTIF(Geral!$A$7:$A$461,"?*"))</f>
        <v/>
      </c>
      <c r="G458">
        <f>IF(Geral!$A$461="","",Geral!$A$461&amp;" · "&amp;Geral!$E$461)</f>
        <v/>
      </c>
    </row>
    <row r="459">
      <c r="D459" s="40">
        <f>IFERROR(INDEX($G$4:$G$597,MATCH(456,$F$4:$F$597,0)),"")</f>
        <v/>
      </c>
      <c r="F459">
        <f>IF(Geral!$A$462="","",COUNTIF(Geral!$A$7:$A$462,"?*"))</f>
        <v/>
      </c>
      <c r="G459">
        <f>IF(Geral!$A$462="","",Geral!$A$462&amp;" · "&amp;Geral!$E$462)</f>
        <v/>
      </c>
    </row>
    <row r="460">
      <c r="D460" s="40">
        <f>IFERROR(INDEX($G$4:$G$597,MATCH(457,$F$4:$F$597,0)),"")</f>
        <v/>
      </c>
      <c r="F460">
        <f>IF(Geral!$A$463="","",COUNTIF(Geral!$A$7:$A$463,"?*"))</f>
        <v/>
      </c>
      <c r="G460">
        <f>IF(Geral!$A$463="","",Geral!$A$463&amp;" · "&amp;Geral!$E$463)</f>
        <v/>
      </c>
    </row>
    <row r="461">
      <c r="D461" s="40">
        <f>IFERROR(INDEX($G$4:$G$597,MATCH(458,$F$4:$F$597,0)),"")</f>
        <v/>
      </c>
      <c r="F461">
        <f>IF(Geral!$A$464="","",COUNTIF(Geral!$A$7:$A$464,"?*"))</f>
        <v/>
      </c>
      <c r="G461">
        <f>IF(Geral!$A$464="","",Geral!$A$464&amp;" · "&amp;Geral!$E$464)</f>
        <v/>
      </c>
    </row>
    <row r="462">
      <c r="D462" s="40">
        <f>IFERROR(INDEX($G$4:$G$597,MATCH(459,$F$4:$F$597,0)),"")</f>
        <v/>
      </c>
      <c r="F462">
        <f>IF(Geral!$A$465="","",COUNTIF(Geral!$A$7:$A$465,"?*"))</f>
        <v/>
      </c>
      <c r="G462">
        <f>IF(Geral!$A$465="","",Geral!$A$465&amp;" · "&amp;Geral!$E$465)</f>
        <v/>
      </c>
    </row>
    <row r="463">
      <c r="D463" s="40">
        <f>IFERROR(INDEX($G$4:$G$597,MATCH(460,$F$4:$F$597,0)),"")</f>
        <v/>
      </c>
      <c r="F463">
        <f>IF(Geral!$A$466="","",COUNTIF(Geral!$A$7:$A$466,"?*"))</f>
        <v/>
      </c>
      <c r="G463">
        <f>IF(Geral!$A$466="","",Geral!$A$466&amp;" · "&amp;Geral!$E$466)</f>
        <v/>
      </c>
    </row>
    <row r="464">
      <c r="D464" s="40">
        <f>IFERROR(INDEX($G$4:$G$597,MATCH(461,$F$4:$F$597,0)),"")</f>
        <v/>
      </c>
      <c r="F464">
        <f>IF(Geral!$A$467="","",COUNTIF(Geral!$A$7:$A$467,"?*"))</f>
        <v/>
      </c>
      <c r="G464">
        <f>IF(Geral!$A$467="","",Geral!$A$467&amp;" · "&amp;Geral!$E$467)</f>
        <v/>
      </c>
    </row>
    <row r="465">
      <c r="D465" s="40">
        <f>IFERROR(INDEX($G$4:$G$597,MATCH(462,$F$4:$F$597,0)),"")</f>
        <v/>
      </c>
      <c r="F465">
        <f>IF(Geral!$A$468="","",COUNTIF(Geral!$A$7:$A$468,"?*"))</f>
        <v/>
      </c>
      <c r="G465">
        <f>IF(Geral!$A$468="","",Geral!$A$468&amp;" · "&amp;Geral!$E$468)</f>
        <v/>
      </c>
    </row>
    <row r="466">
      <c r="D466" s="40">
        <f>IFERROR(INDEX($G$4:$G$597,MATCH(463,$F$4:$F$597,0)),"")</f>
        <v/>
      </c>
      <c r="F466">
        <f>IF(Geral!$A$469="","",COUNTIF(Geral!$A$7:$A$469,"?*"))</f>
        <v/>
      </c>
      <c r="G466">
        <f>IF(Geral!$A$469="","",Geral!$A$469&amp;" · "&amp;Geral!$E$469)</f>
        <v/>
      </c>
    </row>
    <row r="467">
      <c r="D467" s="40">
        <f>IFERROR(INDEX($G$4:$G$597,MATCH(464,$F$4:$F$597,0)),"")</f>
        <v/>
      </c>
      <c r="F467">
        <f>IF(Geral!$A$470="","",COUNTIF(Geral!$A$7:$A$470,"?*"))</f>
        <v/>
      </c>
      <c r="G467">
        <f>IF(Geral!$A$470="","",Geral!$A$470&amp;" · "&amp;Geral!$E$470)</f>
        <v/>
      </c>
    </row>
    <row r="468">
      <c r="D468" s="40">
        <f>IFERROR(INDEX($G$4:$G$597,MATCH(465,$F$4:$F$597,0)),"")</f>
        <v/>
      </c>
      <c r="F468">
        <f>IF(Geral!$A$471="","",COUNTIF(Geral!$A$7:$A$471,"?*"))</f>
        <v/>
      </c>
      <c r="G468">
        <f>IF(Geral!$A$471="","",Geral!$A$471&amp;" · "&amp;Geral!$E$471)</f>
        <v/>
      </c>
    </row>
    <row r="469">
      <c r="D469" s="40">
        <f>IFERROR(INDEX($G$4:$G$597,MATCH(466,$F$4:$F$597,0)),"")</f>
        <v/>
      </c>
      <c r="F469">
        <f>IF(Geral!$A$472="","",COUNTIF(Geral!$A$7:$A$472,"?*"))</f>
        <v/>
      </c>
      <c r="G469">
        <f>IF(Geral!$A$472="","",Geral!$A$472&amp;" · "&amp;Geral!$E$472)</f>
        <v/>
      </c>
    </row>
    <row r="470">
      <c r="D470" s="40">
        <f>IFERROR(INDEX($G$4:$G$597,MATCH(467,$F$4:$F$597,0)),"")</f>
        <v/>
      </c>
      <c r="F470">
        <f>IF(Geral!$A$473="","",COUNTIF(Geral!$A$7:$A$473,"?*"))</f>
        <v/>
      </c>
      <c r="G470">
        <f>IF(Geral!$A$473="","",Geral!$A$473&amp;" · "&amp;Geral!$E$473)</f>
        <v/>
      </c>
    </row>
    <row r="471">
      <c r="D471" s="40">
        <f>IFERROR(INDEX($G$4:$G$597,MATCH(468,$F$4:$F$597,0)),"")</f>
        <v/>
      </c>
      <c r="F471">
        <f>IF(Geral!$A$474="","",COUNTIF(Geral!$A$7:$A$474,"?*"))</f>
        <v/>
      </c>
      <c r="G471">
        <f>IF(Geral!$A$474="","",Geral!$A$474&amp;" · "&amp;Geral!$E$474)</f>
        <v/>
      </c>
    </row>
    <row r="472">
      <c r="D472" s="40">
        <f>IFERROR(INDEX($G$4:$G$597,MATCH(469,$F$4:$F$597,0)),"")</f>
        <v/>
      </c>
      <c r="F472">
        <f>IF(Geral!$A$475="","",COUNTIF(Geral!$A$7:$A$475,"?*"))</f>
        <v/>
      </c>
      <c r="G472">
        <f>IF(Geral!$A$475="","",Geral!$A$475&amp;" · "&amp;Geral!$E$475)</f>
        <v/>
      </c>
    </row>
    <row r="473">
      <c r="D473" s="40">
        <f>IFERROR(INDEX($G$4:$G$597,MATCH(470,$F$4:$F$597,0)),"")</f>
        <v/>
      </c>
      <c r="F473">
        <f>IF(Geral!$A$476="","",COUNTIF(Geral!$A$7:$A$476,"?*"))</f>
        <v/>
      </c>
      <c r="G473">
        <f>IF(Geral!$A$476="","",Geral!$A$476&amp;" · "&amp;Geral!$E$476)</f>
        <v/>
      </c>
    </row>
    <row r="474">
      <c r="D474" s="40">
        <f>IFERROR(INDEX($G$4:$G$597,MATCH(471,$F$4:$F$597,0)),"")</f>
        <v/>
      </c>
      <c r="F474">
        <f>IF(Geral!$A$477="","",COUNTIF(Geral!$A$7:$A$477,"?*"))</f>
        <v/>
      </c>
      <c r="G474">
        <f>IF(Geral!$A$477="","",Geral!$A$477&amp;" · "&amp;Geral!$E$477)</f>
        <v/>
      </c>
    </row>
    <row r="475">
      <c r="D475" s="40">
        <f>IFERROR(INDEX($G$4:$G$597,MATCH(472,$F$4:$F$597,0)),"")</f>
        <v/>
      </c>
      <c r="F475">
        <f>IF(Geral!$A$478="","",COUNTIF(Geral!$A$7:$A$478,"?*"))</f>
        <v/>
      </c>
      <c r="G475">
        <f>IF(Geral!$A$478="","",Geral!$A$478&amp;" · "&amp;Geral!$E$478)</f>
        <v/>
      </c>
    </row>
    <row r="476">
      <c r="D476" s="40">
        <f>IFERROR(INDEX($G$4:$G$597,MATCH(473,$F$4:$F$597,0)),"")</f>
        <v/>
      </c>
      <c r="F476">
        <f>IF(Geral!$A$479="","",COUNTIF(Geral!$A$7:$A$479,"?*"))</f>
        <v/>
      </c>
      <c r="G476">
        <f>IF(Geral!$A$479="","",Geral!$A$479&amp;" · "&amp;Geral!$E$479)</f>
        <v/>
      </c>
    </row>
    <row r="477">
      <c r="D477" s="40">
        <f>IFERROR(INDEX($G$4:$G$597,MATCH(474,$F$4:$F$597,0)),"")</f>
        <v/>
      </c>
      <c r="F477">
        <f>IF(Geral!$A$480="","",COUNTIF(Geral!$A$7:$A$480,"?*"))</f>
        <v/>
      </c>
      <c r="G477">
        <f>IF(Geral!$A$480="","",Geral!$A$480&amp;" · "&amp;Geral!$E$480)</f>
        <v/>
      </c>
    </row>
    <row r="478">
      <c r="D478" s="40">
        <f>IFERROR(INDEX($G$4:$G$597,MATCH(475,$F$4:$F$597,0)),"")</f>
        <v/>
      </c>
      <c r="F478">
        <f>IF(Geral!$A$481="","",COUNTIF(Geral!$A$7:$A$481,"?*"))</f>
        <v/>
      </c>
      <c r="G478">
        <f>IF(Geral!$A$481="","",Geral!$A$481&amp;" · "&amp;Geral!$E$481)</f>
        <v/>
      </c>
    </row>
    <row r="479">
      <c r="D479" s="40">
        <f>IFERROR(INDEX($G$4:$G$597,MATCH(476,$F$4:$F$597,0)),"")</f>
        <v/>
      </c>
      <c r="F479">
        <f>IF(Geral!$A$482="","",COUNTIF(Geral!$A$7:$A$482,"?*"))</f>
        <v/>
      </c>
      <c r="G479">
        <f>IF(Geral!$A$482="","",Geral!$A$482&amp;" · "&amp;Geral!$E$482)</f>
        <v/>
      </c>
    </row>
    <row r="480">
      <c r="D480" s="40">
        <f>IFERROR(INDEX($G$4:$G$597,MATCH(477,$F$4:$F$597,0)),"")</f>
        <v/>
      </c>
      <c r="F480">
        <f>IF(Geral!$A$483="","",COUNTIF(Geral!$A$7:$A$483,"?*"))</f>
        <v/>
      </c>
      <c r="G480">
        <f>IF(Geral!$A$483="","",Geral!$A$483&amp;" · "&amp;Geral!$E$483)</f>
        <v/>
      </c>
    </row>
    <row r="481">
      <c r="D481" s="40">
        <f>IFERROR(INDEX($G$4:$G$597,MATCH(478,$F$4:$F$597,0)),"")</f>
        <v/>
      </c>
      <c r="F481">
        <f>IF(Geral!$A$484="","",COUNTIF(Geral!$A$7:$A$484,"?*"))</f>
        <v/>
      </c>
      <c r="G481">
        <f>IF(Geral!$A$484="","",Geral!$A$484&amp;" · "&amp;Geral!$E$484)</f>
        <v/>
      </c>
    </row>
    <row r="482">
      <c r="D482" s="40">
        <f>IFERROR(INDEX($G$4:$G$597,MATCH(479,$F$4:$F$597,0)),"")</f>
        <v/>
      </c>
      <c r="F482">
        <f>IF(Geral!$A$485="","",COUNTIF(Geral!$A$7:$A$485,"?*"))</f>
        <v/>
      </c>
      <c r="G482">
        <f>IF(Geral!$A$485="","",Geral!$A$485&amp;" · "&amp;Geral!$E$485)</f>
        <v/>
      </c>
    </row>
    <row r="483">
      <c r="D483" s="40">
        <f>IFERROR(INDEX($G$4:$G$597,MATCH(480,$F$4:$F$597,0)),"")</f>
        <v/>
      </c>
      <c r="F483">
        <f>IF(Geral!$A$486="","",COUNTIF(Geral!$A$7:$A$486,"?*"))</f>
        <v/>
      </c>
      <c r="G483">
        <f>IF(Geral!$A$486="","",Geral!$A$486&amp;" · "&amp;Geral!$E$486)</f>
        <v/>
      </c>
    </row>
    <row r="484">
      <c r="D484" s="40">
        <f>IFERROR(INDEX($G$4:$G$597,MATCH(481,$F$4:$F$597,0)),"")</f>
        <v/>
      </c>
      <c r="F484">
        <f>IF(Geral!$A$487="","",COUNTIF(Geral!$A$7:$A$487,"?*"))</f>
        <v/>
      </c>
      <c r="G484">
        <f>IF(Geral!$A$487="","",Geral!$A$487&amp;" · "&amp;Geral!$E$487)</f>
        <v/>
      </c>
    </row>
    <row r="485">
      <c r="D485" s="40">
        <f>IFERROR(INDEX($G$4:$G$597,MATCH(482,$F$4:$F$597,0)),"")</f>
        <v/>
      </c>
      <c r="F485">
        <f>IF(Geral!$A$488="","",COUNTIF(Geral!$A$7:$A$488,"?*"))</f>
        <v/>
      </c>
      <c r="G485">
        <f>IF(Geral!$A$488="","",Geral!$A$488&amp;" · "&amp;Geral!$E$488)</f>
        <v/>
      </c>
    </row>
    <row r="486">
      <c r="D486" s="40">
        <f>IFERROR(INDEX($G$4:$G$597,MATCH(483,$F$4:$F$597,0)),"")</f>
        <v/>
      </c>
      <c r="F486">
        <f>IF(Geral!$A$489="","",COUNTIF(Geral!$A$7:$A$489,"?*"))</f>
        <v/>
      </c>
      <c r="G486">
        <f>IF(Geral!$A$489="","",Geral!$A$489&amp;" · "&amp;Geral!$E$489)</f>
        <v/>
      </c>
    </row>
    <row r="487">
      <c r="D487" s="40">
        <f>IFERROR(INDEX($G$4:$G$597,MATCH(484,$F$4:$F$597,0)),"")</f>
        <v/>
      </c>
      <c r="F487">
        <f>IF(Geral!$A$490="","",COUNTIF(Geral!$A$7:$A$490,"?*"))</f>
        <v/>
      </c>
      <c r="G487">
        <f>IF(Geral!$A$490="","",Geral!$A$490&amp;" · "&amp;Geral!$E$490)</f>
        <v/>
      </c>
    </row>
    <row r="488">
      <c r="D488" s="40">
        <f>IFERROR(INDEX($G$4:$G$597,MATCH(485,$F$4:$F$597,0)),"")</f>
        <v/>
      </c>
      <c r="F488">
        <f>IF(Geral!$A$491="","",COUNTIF(Geral!$A$7:$A$491,"?*"))</f>
        <v/>
      </c>
      <c r="G488">
        <f>IF(Geral!$A$491="","",Geral!$A$491&amp;" · "&amp;Geral!$E$491)</f>
        <v/>
      </c>
    </row>
    <row r="489">
      <c r="D489" s="40">
        <f>IFERROR(INDEX($G$4:$G$597,MATCH(486,$F$4:$F$597,0)),"")</f>
        <v/>
      </c>
      <c r="F489">
        <f>IF(Geral!$A$492="","",COUNTIF(Geral!$A$7:$A$492,"?*"))</f>
        <v/>
      </c>
      <c r="G489">
        <f>IF(Geral!$A$492="","",Geral!$A$492&amp;" · "&amp;Geral!$E$492)</f>
        <v/>
      </c>
    </row>
    <row r="490">
      <c r="D490" s="40">
        <f>IFERROR(INDEX($G$4:$G$597,MATCH(487,$F$4:$F$597,0)),"")</f>
        <v/>
      </c>
      <c r="F490">
        <f>IF(Geral!$A$493="","",COUNTIF(Geral!$A$7:$A$493,"?*"))</f>
        <v/>
      </c>
      <c r="G490">
        <f>IF(Geral!$A$493="","",Geral!$A$493&amp;" · "&amp;Geral!$E$493)</f>
        <v/>
      </c>
    </row>
    <row r="491">
      <c r="D491" s="40">
        <f>IFERROR(INDEX($G$4:$G$597,MATCH(488,$F$4:$F$597,0)),"")</f>
        <v/>
      </c>
      <c r="F491">
        <f>IF(Geral!$A$494="","",COUNTIF(Geral!$A$7:$A$494,"?*"))</f>
        <v/>
      </c>
      <c r="G491">
        <f>IF(Geral!$A$494="","",Geral!$A$494&amp;" · "&amp;Geral!$E$494)</f>
        <v/>
      </c>
    </row>
    <row r="492">
      <c r="D492" s="40">
        <f>IFERROR(INDEX($G$4:$G$597,MATCH(489,$F$4:$F$597,0)),"")</f>
        <v/>
      </c>
      <c r="F492">
        <f>IF(Geral!$A$495="","",COUNTIF(Geral!$A$7:$A$495,"?*"))</f>
        <v/>
      </c>
      <c r="G492">
        <f>IF(Geral!$A$495="","",Geral!$A$495&amp;" · "&amp;Geral!$E$495)</f>
        <v/>
      </c>
    </row>
    <row r="493">
      <c r="D493" s="40">
        <f>IFERROR(INDEX($G$4:$G$597,MATCH(490,$F$4:$F$597,0)),"")</f>
        <v/>
      </c>
      <c r="F493">
        <f>IF(Geral!$A$496="","",COUNTIF(Geral!$A$7:$A$496,"?*"))</f>
        <v/>
      </c>
      <c r="G493">
        <f>IF(Geral!$A$496="","",Geral!$A$496&amp;" · "&amp;Geral!$E$496)</f>
        <v/>
      </c>
    </row>
    <row r="494">
      <c r="D494" s="40">
        <f>IFERROR(INDEX($G$4:$G$597,MATCH(491,$F$4:$F$597,0)),"")</f>
        <v/>
      </c>
      <c r="F494">
        <f>IF(Geral!$A$497="","",COUNTIF(Geral!$A$7:$A$497,"?*"))</f>
        <v/>
      </c>
      <c r="G494">
        <f>IF(Geral!$A$497="","",Geral!$A$497&amp;" · "&amp;Geral!$E$497)</f>
        <v/>
      </c>
    </row>
    <row r="495">
      <c r="D495" s="40">
        <f>IFERROR(INDEX($G$4:$G$597,MATCH(492,$F$4:$F$597,0)),"")</f>
        <v/>
      </c>
      <c r="F495">
        <f>IF(Geral!$A$498="","",COUNTIF(Geral!$A$7:$A$498,"?*"))</f>
        <v/>
      </c>
      <c r="G495">
        <f>IF(Geral!$A$498="","",Geral!$A$498&amp;" · "&amp;Geral!$E$498)</f>
        <v/>
      </c>
    </row>
    <row r="496">
      <c r="D496" s="40">
        <f>IFERROR(INDEX($G$4:$G$597,MATCH(493,$F$4:$F$597,0)),"")</f>
        <v/>
      </c>
      <c r="F496">
        <f>IF(Geral!$A$499="","",COUNTIF(Geral!$A$7:$A$499,"?*"))</f>
        <v/>
      </c>
      <c r="G496">
        <f>IF(Geral!$A$499="","",Geral!$A$499&amp;" · "&amp;Geral!$E$499)</f>
        <v/>
      </c>
    </row>
    <row r="497">
      <c r="D497" s="40">
        <f>IFERROR(INDEX($G$4:$G$597,MATCH(494,$F$4:$F$597,0)),"")</f>
        <v/>
      </c>
      <c r="F497">
        <f>IF(Geral!$A$500="","",COUNTIF(Geral!$A$7:$A$500,"?*"))</f>
        <v/>
      </c>
      <c r="G497">
        <f>IF(Geral!$A$500="","",Geral!$A$500&amp;" · "&amp;Geral!$E$500)</f>
        <v/>
      </c>
    </row>
    <row r="498">
      <c r="D498" s="40">
        <f>IFERROR(INDEX($G$4:$G$597,MATCH(495,$F$4:$F$597,0)),"")</f>
        <v/>
      </c>
      <c r="F498">
        <f>IF(Geral!$A$501="","",COUNTIF(Geral!$A$7:$A$501,"?*"))</f>
        <v/>
      </c>
      <c r="G498">
        <f>IF(Geral!$A$501="","",Geral!$A$501&amp;" · "&amp;Geral!$E$501)</f>
        <v/>
      </c>
    </row>
    <row r="499">
      <c r="D499" s="40">
        <f>IFERROR(INDEX($G$4:$G$597,MATCH(496,$F$4:$F$597,0)),"")</f>
        <v/>
      </c>
      <c r="F499">
        <f>IF(Geral!$A$502="","",COUNTIF(Geral!$A$7:$A$502,"?*"))</f>
        <v/>
      </c>
      <c r="G499">
        <f>IF(Geral!$A$502="","",Geral!$A$502&amp;" · "&amp;Geral!$E$502)</f>
        <v/>
      </c>
    </row>
    <row r="500">
      <c r="D500" s="40">
        <f>IFERROR(INDEX($G$4:$G$597,MATCH(497,$F$4:$F$597,0)),"")</f>
        <v/>
      </c>
      <c r="F500">
        <f>IF(Geral!$A$503="","",COUNTIF(Geral!$A$7:$A$503,"?*"))</f>
        <v/>
      </c>
      <c r="G500">
        <f>IF(Geral!$A$503="","",Geral!$A$503&amp;" · "&amp;Geral!$E$503)</f>
        <v/>
      </c>
    </row>
    <row r="501">
      <c r="D501" s="40">
        <f>IFERROR(INDEX($G$4:$G$597,MATCH(498,$F$4:$F$597,0)),"")</f>
        <v/>
      </c>
      <c r="F501">
        <f>IF(Geral!$A$504="","",COUNTIF(Geral!$A$7:$A$504,"?*"))</f>
        <v/>
      </c>
      <c r="G501">
        <f>IF(Geral!$A$504="","",Geral!$A$504&amp;" · "&amp;Geral!$E$504)</f>
        <v/>
      </c>
    </row>
    <row r="502">
      <c r="D502" s="40">
        <f>IFERROR(INDEX($G$4:$G$597,MATCH(499,$F$4:$F$597,0)),"")</f>
        <v/>
      </c>
      <c r="F502">
        <f>IF(Geral!$A$505="","",COUNTIF(Geral!$A$7:$A$505,"?*"))</f>
        <v/>
      </c>
      <c r="G502">
        <f>IF(Geral!$A$505="","",Geral!$A$505&amp;" · "&amp;Geral!$E$505)</f>
        <v/>
      </c>
    </row>
    <row r="503">
      <c r="D503" s="40">
        <f>IFERROR(INDEX($G$4:$G$597,MATCH(500,$F$4:$F$597,0)),"")</f>
        <v/>
      </c>
      <c r="F503">
        <f>IF(Geral!$A$506="","",COUNTIF(Geral!$A$7:$A$506,"?*"))</f>
        <v/>
      </c>
      <c r="G503">
        <f>IF(Geral!$A$506="","",Geral!$A$506&amp;" · "&amp;Geral!$E$506)</f>
        <v/>
      </c>
    </row>
    <row r="504">
      <c r="D504" s="40">
        <f>IFERROR(INDEX($G$4:$G$597,MATCH(501,$F$4:$F$597,0)),"")</f>
        <v/>
      </c>
      <c r="F504">
        <f>IF(Geral!$A$507="","",COUNTIF(Geral!$A$7:$A$507,"?*"))</f>
        <v/>
      </c>
      <c r="G504">
        <f>IF(Geral!$A$507="","",Geral!$A$507&amp;" · "&amp;Geral!$E$507)</f>
        <v/>
      </c>
    </row>
    <row r="505">
      <c r="D505" s="40">
        <f>IFERROR(INDEX($G$4:$G$597,MATCH(502,$F$4:$F$597,0)),"")</f>
        <v/>
      </c>
      <c r="F505">
        <f>IF(Geral!$A$508="","",COUNTIF(Geral!$A$7:$A$508,"?*"))</f>
        <v/>
      </c>
      <c r="G505">
        <f>IF(Geral!$A$508="","",Geral!$A$508&amp;" · "&amp;Geral!$E$508)</f>
        <v/>
      </c>
    </row>
    <row r="506">
      <c r="D506" s="40">
        <f>IFERROR(INDEX($G$4:$G$597,MATCH(503,$F$4:$F$597,0)),"")</f>
        <v/>
      </c>
      <c r="F506">
        <f>IF(Geral!$A$509="","",COUNTIF(Geral!$A$7:$A$509,"?*"))</f>
        <v/>
      </c>
      <c r="G506">
        <f>IF(Geral!$A$509="","",Geral!$A$509&amp;" · "&amp;Geral!$E$509)</f>
        <v/>
      </c>
    </row>
    <row r="507">
      <c r="D507" s="40">
        <f>IFERROR(INDEX($G$4:$G$597,MATCH(504,$F$4:$F$597,0)),"")</f>
        <v/>
      </c>
      <c r="F507">
        <f>IF(Geral!$A$510="","",COUNTIF(Geral!$A$7:$A$510,"?*"))</f>
        <v/>
      </c>
      <c r="G507">
        <f>IF(Geral!$A$510="","",Geral!$A$510&amp;" · "&amp;Geral!$E$510)</f>
        <v/>
      </c>
    </row>
    <row r="508">
      <c r="D508" s="40">
        <f>IFERROR(INDEX($G$4:$G$597,MATCH(505,$F$4:$F$597,0)),"")</f>
        <v/>
      </c>
      <c r="F508">
        <f>IF(Geral!$A$511="","",COUNTIF(Geral!$A$7:$A$511,"?*"))</f>
        <v/>
      </c>
      <c r="G508">
        <f>IF(Geral!$A$511="","",Geral!$A$511&amp;" · "&amp;Geral!$E$511)</f>
        <v/>
      </c>
    </row>
    <row r="509">
      <c r="D509" s="40">
        <f>IFERROR(INDEX($G$4:$G$597,MATCH(506,$F$4:$F$597,0)),"")</f>
        <v/>
      </c>
      <c r="F509">
        <f>IF(Geral!$A$512="","",COUNTIF(Geral!$A$7:$A$512,"?*"))</f>
        <v/>
      </c>
      <c r="G509">
        <f>IF(Geral!$A$512="","",Geral!$A$512&amp;" · "&amp;Geral!$E$512)</f>
        <v/>
      </c>
    </row>
    <row r="510">
      <c r="D510" s="40">
        <f>IFERROR(INDEX($G$4:$G$597,MATCH(507,$F$4:$F$597,0)),"")</f>
        <v/>
      </c>
      <c r="F510">
        <f>IF(Geral!$A$513="","",COUNTIF(Geral!$A$7:$A$513,"?*"))</f>
        <v/>
      </c>
      <c r="G510">
        <f>IF(Geral!$A$513="","",Geral!$A$513&amp;" · "&amp;Geral!$E$513)</f>
        <v/>
      </c>
    </row>
    <row r="511">
      <c r="D511" s="40">
        <f>IFERROR(INDEX($G$4:$G$597,MATCH(508,$F$4:$F$597,0)),"")</f>
        <v/>
      </c>
      <c r="F511">
        <f>IF(Geral!$A$514="","",COUNTIF(Geral!$A$7:$A$514,"?*"))</f>
        <v/>
      </c>
      <c r="G511">
        <f>IF(Geral!$A$514="","",Geral!$A$514&amp;" · "&amp;Geral!$E$514)</f>
        <v/>
      </c>
    </row>
    <row r="512">
      <c r="D512" s="40">
        <f>IFERROR(INDEX($G$4:$G$597,MATCH(509,$F$4:$F$597,0)),"")</f>
        <v/>
      </c>
      <c r="F512">
        <f>IF(Geral!$A$515="","",COUNTIF(Geral!$A$7:$A$515,"?*"))</f>
        <v/>
      </c>
      <c r="G512">
        <f>IF(Geral!$A$515="","",Geral!$A$515&amp;" · "&amp;Geral!$E$515)</f>
        <v/>
      </c>
    </row>
    <row r="513">
      <c r="D513" s="40">
        <f>IFERROR(INDEX($G$4:$G$597,MATCH(510,$F$4:$F$597,0)),"")</f>
        <v/>
      </c>
      <c r="F513">
        <f>IF(Geral!$A$516="","",COUNTIF(Geral!$A$7:$A$516,"?*"))</f>
        <v/>
      </c>
      <c r="G513">
        <f>IF(Geral!$A$516="","",Geral!$A$516&amp;" · "&amp;Geral!$E$516)</f>
        <v/>
      </c>
    </row>
    <row r="514">
      <c r="D514" s="40">
        <f>IFERROR(INDEX($G$4:$G$597,MATCH(511,$F$4:$F$597,0)),"")</f>
        <v/>
      </c>
      <c r="F514">
        <f>IF(Geral!$A$517="","",COUNTIF(Geral!$A$7:$A$517,"?*"))</f>
        <v/>
      </c>
      <c r="G514">
        <f>IF(Geral!$A$517="","",Geral!$A$517&amp;" · "&amp;Geral!$E$517)</f>
        <v/>
      </c>
    </row>
    <row r="515">
      <c r="D515" s="40">
        <f>IFERROR(INDEX($G$4:$G$597,MATCH(512,$F$4:$F$597,0)),"")</f>
        <v/>
      </c>
      <c r="F515">
        <f>IF(Geral!$A$518="","",COUNTIF(Geral!$A$7:$A$518,"?*"))</f>
        <v/>
      </c>
      <c r="G515">
        <f>IF(Geral!$A$518="","",Geral!$A$518&amp;" · "&amp;Geral!$E$518)</f>
        <v/>
      </c>
    </row>
    <row r="516">
      <c r="D516" s="40">
        <f>IFERROR(INDEX($G$4:$G$597,MATCH(513,$F$4:$F$597,0)),"")</f>
        <v/>
      </c>
      <c r="F516">
        <f>IF(Geral!$A$519="","",COUNTIF(Geral!$A$7:$A$519,"?*"))</f>
        <v/>
      </c>
      <c r="G516">
        <f>IF(Geral!$A$519="","",Geral!$A$519&amp;" · "&amp;Geral!$E$519)</f>
        <v/>
      </c>
    </row>
    <row r="517">
      <c r="D517" s="40">
        <f>IFERROR(INDEX($G$4:$G$597,MATCH(514,$F$4:$F$597,0)),"")</f>
        <v/>
      </c>
      <c r="F517">
        <f>IF(Geral!$A$520="","",COUNTIF(Geral!$A$7:$A$520,"?*"))</f>
        <v/>
      </c>
      <c r="G517">
        <f>IF(Geral!$A$520="","",Geral!$A$520&amp;" · "&amp;Geral!$E$520)</f>
        <v/>
      </c>
    </row>
    <row r="518">
      <c r="D518" s="40">
        <f>IFERROR(INDEX($G$4:$G$597,MATCH(515,$F$4:$F$597,0)),"")</f>
        <v/>
      </c>
      <c r="F518">
        <f>IF(Geral!$A$521="","",COUNTIF(Geral!$A$7:$A$521,"?*"))</f>
        <v/>
      </c>
      <c r="G518">
        <f>IF(Geral!$A$521="","",Geral!$A$521&amp;" · "&amp;Geral!$E$521)</f>
        <v/>
      </c>
    </row>
    <row r="519">
      <c r="D519" s="40">
        <f>IFERROR(INDEX($G$4:$G$597,MATCH(516,$F$4:$F$597,0)),"")</f>
        <v/>
      </c>
      <c r="F519">
        <f>IF(Geral!$A$522="","",COUNTIF(Geral!$A$7:$A$522,"?*"))</f>
        <v/>
      </c>
      <c r="G519">
        <f>IF(Geral!$A$522="","",Geral!$A$522&amp;" · "&amp;Geral!$E$522)</f>
        <v/>
      </c>
    </row>
    <row r="520">
      <c r="D520" s="40">
        <f>IFERROR(INDEX($G$4:$G$597,MATCH(517,$F$4:$F$597,0)),"")</f>
        <v/>
      </c>
      <c r="F520">
        <f>IF(Geral!$A$523="","",COUNTIF(Geral!$A$7:$A$523,"?*"))</f>
        <v/>
      </c>
      <c r="G520">
        <f>IF(Geral!$A$523="","",Geral!$A$523&amp;" · "&amp;Geral!$E$523)</f>
        <v/>
      </c>
    </row>
    <row r="521">
      <c r="D521" s="40">
        <f>IFERROR(INDEX($G$4:$G$597,MATCH(518,$F$4:$F$597,0)),"")</f>
        <v/>
      </c>
      <c r="F521">
        <f>IF(Geral!$A$524="","",COUNTIF(Geral!$A$7:$A$524,"?*"))</f>
        <v/>
      </c>
      <c r="G521">
        <f>IF(Geral!$A$524="","",Geral!$A$524&amp;" · "&amp;Geral!$E$524)</f>
        <v/>
      </c>
    </row>
    <row r="522">
      <c r="D522" s="40">
        <f>IFERROR(INDEX($G$4:$G$597,MATCH(519,$F$4:$F$597,0)),"")</f>
        <v/>
      </c>
      <c r="F522">
        <f>IF(Geral!$A$525="","",COUNTIF(Geral!$A$7:$A$525,"?*"))</f>
        <v/>
      </c>
      <c r="G522">
        <f>IF(Geral!$A$525="","",Geral!$A$525&amp;" · "&amp;Geral!$E$525)</f>
        <v/>
      </c>
    </row>
    <row r="523">
      <c r="D523" s="40">
        <f>IFERROR(INDEX($G$4:$G$597,MATCH(520,$F$4:$F$597,0)),"")</f>
        <v/>
      </c>
      <c r="F523">
        <f>IF(Geral!$A$526="","",COUNTIF(Geral!$A$7:$A$526,"?*"))</f>
        <v/>
      </c>
      <c r="G523">
        <f>IF(Geral!$A$526="","",Geral!$A$526&amp;" · "&amp;Geral!$E$526)</f>
        <v/>
      </c>
    </row>
    <row r="524">
      <c r="D524" s="40">
        <f>IFERROR(INDEX($G$4:$G$597,MATCH(521,$F$4:$F$597,0)),"")</f>
        <v/>
      </c>
      <c r="F524">
        <f>IF(Geral!$A$527="","",COUNTIF(Geral!$A$7:$A$527,"?*"))</f>
        <v/>
      </c>
      <c r="G524">
        <f>IF(Geral!$A$527="","",Geral!$A$527&amp;" · "&amp;Geral!$E$527)</f>
        <v/>
      </c>
    </row>
    <row r="525">
      <c r="D525" s="40">
        <f>IFERROR(INDEX($G$4:$G$597,MATCH(522,$F$4:$F$597,0)),"")</f>
        <v/>
      </c>
      <c r="F525">
        <f>IF(Geral!$A$528="","",COUNTIF(Geral!$A$7:$A$528,"?*"))</f>
        <v/>
      </c>
      <c r="G525">
        <f>IF(Geral!$A$528="","",Geral!$A$528&amp;" · "&amp;Geral!$E$528)</f>
        <v/>
      </c>
    </row>
    <row r="526">
      <c r="D526" s="40">
        <f>IFERROR(INDEX($G$4:$G$597,MATCH(523,$F$4:$F$597,0)),"")</f>
        <v/>
      </c>
      <c r="F526">
        <f>IF(Geral!$A$529="","",COUNTIF(Geral!$A$7:$A$529,"?*"))</f>
        <v/>
      </c>
      <c r="G526">
        <f>IF(Geral!$A$529="","",Geral!$A$529&amp;" · "&amp;Geral!$E$529)</f>
        <v/>
      </c>
    </row>
    <row r="527">
      <c r="D527" s="40">
        <f>IFERROR(INDEX($G$4:$G$597,MATCH(524,$F$4:$F$597,0)),"")</f>
        <v/>
      </c>
      <c r="F527">
        <f>IF(Geral!$A$530="","",COUNTIF(Geral!$A$7:$A$530,"?*"))</f>
        <v/>
      </c>
      <c r="G527">
        <f>IF(Geral!$A$530="","",Geral!$A$530&amp;" · "&amp;Geral!$E$530)</f>
        <v/>
      </c>
    </row>
    <row r="528">
      <c r="D528" s="40">
        <f>IFERROR(INDEX($G$4:$G$597,MATCH(525,$F$4:$F$597,0)),"")</f>
        <v/>
      </c>
      <c r="F528">
        <f>IF(Geral!$A$531="","",COUNTIF(Geral!$A$7:$A$531,"?*"))</f>
        <v/>
      </c>
      <c r="G528">
        <f>IF(Geral!$A$531="","",Geral!$A$531&amp;" · "&amp;Geral!$E$531)</f>
        <v/>
      </c>
    </row>
    <row r="529">
      <c r="D529" s="40">
        <f>IFERROR(INDEX($G$4:$G$597,MATCH(526,$F$4:$F$597,0)),"")</f>
        <v/>
      </c>
      <c r="F529">
        <f>IF(Geral!$A$532="","",COUNTIF(Geral!$A$7:$A$532,"?*"))</f>
        <v/>
      </c>
      <c r="G529">
        <f>IF(Geral!$A$532="","",Geral!$A$532&amp;" · "&amp;Geral!$E$532)</f>
        <v/>
      </c>
    </row>
    <row r="530">
      <c r="D530" s="40">
        <f>IFERROR(INDEX($G$4:$G$597,MATCH(527,$F$4:$F$597,0)),"")</f>
        <v/>
      </c>
      <c r="F530">
        <f>IF(Geral!$A$533="","",COUNTIF(Geral!$A$7:$A$533,"?*"))</f>
        <v/>
      </c>
      <c r="G530">
        <f>IF(Geral!$A$533="","",Geral!$A$533&amp;" · "&amp;Geral!$E$533)</f>
        <v/>
      </c>
    </row>
    <row r="531">
      <c r="D531" s="40">
        <f>IFERROR(INDEX($G$4:$G$597,MATCH(528,$F$4:$F$597,0)),"")</f>
        <v/>
      </c>
      <c r="F531">
        <f>IF(Geral!$A$534="","",COUNTIF(Geral!$A$7:$A$534,"?*"))</f>
        <v/>
      </c>
      <c r="G531">
        <f>IF(Geral!$A$534="","",Geral!$A$534&amp;" · "&amp;Geral!$E$534)</f>
        <v/>
      </c>
    </row>
    <row r="532">
      <c r="D532" s="40">
        <f>IFERROR(INDEX($G$4:$G$597,MATCH(529,$F$4:$F$597,0)),"")</f>
        <v/>
      </c>
      <c r="F532">
        <f>IF(Geral!$A$535="","",COUNTIF(Geral!$A$7:$A$535,"?*"))</f>
        <v/>
      </c>
      <c r="G532">
        <f>IF(Geral!$A$535="","",Geral!$A$535&amp;" · "&amp;Geral!$E$535)</f>
        <v/>
      </c>
    </row>
    <row r="533">
      <c r="D533" s="40">
        <f>IFERROR(INDEX($G$4:$G$597,MATCH(530,$F$4:$F$597,0)),"")</f>
        <v/>
      </c>
      <c r="F533">
        <f>IF(Geral!$A$536="","",COUNTIF(Geral!$A$7:$A$536,"?*"))</f>
        <v/>
      </c>
      <c r="G533">
        <f>IF(Geral!$A$536="","",Geral!$A$536&amp;" · "&amp;Geral!$E$536)</f>
        <v/>
      </c>
    </row>
    <row r="534">
      <c r="D534" s="40">
        <f>IFERROR(INDEX($G$4:$G$597,MATCH(531,$F$4:$F$597,0)),"")</f>
        <v/>
      </c>
      <c r="F534">
        <f>IF(Geral!$A$537="","",COUNTIF(Geral!$A$7:$A$537,"?*"))</f>
        <v/>
      </c>
      <c r="G534">
        <f>IF(Geral!$A$537="","",Geral!$A$537&amp;" · "&amp;Geral!$E$537)</f>
        <v/>
      </c>
    </row>
    <row r="535">
      <c r="D535" s="40">
        <f>IFERROR(INDEX($G$4:$G$597,MATCH(532,$F$4:$F$597,0)),"")</f>
        <v/>
      </c>
      <c r="F535">
        <f>IF(Geral!$A$538="","",COUNTIF(Geral!$A$7:$A$538,"?*"))</f>
        <v/>
      </c>
      <c r="G535">
        <f>IF(Geral!$A$538="","",Geral!$A$538&amp;" · "&amp;Geral!$E$538)</f>
        <v/>
      </c>
    </row>
    <row r="536">
      <c r="D536" s="40">
        <f>IFERROR(INDEX($G$4:$G$597,MATCH(533,$F$4:$F$597,0)),"")</f>
        <v/>
      </c>
      <c r="F536">
        <f>IF(Geral!$A$539="","",COUNTIF(Geral!$A$7:$A$539,"?*"))</f>
        <v/>
      </c>
      <c r="G536">
        <f>IF(Geral!$A$539="","",Geral!$A$539&amp;" · "&amp;Geral!$E$539)</f>
        <v/>
      </c>
    </row>
    <row r="537">
      <c r="D537" s="40">
        <f>IFERROR(INDEX($G$4:$G$597,MATCH(534,$F$4:$F$597,0)),"")</f>
        <v/>
      </c>
      <c r="F537">
        <f>IF(Geral!$A$540="","",COUNTIF(Geral!$A$7:$A$540,"?*"))</f>
        <v/>
      </c>
      <c r="G537">
        <f>IF(Geral!$A$540="","",Geral!$A$540&amp;" · "&amp;Geral!$E$540)</f>
        <v/>
      </c>
    </row>
    <row r="538">
      <c r="D538" s="40">
        <f>IFERROR(INDEX($G$4:$G$597,MATCH(535,$F$4:$F$597,0)),"")</f>
        <v/>
      </c>
      <c r="F538">
        <f>IF(Geral!$A$541="","",COUNTIF(Geral!$A$7:$A$541,"?*"))</f>
        <v/>
      </c>
      <c r="G538">
        <f>IF(Geral!$A$541="","",Geral!$A$541&amp;" · "&amp;Geral!$E$541)</f>
        <v/>
      </c>
    </row>
    <row r="539">
      <c r="D539" s="40">
        <f>IFERROR(INDEX($G$4:$G$597,MATCH(536,$F$4:$F$597,0)),"")</f>
        <v/>
      </c>
      <c r="F539">
        <f>IF(Geral!$A$542="","",COUNTIF(Geral!$A$7:$A$542,"?*"))</f>
        <v/>
      </c>
      <c r="G539">
        <f>IF(Geral!$A$542="","",Geral!$A$542&amp;" · "&amp;Geral!$E$542)</f>
        <v/>
      </c>
    </row>
    <row r="540">
      <c r="D540" s="40">
        <f>IFERROR(INDEX($G$4:$G$597,MATCH(537,$F$4:$F$597,0)),"")</f>
        <v/>
      </c>
      <c r="F540">
        <f>IF(Geral!$A$543="","",COUNTIF(Geral!$A$7:$A$543,"?*"))</f>
        <v/>
      </c>
      <c r="G540">
        <f>IF(Geral!$A$543="","",Geral!$A$543&amp;" · "&amp;Geral!$E$543)</f>
        <v/>
      </c>
    </row>
    <row r="541">
      <c r="D541" s="40">
        <f>IFERROR(INDEX($G$4:$G$597,MATCH(538,$F$4:$F$597,0)),"")</f>
        <v/>
      </c>
      <c r="F541">
        <f>IF(Geral!$A$544="","",COUNTIF(Geral!$A$7:$A$544,"?*"))</f>
        <v/>
      </c>
      <c r="G541">
        <f>IF(Geral!$A$544="","",Geral!$A$544&amp;" · "&amp;Geral!$E$544)</f>
        <v/>
      </c>
    </row>
    <row r="542">
      <c r="D542" s="40">
        <f>IFERROR(INDEX($G$4:$G$597,MATCH(539,$F$4:$F$597,0)),"")</f>
        <v/>
      </c>
      <c r="F542">
        <f>IF(Geral!$A$545="","",COUNTIF(Geral!$A$7:$A$545,"?*"))</f>
        <v/>
      </c>
      <c r="G542">
        <f>IF(Geral!$A$545="","",Geral!$A$545&amp;" · "&amp;Geral!$E$545)</f>
        <v/>
      </c>
    </row>
    <row r="543">
      <c r="D543" s="40">
        <f>IFERROR(INDEX($G$4:$G$597,MATCH(540,$F$4:$F$597,0)),"")</f>
        <v/>
      </c>
      <c r="F543">
        <f>IF(Geral!$A$546="","",COUNTIF(Geral!$A$7:$A$546,"?*"))</f>
        <v/>
      </c>
      <c r="G543">
        <f>IF(Geral!$A$546="","",Geral!$A$546&amp;" · "&amp;Geral!$E$546)</f>
        <v/>
      </c>
    </row>
    <row r="544">
      <c r="D544" s="40">
        <f>IFERROR(INDEX($G$4:$G$597,MATCH(541,$F$4:$F$597,0)),"")</f>
        <v/>
      </c>
      <c r="F544">
        <f>IF(Geral!$A$547="","",COUNTIF(Geral!$A$7:$A$547,"?*"))</f>
        <v/>
      </c>
      <c r="G544">
        <f>IF(Geral!$A$547="","",Geral!$A$547&amp;" · "&amp;Geral!$E$547)</f>
        <v/>
      </c>
    </row>
    <row r="545">
      <c r="D545" s="40">
        <f>IFERROR(INDEX($G$4:$G$597,MATCH(542,$F$4:$F$597,0)),"")</f>
        <v/>
      </c>
      <c r="F545">
        <f>IF(Geral!$A$548="","",COUNTIF(Geral!$A$7:$A$548,"?*"))</f>
        <v/>
      </c>
      <c r="G545">
        <f>IF(Geral!$A$548="","",Geral!$A$548&amp;" · "&amp;Geral!$E$548)</f>
        <v/>
      </c>
    </row>
    <row r="546">
      <c r="D546" s="40">
        <f>IFERROR(INDEX($G$4:$G$597,MATCH(543,$F$4:$F$597,0)),"")</f>
        <v/>
      </c>
      <c r="F546">
        <f>IF(Geral!$A$549="","",COUNTIF(Geral!$A$7:$A$549,"?*"))</f>
        <v/>
      </c>
      <c r="G546">
        <f>IF(Geral!$A$549="","",Geral!$A$549&amp;" · "&amp;Geral!$E$549)</f>
        <v/>
      </c>
    </row>
    <row r="547">
      <c r="D547" s="40">
        <f>IFERROR(INDEX($G$4:$G$597,MATCH(544,$F$4:$F$597,0)),"")</f>
        <v/>
      </c>
      <c r="F547">
        <f>IF(Geral!$A$550="","",COUNTIF(Geral!$A$7:$A$550,"?*"))</f>
        <v/>
      </c>
      <c r="G547">
        <f>IF(Geral!$A$550="","",Geral!$A$550&amp;" · "&amp;Geral!$E$550)</f>
        <v/>
      </c>
    </row>
    <row r="548">
      <c r="D548" s="40">
        <f>IFERROR(INDEX($G$4:$G$597,MATCH(545,$F$4:$F$597,0)),"")</f>
        <v/>
      </c>
      <c r="F548">
        <f>IF(Geral!$A$551="","",COUNTIF(Geral!$A$7:$A$551,"?*"))</f>
        <v/>
      </c>
      <c r="G548">
        <f>IF(Geral!$A$551="","",Geral!$A$551&amp;" · "&amp;Geral!$E$551)</f>
        <v/>
      </c>
    </row>
    <row r="549">
      <c r="D549" s="40">
        <f>IFERROR(INDEX($G$4:$G$597,MATCH(546,$F$4:$F$597,0)),"")</f>
        <v/>
      </c>
      <c r="F549">
        <f>IF(Geral!$A$552="","",COUNTIF(Geral!$A$7:$A$552,"?*"))</f>
        <v/>
      </c>
      <c r="G549">
        <f>IF(Geral!$A$552="","",Geral!$A$552&amp;" · "&amp;Geral!$E$552)</f>
        <v/>
      </c>
    </row>
    <row r="550">
      <c r="D550" s="40">
        <f>IFERROR(INDEX($G$4:$G$597,MATCH(547,$F$4:$F$597,0)),"")</f>
        <v/>
      </c>
      <c r="F550">
        <f>IF(Geral!$A$553="","",COUNTIF(Geral!$A$7:$A$553,"?*"))</f>
        <v/>
      </c>
      <c r="G550">
        <f>IF(Geral!$A$553="","",Geral!$A$553&amp;" · "&amp;Geral!$E$553)</f>
        <v/>
      </c>
    </row>
    <row r="551">
      <c r="D551" s="40">
        <f>IFERROR(INDEX($G$4:$G$597,MATCH(548,$F$4:$F$597,0)),"")</f>
        <v/>
      </c>
      <c r="F551">
        <f>IF(Geral!$A$554="","",COUNTIF(Geral!$A$7:$A$554,"?*"))</f>
        <v/>
      </c>
      <c r="G551">
        <f>IF(Geral!$A$554="","",Geral!$A$554&amp;" · "&amp;Geral!$E$554)</f>
        <v/>
      </c>
    </row>
    <row r="552">
      <c r="D552" s="40">
        <f>IFERROR(INDEX($G$4:$G$597,MATCH(549,$F$4:$F$597,0)),"")</f>
        <v/>
      </c>
      <c r="F552">
        <f>IF(Geral!$A$555="","",COUNTIF(Geral!$A$7:$A$555,"?*"))</f>
        <v/>
      </c>
      <c r="G552">
        <f>IF(Geral!$A$555="","",Geral!$A$555&amp;" · "&amp;Geral!$E$555)</f>
        <v/>
      </c>
    </row>
    <row r="553">
      <c r="D553" s="40">
        <f>IFERROR(INDEX($G$4:$G$597,MATCH(550,$F$4:$F$597,0)),"")</f>
        <v/>
      </c>
      <c r="F553">
        <f>IF(Geral!$A$556="","",COUNTIF(Geral!$A$7:$A$556,"?*"))</f>
        <v/>
      </c>
      <c r="G553">
        <f>IF(Geral!$A$556="","",Geral!$A$556&amp;" · "&amp;Geral!$E$556)</f>
        <v/>
      </c>
    </row>
    <row r="554">
      <c r="D554" s="40">
        <f>IFERROR(INDEX($G$4:$G$597,MATCH(551,$F$4:$F$597,0)),"")</f>
        <v/>
      </c>
      <c r="F554">
        <f>IF(Geral!$A$557="","",COUNTIF(Geral!$A$7:$A$557,"?*"))</f>
        <v/>
      </c>
      <c r="G554">
        <f>IF(Geral!$A$557="","",Geral!$A$557&amp;" · "&amp;Geral!$E$557)</f>
        <v/>
      </c>
    </row>
    <row r="555">
      <c r="D555" s="40">
        <f>IFERROR(INDEX($G$4:$G$597,MATCH(552,$F$4:$F$597,0)),"")</f>
        <v/>
      </c>
      <c r="F555">
        <f>IF(Geral!$A$558="","",COUNTIF(Geral!$A$7:$A$558,"?*"))</f>
        <v/>
      </c>
      <c r="G555">
        <f>IF(Geral!$A$558="","",Geral!$A$558&amp;" · "&amp;Geral!$E$558)</f>
        <v/>
      </c>
    </row>
    <row r="556">
      <c r="D556" s="40">
        <f>IFERROR(INDEX($G$4:$G$597,MATCH(553,$F$4:$F$597,0)),"")</f>
        <v/>
      </c>
      <c r="F556">
        <f>IF(Geral!$A$559="","",COUNTIF(Geral!$A$7:$A$559,"?*"))</f>
        <v/>
      </c>
      <c r="G556">
        <f>IF(Geral!$A$559="","",Geral!$A$559&amp;" · "&amp;Geral!$E$559)</f>
        <v/>
      </c>
    </row>
    <row r="557">
      <c r="D557" s="40">
        <f>IFERROR(INDEX($G$4:$G$597,MATCH(554,$F$4:$F$597,0)),"")</f>
        <v/>
      </c>
      <c r="F557">
        <f>IF(Geral!$A$560="","",COUNTIF(Geral!$A$7:$A$560,"?*"))</f>
        <v/>
      </c>
      <c r="G557">
        <f>IF(Geral!$A$560="","",Geral!$A$560&amp;" · "&amp;Geral!$E$560)</f>
        <v/>
      </c>
    </row>
    <row r="558">
      <c r="D558" s="40">
        <f>IFERROR(INDEX($G$4:$G$597,MATCH(555,$F$4:$F$597,0)),"")</f>
        <v/>
      </c>
      <c r="F558">
        <f>IF(Geral!$A$561="","",COUNTIF(Geral!$A$7:$A$561,"?*"))</f>
        <v/>
      </c>
      <c r="G558">
        <f>IF(Geral!$A$561="","",Geral!$A$561&amp;" · "&amp;Geral!$E$561)</f>
        <v/>
      </c>
    </row>
    <row r="559">
      <c r="D559" s="40">
        <f>IFERROR(INDEX($G$4:$G$597,MATCH(556,$F$4:$F$597,0)),"")</f>
        <v/>
      </c>
      <c r="F559">
        <f>IF(Geral!$A$562="","",COUNTIF(Geral!$A$7:$A$562,"?*"))</f>
        <v/>
      </c>
      <c r="G559">
        <f>IF(Geral!$A$562="","",Geral!$A$562&amp;" · "&amp;Geral!$E$562)</f>
        <v/>
      </c>
    </row>
    <row r="560">
      <c r="D560" s="40">
        <f>IFERROR(INDEX($G$4:$G$597,MATCH(557,$F$4:$F$597,0)),"")</f>
        <v/>
      </c>
      <c r="F560">
        <f>IF(Geral!$A$563="","",COUNTIF(Geral!$A$7:$A$563,"?*"))</f>
        <v/>
      </c>
      <c r="G560">
        <f>IF(Geral!$A$563="","",Geral!$A$563&amp;" · "&amp;Geral!$E$563)</f>
        <v/>
      </c>
    </row>
    <row r="561">
      <c r="D561" s="40">
        <f>IFERROR(INDEX($G$4:$G$597,MATCH(558,$F$4:$F$597,0)),"")</f>
        <v/>
      </c>
      <c r="F561">
        <f>IF(Geral!$A$564="","",COUNTIF(Geral!$A$7:$A$564,"?*"))</f>
        <v/>
      </c>
      <c r="G561">
        <f>IF(Geral!$A$564="","",Geral!$A$564&amp;" · "&amp;Geral!$E$564)</f>
        <v/>
      </c>
    </row>
    <row r="562">
      <c r="D562" s="40">
        <f>IFERROR(INDEX($G$4:$G$597,MATCH(559,$F$4:$F$597,0)),"")</f>
        <v/>
      </c>
      <c r="F562">
        <f>IF(Geral!$A$565="","",COUNTIF(Geral!$A$7:$A$565,"?*"))</f>
        <v/>
      </c>
      <c r="G562">
        <f>IF(Geral!$A$565="","",Geral!$A$565&amp;" · "&amp;Geral!$E$565)</f>
        <v/>
      </c>
    </row>
    <row r="563">
      <c r="D563" s="40">
        <f>IFERROR(INDEX($G$4:$G$597,MATCH(560,$F$4:$F$597,0)),"")</f>
        <v/>
      </c>
      <c r="F563">
        <f>IF(Geral!$A$566="","",COUNTIF(Geral!$A$7:$A$566,"?*"))</f>
        <v/>
      </c>
      <c r="G563">
        <f>IF(Geral!$A$566="","",Geral!$A$566&amp;" · "&amp;Geral!$E$566)</f>
        <v/>
      </c>
    </row>
    <row r="564">
      <c r="D564" s="40">
        <f>IFERROR(INDEX($G$4:$G$597,MATCH(561,$F$4:$F$597,0)),"")</f>
        <v/>
      </c>
      <c r="F564">
        <f>IF(Geral!$A$567="","",COUNTIF(Geral!$A$7:$A$567,"?*"))</f>
        <v/>
      </c>
      <c r="G564">
        <f>IF(Geral!$A$567="","",Geral!$A$567&amp;" · "&amp;Geral!$E$567)</f>
        <v/>
      </c>
    </row>
    <row r="565">
      <c r="D565" s="40">
        <f>IFERROR(INDEX($G$4:$G$597,MATCH(562,$F$4:$F$597,0)),"")</f>
        <v/>
      </c>
      <c r="F565">
        <f>IF(Geral!$A$568="","",COUNTIF(Geral!$A$7:$A$568,"?*"))</f>
        <v/>
      </c>
      <c r="G565">
        <f>IF(Geral!$A$568="","",Geral!$A$568&amp;" · "&amp;Geral!$E$568)</f>
        <v/>
      </c>
    </row>
    <row r="566">
      <c r="D566" s="40">
        <f>IFERROR(INDEX($G$4:$G$597,MATCH(563,$F$4:$F$597,0)),"")</f>
        <v/>
      </c>
      <c r="F566">
        <f>IF(Geral!$A$569="","",COUNTIF(Geral!$A$7:$A$569,"?*"))</f>
        <v/>
      </c>
      <c r="G566">
        <f>IF(Geral!$A$569="","",Geral!$A$569&amp;" · "&amp;Geral!$E$569)</f>
        <v/>
      </c>
    </row>
    <row r="567">
      <c r="D567" s="40">
        <f>IFERROR(INDEX($G$4:$G$597,MATCH(564,$F$4:$F$597,0)),"")</f>
        <v/>
      </c>
      <c r="F567">
        <f>IF(Geral!$A$570="","",COUNTIF(Geral!$A$7:$A$570,"?*"))</f>
        <v/>
      </c>
      <c r="G567">
        <f>IF(Geral!$A$570="","",Geral!$A$570&amp;" · "&amp;Geral!$E$570)</f>
        <v/>
      </c>
    </row>
    <row r="568">
      <c r="D568" s="40">
        <f>IFERROR(INDEX($G$4:$G$597,MATCH(565,$F$4:$F$597,0)),"")</f>
        <v/>
      </c>
      <c r="F568">
        <f>IF(Geral!$A$571="","",COUNTIF(Geral!$A$7:$A$571,"?*"))</f>
        <v/>
      </c>
      <c r="G568">
        <f>IF(Geral!$A$571="","",Geral!$A$571&amp;" · "&amp;Geral!$E$571)</f>
        <v/>
      </c>
    </row>
    <row r="569">
      <c r="D569" s="40">
        <f>IFERROR(INDEX($G$4:$G$597,MATCH(566,$F$4:$F$597,0)),"")</f>
        <v/>
      </c>
      <c r="F569">
        <f>IF(Geral!$A$572="","",COUNTIF(Geral!$A$7:$A$572,"?*"))</f>
        <v/>
      </c>
      <c r="G569">
        <f>IF(Geral!$A$572="","",Geral!$A$572&amp;" · "&amp;Geral!$E$572)</f>
        <v/>
      </c>
    </row>
    <row r="570">
      <c r="D570" s="40">
        <f>IFERROR(INDEX($G$4:$G$597,MATCH(567,$F$4:$F$597,0)),"")</f>
        <v/>
      </c>
      <c r="F570">
        <f>IF(Geral!$A$573="","",COUNTIF(Geral!$A$7:$A$573,"?*"))</f>
        <v/>
      </c>
      <c r="G570">
        <f>IF(Geral!$A$573="","",Geral!$A$573&amp;" · "&amp;Geral!$E$573)</f>
        <v/>
      </c>
    </row>
    <row r="571">
      <c r="D571" s="40">
        <f>IFERROR(INDEX($G$4:$G$597,MATCH(568,$F$4:$F$597,0)),"")</f>
        <v/>
      </c>
      <c r="F571">
        <f>IF(Geral!$A$574="","",COUNTIF(Geral!$A$7:$A$574,"?*"))</f>
        <v/>
      </c>
      <c r="G571">
        <f>IF(Geral!$A$574="","",Geral!$A$574&amp;" · "&amp;Geral!$E$574)</f>
        <v/>
      </c>
    </row>
    <row r="572">
      <c r="D572" s="40">
        <f>IFERROR(INDEX($G$4:$G$597,MATCH(569,$F$4:$F$597,0)),"")</f>
        <v/>
      </c>
      <c r="F572">
        <f>IF(Geral!$A$575="","",COUNTIF(Geral!$A$7:$A$575,"?*"))</f>
        <v/>
      </c>
      <c r="G572">
        <f>IF(Geral!$A$575="","",Geral!$A$575&amp;" · "&amp;Geral!$E$575)</f>
        <v/>
      </c>
    </row>
    <row r="573">
      <c r="D573" s="40">
        <f>IFERROR(INDEX($G$4:$G$597,MATCH(570,$F$4:$F$597,0)),"")</f>
        <v/>
      </c>
      <c r="F573">
        <f>IF(Geral!$A$576="","",COUNTIF(Geral!$A$7:$A$576,"?*"))</f>
        <v/>
      </c>
      <c r="G573">
        <f>IF(Geral!$A$576="","",Geral!$A$576&amp;" · "&amp;Geral!$E$576)</f>
        <v/>
      </c>
    </row>
    <row r="574">
      <c r="D574" s="40">
        <f>IFERROR(INDEX($G$4:$G$597,MATCH(571,$F$4:$F$597,0)),"")</f>
        <v/>
      </c>
      <c r="F574">
        <f>IF(Geral!$A$577="","",COUNTIF(Geral!$A$7:$A$577,"?*"))</f>
        <v/>
      </c>
      <c r="G574">
        <f>IF(Geral!$A$577="","",Geral!$A$577&amp;" · "&amp;Geral!$E$577)</f>
        <v/>
      </c>
    </row>
    <row r="575">
      <c r="D575" s="40">
        <f>IFERROR(INDEX($G$4:$G$597,MATCH(572,$F$4:$F$597,0)),"")</f>
        <v/>
      </c>
      <c r="F575">
        <f>IF(Geral!$A$578="","",COUNTIF(Geral!$A$7:$A$578,"?*"))</f>
        <v/>
      </c>
      <c r="G575">
        <f>IF(Geral!$A$578="","",Geral!$A$578&amp;" · "&amp;Geral!$E$578)</f>
        <v/>
      </c>
    </row>
    <row r="576">
      <c r="D576" s="40">
        <f>IFERROR(INDEX($G$4:$G$597,MATCH(573,$F$4:$F$597,0)),"")</f>
        <v/>
      </c>
      <c r="F576">
        <f>IF(Geral!$A$579="","",COUNTIF(Geral!$A$7:$A$579,"?*"))</f>
        <v/>
      </c>
      <c r="G576">
        <f>IF(Geral!$A$579="","",Geral!$A$579&amp;" · "&amp;Geral!$E$579)</f>
        <v/>
      </c>
    </row>
    <row r="577">
      <c r="D577" s="40">
        <f>IFERROR(INDEX($G$4:$G$597,MATCH(574,$F$4:$F$597,0)),"")</f>
        <v/>
      </c>
      <c r="F577">
        <f>IF(Geral!$A$580="","",COUNTIF(Geral!$A$7:$A$580,"?*"))</f>
        <v/>
      </c>
      <c r="G577">
        <f>IF(Geral!$A$580="","",Geral!$A$580&amp;" · "&amp;Geral!$E$580)</f>
        <v/>
      </c>
    </row>
    <row r="578">
      <c r="D578" s="40">
        <f>IFERROR(INDEX($G$4:$G$597,MATCH(575,$F$4:$F$597,0)),"")</f>
        <v/>
      </c>
      <c r="F578">
        <f>IF(Geral!$A$581="","",COUNTIF(Geral!$A$7:$A$581,"?*"))</f>
        <v/>
      </c>
      <c r="G578">
        <f>IF(Geral!$A$581="","",Geral!$A$581&amp;" · "&amp;Geral!$E$581)</f>
        <v/>
      </c>
    </row>
    <row r="579">
      <c r="D579" s="40">
        <f>IFERROR(INDEX($G$4:$G$597,MATCH(576,$F$4:$F$597,0)),"")</f>
        <v/>
      </c>
      <c r="F579">
        <f>IF(Geral!$A$582="","",COUNTIF(Geral!$A$7:$A$582,"?*"))</f>
        <v/>
      </c>
      <c r="G579">
        <f>IF(Geral!$A$582="","",Geral!$A$582&amp;" · "&amp;Geral!$E$582)</f>
        <v/>
      </c>
    </row>
    <row r="580">
      <c r="D580" s="40">
        <f>IFERROR(INDEX($G$4:$G$597,MATCH(577,$F$4:$F$597,0)),"")</f>
        <v/>
      </c>
      <c r="F580">
        <f>IF(Geral!$A$583="","",COUNTIF(Geral!$A$7:$A$583,"?*"))</f>
        <v/>
      </c>
      <c r="G580">
        <f>IF(Geral!$A$583="","",Geral!$A$583&amp;" · "&amp;Geral!$E$583)</f>
        <v/>
      </c>
    </row>
    <row r="581">
      <c r="D581" s="40">
        <f>IFERROR(INDEX($G$4:$G$597,MATCH(578,$F$4:$F$597,0)),"")</f>
        <v/>
      </c>
      <c r="F581">
        <f>IF(Geral!$A$584="","",COUNTIF(Geral!$A$7:$A$584,"?*"))</f>
        <v/>
      </c>
      <c r="G581">
        <f>IF(Geral!$A$584="","",Geral!$A$584&amp;" · "&amp;Geral!$E$584)</f>
        <v/>
      </c>
    </row>
    <row r="582">
      <c r="D582" s="40">
        <f>IFERROR(INDEX($G$4:$G$597,MATCH(579,$F$4:$F$597,0)),"")</f>
        <v/>
      </c>
      <c r="F582">
        <f>IF(Geral!$A$585="","",COUNTIF(Geral!$A$7:$A$585,"?*"))</f>
        <v/>
      </c>
      <c r="G582">
        <f>IF(Geral!$A$585="","",Geral!$A$585&amp;" · "&amp;Geral!$E$585)</f>
        <v/>
      </c>
    </row>
    <row r="583">
      <c r="D583" s="40">
        <f>IFERROR(INDEX($G$4:$G$597,MATCH(580,$F$4:$F$597,0)),"")</f>
        <v/>
      </c>
      <c r="F583">
        <f>IF(Geral!$A$586="","",COUNTIF(Geral!$A$7:$A$586,"?*"))</f>
        <v/>
      </c>
      <c r="G583">
        <f>IF(Geral!$A$586="","",Geral!$A$586&amp;" · "&amp;Geral!$E$586)</f>
        <v/>
      </c>
    </row>
    <row r="584">
      <c r="D584" s="40">
        <f>IFERROR(INDEX($G$4:$G$597,MATCH(581,$F$4:$F$597,0)),"")</f>
        <v/>
      </c>
      <c r="F584">
        <f>IF(Geral!$A$587="","",COUNTIF(Geral!$A$7:$A$587,"?*"))</f>
        <v/>
      </c>
      <c r="G584">
        <f>IF(Geral!$A$587="","",Geral!$A$587&amp;" · "&amp;Geral!$E$587)</f>
        <v/>
      </c>
    </row>
    <row r="585">
      <c r="D585" s="40">
        <f>IFERROR(INDEX($G$4:$G$597,MATCH(582,$F$4:$F$597,0)),"")</f>
        <v/>
      </c>
      <c r="F585">
        <f>IF(Geral!$A$588="","",COUNTIF(Geral!$A$7:$A$588,"?*"))</f>
        <v/>
      </c>
      <c r="G585">
        <f>IF(Geral!$A$588="","",Geral!$A$588&amp;" · "&amp;Geral!$E$588)</f>
        <v/>
      </c>
    </row>
    <row r="586">
      <c r="D586" s="40">
        <f>IFERROR(INDEX($G$4:$G$597,MATCH(583,$F$4:$F$597,0)),"")</f>
        <v/>
      </c>
      <c r="F586">
        <f>IF(Geral!$A$589="","",COUNTIF(Geral!$A$7:$A$589,"?*"))</f>
        <v/>
      </c>
      <c r="G586">
        <f>IF(Geral!$A$589="","",Geral!$A$589&amp;" · "&amp;Geral!$E$589)</f>
        <v/>
      </c>
    </row>
    <row r="587">
      <c r="D587" s="40">
        <f>IFERROR(INDEX($G$4:$G$597,MATCH(584,$F$4:$F$597,0)),"")</f>
        <v/>
      </c>
      <c r="F587">
        <f>IF(Geral!$A$590="","",COUNTIF(Geral!$A$7:$A$590,"?*"))</f>
        <v/>
      </c>
      <c r="G587">
        <f>IF(Geral!$A$590="","",Geral!$A$590&amp;" · "&amp;Geral!$E$590)</f>
        <v/>
      </c>
    </row>
    <row r="588">
      <c r="D588" s="40">
        <f>IFERROR(INDEX($G$4:$G$597,MATCH(585,$F$4:$F$597,0)),"")</f>
        <v/>
      </c>
      <c r="F588">
        <f>IF(Geral!$A$591="","",COUNTIF(Geral!$A$7:$A$591,"?*"))</f>
        <v/>
      </c>
      <c r="G588">
        <f>IF(Geral!$A$591="","",Geral!$A$591&amp;" · "&amp;Geral!$E$591)</f>
        <v/>
      </c>
    </row>
    <row r="589">
      <c r="D589" s="40">
        <f>IFERROR(INDEX($G$4:$G$597,MATCH(586,$F$4:$F$597,0)),"")</f>
        <v/>
      </c>
      <c r="F589">
        <f>IF(Geral!$A$592="","",COUNTIF(Geral!$A$7:$A$592,"?*"))</f>
        <v/>
      </c>
      <c r="G589">
        <f>IF(Geral!$A$592="","",Geral!$A$592&amp;" · "&amp;Geral!$E$592)</f>
        <v/>
      </c>
    </row>
    <row r="590">
      <c r="D590" s="40">
        <f>IFERROR(INDEX($G$4:$G$597,MATCH(587,$F$4:$F$597,0)),"")</f>
        <v/>
      </c>
      <c r="F590">
        <f>IF(Geral!$A$593="","",COUNTIF(Geral!$A$7:$A$593,"?*"))</f>
        <v/>
      </c>
      <c r="G590">
        <f>IF(Geral!$A$593="","",Geral!$A$593&amp;" · "&amp;Geral!$E$593)</f>
        <v/>
      </c>
    </row>
    <row r="591">
      <c r="D591" s="40">
        <f>IFERROR(INDEX($G$4:$G$597,MATCH(588,$F$4:$F$597,0)),"")</f>
        <v/>
      </c>
      <c r="F591">
        <f>IF(Geral!$A$594="","",COUNTIF(Geral!$A$7:$A$594,"?*"))</f>
        <v/>
      </c>
      <c r="G591">
        <f>IF(Geral!$A$594="","",Geral!$A$594&amp;" · "&amp;Geral!$E$594)</f>
        <v/>
      </c>
    </row>
    <row r="592">
      <c r="D592" s="40">
        <f>IFERROR(INDEX($G$4:$G$597,MATCH(589,$F$4:$F$597,0)),"")</f>
        <v/>
      </c>
      <c r="F592">
        <f>IF(Geral!$A$595="","",COUNTIF(Geral!$A$7:$A$595,"?*"))</f>
        <v/>
      </c>
      <c r="G592">
        <f>IF(Geral!$A$595="","",Geral!$A$595&amp;" · "&amp;Geral!$E$595)</f>
        <v/>
      </c>
    </row>
    <row r="593">
      <c r="D593" s="40">
        <f>IFERROR(INDEX($G$4:$G$597,MATCH(590,$F$4:$F$597,0)),"")</f>
        <v/>
      </c>
      <c r="F593">
        <f>IF(Geral!$A$596="","",COUNTIF(Geral!$A$7:$A$596,"?*"))</f>
        <v/>
      </c>
      <c r="G593">
        <f>IF(Geral!$A$596="","",Geral!$A$596&amp;" · "&amp;Geral!$E$596)</f>
        <v/>
      </c>
    </row>
    <row r="594">
      <c r="D594" s="40">
        <f>IFERROR(INDEX($G$4:$G$597,MATCH(591,$F$4:$F$597,0)),"")</f>
        <v/>
      </c>
      <c r="F594">
        <f>IF(Geral!$A$597="","",COUNTIF(Geral!$A$7:$A$597,"?*"))</f>
        <v/>
      </c>
      <c r="G594">
        <f>IF(Geral!$A$597="","",Geral!$A$597&amp;" · "&amp;Geral!$E$597)</f>
        <v/>
      </c>
    </row>
    <row r="595">
      <c r="D595" s="40">
        <f>IFERROR(INDEX($G$4:$G$597,MATCH(592,$F$4:$F$597,0)),"")</f>
        <v/>
      </c>
      <c r="F595">
        <f>IF(Geral!$A$598="","",COUNTIF(Geral!$A$7:$A$598,"?*"))</f>
        <v/>
      </c>
      <c r="G595">
        <f>IF(Geral!$A$598="","",Geral!$A$598&amp;" · "&amp;Geral!$E$598)</f>
        <v/>
      </c>
    </row>
    <row r="596">
      <c r="D596" s="40">
        <f>IFERROR(INDEX($G$4:$G$597,MATCH(593,$F$4:$F$597,0)),"")</f>
        <v/>
      </c>
      <c r="F596">
        <f>IF(Geral!$A$599="","",COUNTIF(Geral!$A$7:$A$599,"?*"))</f>
        <v/>
      </c>
      <c r="G596">
        <f>IF(Geral!$A$599="","",Geral!$A$599&amp;" · "&amp;Geral!$E$599)</f>
        <v/>
      </c>
    </row>
    <row r="597">
      <c r="D597" s="40">
        <f>IFERROR(INDEX($G$4:$G$597,MATCH(594,$F$4:$F$597,0)),"")</f>
        <v/>
      </c>
      <c r="F597">
        <f>IF(Geral!$A$600="","",COUNTIF(Geral!$A$7:$A$600,"?*"))</f>
        <v/>
      </c>
      <c r="G597">
        <f>IF(Geral!$A$600="","",Geral!$A$600&amp;" · "&amp;Geral!$E$600)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2026-09-30T02:42:24Z</dcterms:created>
  <dcterms:modified xsi:type="dcterms:W3CDTF">2026-09-30T02:42:26Z</dcterms:modified>
</cp:coreProperties>
</file>